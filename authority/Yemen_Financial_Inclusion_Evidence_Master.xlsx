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160</x:v>
      </x:c>
      <x:c r="C24" s="23" t="n">
        <x:v>160</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التحويلات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التحويلات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التحويلات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The latest representative observation of account ownership in Yemen published by the World Bank remains 11.9% (Global Findex 2021; fieldwork 2022–23).</x:v>
      </x:c>
      <x:c r="H11" s="28" t="str">
        <x:v>تظل أحدث مشاهدة ممثلة ينشرها البنك الدولي لامتلاك الحساب في اليمن عند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18.35% of men and 5.44% of women aged 15+ in the areas surveyed had an account.</x:v>
      </x:c>
      <x:c r="H12" s="28" t="str">
        <x:v>في موجة 2021 من Global Findex لليمن (العمل الميداني 2022–2023)، كان لدى 18.35% من الرجال و5.44%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latest Yemen Findex wave excludes Al Baydaa, Al Jawf, Mareb, Sadah, Socotra and several districts elsewhere: areas with about 23% of the population.</x:v>
      </x:c>
      <x:c r="H35" s="28" t="str">
        <x:v>تستبعد أحدث موجة من Findex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Support and disbursement figures reported by the Small and Micro Enterprise Promotion Service (SMEPS) describe the programme, not all MSMEs in Yemen.</x:v>
      </x:c>
      <x:c r="H69" s="28" t="str">
        <x:v>أرقام الدعم والصرف التي تفيد بها وكالة تنمية المنشآت الصغيرة والأصغر (SMEPS) تصف البرنامج،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latest wave, keeping publishable values apart from pending ones.</x:v>
      </x:c>
      <x:c r="H73" s="28" t="str">
        <x:v>تربط خريطة قابلية المقارنة هذه مقاييس Findex التاريخية لليمن بمقاييس أحدث موجة،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/evidence/NEG-EW-011/</x:v>
      </x:c>
      <x:c r="B78" s="24" t="str">
        <x:v>evidence_detail</x:v>
      </x:c>
      <x:c r="C78" s="24" t="str">
        <x:v>/evidence/[id]</x:v>
      </x:c>
      <x:c r="D78" s="24" t="str">
        <x:v>NEG-EW-011</x:v>
      </x:c>
      <x:c r="E78" s="24"/>
      <x:c r="F78" s="28"/>
      <x:c r="G78" s="24" t="str">
        <x:v>We Cash electronic payment services is named in a 26 June 2024 circular of the Central Bank of Yemen – Aden listing services it considered unlicensed then.</x:v>
      </x:c>
      <x:c r="H78" s="28" t="str">
        <x:v>ترد خدمة وي كاش للدفع الإلكتروني في تعميم للبنك المركزي اليمني – عدن بتاريخ 26 يونيو 2024 يسرد خدمات اعتبرها غير مرخصة في ذلك التاريخ.</x:v>
      </x:c>
    </x:row>
    <x:row r="79">
      <x:c r="A79" s="24" t="str">
        <x:v>/evidence/PSE-011/</x:v>
      </x:c>
      <x:c r="B79" s="24" t="str">
        <x:v>evidence_detail</x:v>
      </x:c>
      <x:c r="C79" s="24" t="str">
        <x:v>/evidence/[id]</x:v>
      </x:c>
      <x:c r="D79" s="24" t="str">
        <x:v>PSE-011</x:v>
      </x:c>
      <x:c r="E79" s="24"/>
      <x:c r="F79" s="28"/>
      <x:c r="G79" s="24" t="str">
        <x:v>Decision No. 9 of 2026 of the Central Bank of Yemen – Aden, dated 21 May 2026, suspends a remittance agent's licence in Tuban, Lahj, and closes its office.</x:v>
      </x:c>
      <x:c r="H79" s="28" t="str">
        <x:v>يعلّق قرار البنك المركزي اليمني – عدن رقم 9 لسنة 2026، المؤرخ في 21 مايو 2026، ترخيص وكيل حوالات في تُبن، لحج، ويقضي بإغلاق مقره.</x:v>
      </x:c>
    </x:row>
    <x:row r="80">
      <x:c r="A80" s="24" t="str">
        <x:v>/evidence/QUAL-001/</x:v>
      </x:c>
      <x:c r="B80" s="24" t="str">
        <x:v>evidence_detail</x:v>
      </x:c>
      <x:c r="C80" s="24" t="str">
        <x:v>/evidence/[id]</x:v>
      </x:c>
      <x:c r="D80" s="24" t="str">
        <x:v>QUAL-001</x:v>
      </x:c>
      <x:c r="E80" s="24"/>
      <x:c r="F80" s="28"/>
      <x:c r="G80" s="24" t="str">
        <x:v>The OECD links fragmented institutions, supervisory gaps and weak formal access to financial-sector fragility and low trust: a qualitative interpretation.</x:v>
      </x:c>
      <x:c r="H80" s="28" t="str">
        <x:v>تربط منظمة التعاون الاقتصادي والتنمية (OECD) تفتت المؤسسات وفجوات الرقابة وضعف الوصول الرسمي بهشاشة القطاع المالي وانخفاض الثقة: تفسير نوعي.</x:v>
      </x:c>
    </x:row>
    <x:row r="81">
      <x:c r="A81" s="24" t="str">
        <x:v>/evidence/VIS-BORROWING-SOURCES-2014/</x:v>
      </x:c>
      <x:c r="B81" s="24" t="str">
        <x:v>evidence_detail</x:v>
      </x:c>
      <x:c r="C81" s="24" t="str">
        <x:v>/evidence/[id]</x:v>
      </x:c>
      <x:c r="D81" s="24" t="str">
        <x:v>VIS-BORROWING-SOURCES-2014</x:v>
      </x:c>
      <x:c r="E81" s="24"/>
      <x:c r="F81" s="28"/>
      <x:c r="G81" s="24" t="str">
        <x:v>In 2014, 65.9% of adults reported borrowing any money; the sources overlap, so shares by source cannot be added up or read as shares of borrowers.</x:v>
      </x:c>
      <x:c r="H81" s="28" t="str">
        <x:v>في 2014 أفاد 65.9% من البالغين بأنهم اقترضوا أي مبلغ؛ والمصادر متداخلة، فلا تُجمع حصصها ولا تُقرأ حصصًا من المقترضين.</x:v>
      </x:c>
    </x:row>
    <x:row r="82">
      <x:c r="A82" s="24" t="str">
        <x:v>/evidence/VIS-CAPITAL-CONTEXT/</x:v>
      </x:c>
      <x:c r="B82" s="24" t="str">
        <x:v>evidence_detail</x:v>
      </x:c>
      <x:c r="C82" s="24" t="str">
        <x:v>/evidence/[id]</x:v>
      </x:c>
      <x:c r="D82" s="24" t="str">
        <x:v>VIS-CAPITAL-CONTEXT</x:v>
      </x:c>
      <x:c r="E82" s="24"/>
      <x:c r="F82" s="28"/>
      <x:c r="G82" s="24" t="str">
        <x:v>Humanitarian, development, project and financial-institution finance are kept as separate pathways; this record reports no amounts and no inclusion total.</x:v>
      </x:c>
      <x:c r="H82"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3">
      <x:c r="A83" s="24" t="str">
        <x:v>/evidence/VIS-DEMAND-VINTAGE-LADDER/</x:v>
      </x:c>
      <x:c r="B83" s="24" t="str">
        <x:v>evidence_detail</x:v>
      </x:c>
      <x:c r="C83" s="24" t="str">
        <x:v>/evidence/[id]</x:v>
      </x:c>
      <x:c r="D83" s="24" t="str">
        <x:v>VIS-DEMAND-VINTAGE-LADDER</x:v>
      </x:c>
      <x:c r="E83" s="24"/>
      <x:c r="F83" s="28"/>
      <x:c r="G83" s="24" t="str">
        <x:v>The latest weighted evidence differs by function: account ownership from the 2021 Findex wave; saving, borrowing and domestic remittances from 2014.</x:v>
      </x:c>
      <x:c r="H83" s="28" t="str">
        <x:v>يختلف أحدث دليل موزون بحسب الوظيفة: امتلاك الحساب من موجة Findex 2021، والادخار والاقتراض والحوالات المحلية من 2014.</x:v>
      </x:c>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t="str">
        <x:v>Mobile e-money rules of the Central Bank of Yemen – Aden come in layers: August 2023 instructions and a July 2025 amendment on currencies and ceilings.</x:v>
      </x:c>
      <x:c r="H85" s="28" t="str">
        <x:v>تتكون قواعد النقود الإلكترونية لدى البنك المركزي اليمني – عدن من طبقات: تعليمات أغسطس 2023، وتعديل يوليو 2025 بشأن العملات والسقوف.</x:v>
      </x:c>
    </x:row>
    <x:row r="86">
      <x:c r="A86" s="24" t="str">
        <x:v>/evidence/VIS-EVIDENCE-CLASS-LADDER/</x:v>
      </x:c>
      <x:c r="B86" s="24" t="str">
        <x:v>evidence_detail</x:v>
      </x:c>
      <x:c r="C86" s="24" t="str">
        <x:v>/evidence/[id]</x:v>
      </x:c>
      <x:c r="D86" s="24" t="str">
        <x:v>VIS-EVIDENCE-CLASS-LADDER</x:v>
      </x:c>
      <x:c r="E86" s="24"/>
      <x:c r="F86" s="28"/>
      <x:c r="G86" s="24" t="str">
        <x:v>Evidence falls into types, from weighted population measures to reform stages, each supporting different conclusions; the types are not a ranking of truth.</x:v>
      </x:c>
      <x:c r="H86"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7">
      <x:c r="A87" s="24" t="str">
        <x:v>/evidence/VIS-EVIDENCE-FRESHNESS/</x:v>
      </x:c>
      <x:c r="B87" s="24" t="str">
        <x:v>evidence_detail</x:v>
      </x:c>
      <x:c r="C87" s="24" t="str">
        <x:v>/evidence/[id]</x:v>
      </x:c>
      <x:c r="D87" s="24" t="str">
        <x:v>VIS-EVIDENCE-FRESHNESS</x:v>
      </x:c>
      <x:c r="E87" s="24"/>
      <x:c r="F87" s="28"/>
      <x:c r="G87" s="24" t="str">
        <x:v>Evidence dates differ by domain: several payments and regulatory observations date from 2025–2026, while key representative evidence about people is older.</x:v>
      </x:c>
      <x:c r="H87" s="28" t="str">
        <x:v>تختلف تواريخ الأدلة بحسب المجال: فعدد من مشاهدات المدفوعات والتنظيم يعود إلى 2025–2026، بينما تعود أدلة أساسية ممثلة للسكان إلى فترات أقدم.</x:v>
      </x:c>
    </x:row>
    <x:row r="88">
      <x:c r="A88" s="24" t="str">
        <x:v>/evidence/VIS-EVIDENCE-GAPS/</x:v>
      </x:c>
      <x:c r="B88" s="24" t="str">
        <x:v>evidence_detail</x:v>
      </x:c>
      <x:c r="C88" s="24" t="str">
        <x:v>/evidence/[id]</x:v>
      </x:c>
      <x:c r="D88" s="24" t="str">
        <x:v>VIS-EVIDENCE-GAPS</x:v>
      </x:c>
      <x:c r="E88" s="24"/>
      <x:c r="F88" s="28"/>
      <x:c r="G88" s="24" t="str">
        <x:v>This record lists evidence gaps: missing periods, calculation bases or primary files, map layers not yet buildable, and unresolved source scope.</x:v>
      </x:c>
      <x:c r="H88" s="28" t="str">
        <x:v>يسرد هذا السجل فجوات الأدلة: فترات أو قواعد احتساب أو ملفات أصلية مفقودة، وطبقات مكانية لا يمكن بناؤها بعد، ونطاق مصدر غير محسوم.</x:v>
      </x:c>
    </x:row>
    <x:row r="89">
      <x:c r="A89" s="24" t="str">
        <x:v>/evidence/VIS-FCP-REDRESS-PATH/</x:v>
      </x:c>
      <x:c r="B89" s="24" t="str">
        <x:v>evidence_detail</x:v>
      </x:c>
      <x:c r="C89" s="24" t="str">
        <x:v>/evidence/[id]</x:v>
      </x:c>
      <x:c r="D89" s="24" t="str">
        <x:v>VIS-FCP-REDRESS-PATH</x:v>
      </x:c>
      <x:c r="E89" s="24"/>
      <x:c r="F89" s="28"/>
      <x:c r="G89" s="24" t="str">
        <x:v>A 2024 brochure of the Central Bank of Yemen – Aden sets a provider complaint stage, then escalation to the bank; the time limits come from the brochure.</x:v>
      </x:c>
      <x:c r="H89" s="28" t="str">
        <x:v>يصف كتيّب للبنك المركزي اليمني – عدن صادر في 2024 مرحلة لتسوية الشكوى لدى مقدم الخدمة ثم التصعيد إلى البنك؛ والمدد مأخوذة من الكتيّب.</x:v>
      </x:c>
    </x:row>
    <x:row r="90">
      <x:c r="A90" s="24" t="str">
        <x:v>/evidence/VIS-FINDEX-ACCESS-USE/</x:v>
      </x:c>
      <x:c r="B90" s="24" t="str">
        <x:v>evidence_detail</x:v>
      </x:c>
      <x:c r="C90" s="24" t="str">
        <x:v>/evidence/[id]</x:v>
      </x:c>
      <x:c r="D90" s="24" t="str">
        <x:v>VIS-FINDEX-ACCESS-USE</x:v>
      </x:c>
      <x:c r="E90" s="24"/>
      <x:c r="F90" s="28"/>
      <x:c r="G90" s="24" t="str">
        <x:v>In the 2021 Findex wave for Yemen, 11.9% of adults in surveyed areas had an account; weighted estimates of account and digital use are not yet produced.</x:v>
      </x:c>
      <x:c r="H90" s="28" t="str">
        <x:v>في موجة Findex 2021 لليمن، كان لدى 11.9% من البالغين في المناطق المشمولة حساب؛ ولم تُنتج بعد تقديرات موزونة لاستخدام الحساب أو الاستخدام الرقمي.</x:v>
      </x:c>
    </x:row>
    <x:row r="91">
      <x:c r="A91" s="24" t="str">
        <x:v>/evidence/VIS-FINDEX-BARRIERS/</x:v>
      </x:c>
      <x:c r="B91" s="24" t="str">
        <x:v>evidence_detail</x:v>
      </x:c>
      <x:c r="C91" s="24" t="str">
        <x:v>/evidence/[id]</x:v>
      </x:c>
      <x:c r="D91" s="24" t="str">
        <x:v>VIS-FINDEX-BARRIERS</x:v>
      </x:c>
      <x:c r="E91" s="24"/>
      <x:c r="F91" s="28"/>
      <x:c r="G91" s="24" t="str">
        <x:v>Weighted estimates of why adults without an account do not have one are not yet produced for the 2021 wave, so no values are shown.</x:v>
      </x:c>
      <x:c r="H91" s="28" t="str">
        <x:v>لم تُنتج بعد تقديرات موزونة للأسباب التي يذكرها البالغون الذين لا يملكون حسابًا في موجة 2021، لذلك لا تُعرض أي قيم.</x:v>
      </x:c>
    </x:row>
    <x:row r="92">
      <x:c r="A92" s="24" t="str">
        <x:v>/evidence/VIS-FINDEX-FLOW-CHANNELS/</x:v>
      </x:c>
      <x:c r="B92" s="24" t="str">
        <x:v>evidence_detail</x:v>
      </x:c>
      <x:c r="C92" s="24" t="str">
        <x:v>/evidence/[id]</x:v>
      </x:c>
      <x:c r="D92" s="24" t="str">
        <x:v>VIS-FINDEX-FLOW-CHANNELS</x:v>
      </x:c>
      <x:c r="E92" s="24"/>
      <x:c r="F92" s="28"/>
      <x:c r="G92" s="24" t="str">
        <x:v>Weighted 2021-wave estimates of how adults received wages, government transfers, agricultural payments and domestic remittances are not yet produced.</x:v>
      </x:c>
      <x:c r="H92" s="28" t="str">
        <x:v>لم تُنتج بعد تقديرات موزونة لموجة 2021 لكيفية تلقي البالغين الأجور والتحويلات الحكومية والمدفوعات الزراعية والحوالات المحلية.</x:v>
      </x:c>
    </x:row>
    <x:row r="93">
      <x:c r="A93" s="24" t="str">
        <x:v>/evidence/VIS-FINDEX-GAPS/</x:v>
      </x:c>
      <x:c r="B93" s="24" t="str">
        <x:v>evidence_detail</x:v>
      </x:c>
      <x:c r="C93" s="24" t="str">
        <x:v>/evidence/[id]</x:v>
      </x:c>
      <x:c r="D93" s="24" t="str">
        <x:v>VIS-FINDEX-GAPS</x:v>
      </x:c>
      <x:c r="E93" s="24"/>
      <x:c r="F93" s="28"/>
      <x:c r="G93" s="24" t="str">
        <x:v>This view shows account ownership in Yemen from the 2021 Global Findex wave (fieldwork 2022–23), with measured gaps by sex, income, education and age.</x:v>
      </x:c>
      <x:c r="H93" s="28" t="str">
        <x:v>يعرض هذا الرسم امتلاك الحساب في اليمن من موجة Global Findex 2021 (العمل الميداني 2022–2023)، مع الفجوات المقاسة بحسب الجنس والدخل والتعليم والعمر.</x:v>
      </x:c>
    </x:row>
    <x:row r="94">
      <x:c r="A94" s="24" t="str">
        <x:v>/evidence/VIS-FINDEX-OBSERVED-WAVES/</x:v>
      </x:c>
      <x:c r="B94" s="24" t="str">
        <x:v>evidence_detail</x:v>
      </x:c>
      <x:c r="C94" s="24" t="str">
        <x:v>/evidence/[id]</x:v>
      </x:c>
      <x:c r="D94" s="24" t="str">
        <x:v>VIS-FINDEX-OBSERVED-WAVES</x:v>
      </x:c>
      <x:c r="E94" s="24"/>
      <x:c r="F94" s="28"/>
      <x:c r="G94" s="24" t="str">
        <x:v>The World Bank observed account ownership in Yemen in 2011, 2014 and the 2021 Findex wave; the years between these waves were not observed.</x:v>
      </x:c>
      <x:c r="H94" s="28" t="str">
        <x:v>رصد البنك الدولي امتلاك الحساب في اليمن في 2011 و2014 وموجة Findex 2021؛ ولم تُرصد السنوات الواقعة بين هذه الموجات.</x:v>
      </x:c>
    </x:row>
    <x:row r="95">
      <x:c r="A95" s="24" t="str">
        <x:v>/evidence/VIS-FINDEX-RESILIENCE/</x:v>
      </x:c>
      <x:c r="B95" s="24" t="str">
        <x:v>evidence_detail</x:v>
      </x:c>
      <x:c r="C95" s="24" t="str">
        <x:v>/evidence/[id]</x:v>
      </x:c>
      <x:c r="D95" s="24" t="str">
        <x:v>VIS-FINDEX-RESILIENCE</x:v>
      </x:c>
      <x:c r="E95" s="24"/>
      <x:c r="F95" s="28"/>
      <x:c r="G95" s="24" t="str">
        <x:v>Weighted estimates of whether adults could raise emergency funds within 7 or 30 days are not yet produced for the 2021 wave, so no values are shown.</x:v>
      </x:c>
      <x:c r="H95" s="28" t="str">
        <x:v>لم تُنتج بعد تقديرات موزونة لقدرة البالغين على تدبير أموال للطوارئ خلال 7 أيام أو خلال 30 يومًا في موجة 2021، لذلك لا تُعرض أي قيم.</x:v>
      </x:c>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t="str">
        <x:v>Formal firms in a 2022 survey of seven governorates named electricity and fuel shortages more often than access to finance; each could name several.</x:v>
      </x:c>
      <x:c r="H97" s="28" t="str">
        <x:v>ذكرت المنشآت الرسمية في مسح عام 2022 لسبع محافظات الكهرباء ونقص الوقود أكثر من الوصول إلى التمويل؛ وكان بإمكان كل منها ذكر أكثر من تحدٍّ.</x:v>
      </x:c>
    </x:row>
    <x:row r="98">
      <x:c r="A98" s="24" t="str">
        <x:v>/evidence/VIS-FIRM-FINANCE-PATH/</x:v>
      </x:c>
      <x:c r="B98" s="24" t="str">
        <x:v>evidence_detail</x:v>
      </x:c>
      <x:c r="C98" s="24" t="str">
        <x:v>/evidence/[id]</x:v>
      </x:c>
      <x:c r="D98" s="24" t="str">
        <x:v>VIS-FIRM-FINANCE-PATH</x:v>
      </x:c>
      <x:c r="E98" s="24"/>
      <x:c r="F98" s="28"/>
      <x:c r="G98" s="24" t="str">
        <x:v>Formal firms surveyed in seven governorates in 2022 named their loan sources; the counts come from the valid responses to the loan-source question.</x:v>
      </x:c>
      <x:c r="H98" s="28" t="str">
        <x:v>ذكرت المنشآت الرسمية المشمولة بمسح عام 2022 في سبع محافظات مصادر قروضها، والأعداد محسوبة من الاستجابات الصالحة لسؤال مصدر القرض.</x:v>
      </x:c>
    </x:row>
    <x:row r="99">
      <x:c r="A99" s="24" t="str">
        <x:v>/evidence/VIS-FIRM-FINANCE-SEVERITY/</x:v>
      </x:c>
      <x:c r="B99" s="24" t="str">
        <x:v>evidence_detail</x:v>
      </x:c>
      <x:c r="C99" s="24" t="str">
        <x:v>/evidence/[id]</x:v>
      </x:c>
      <x:c r="D99" s="24" t="str">
        <x:v>VIS-FIRM-FINANCE-SEVERITY</x:v>
      </x:c>
      <x:c r="E99" s="24"/>
      <x:c r="F99" s="28"/>
      <x:c r="G99" s="24" t="str">
        <x:v>Among formal firms in the 2022 survey's finance-obstacle tabulation, excluding those needing no loan, 91.84% rated finance a major or moderate obstacle.</x:v>
      </x:c>
      <x:c r="H99" s="28" t="str">
        <x:v>بين المنشآت الرسمية في جدول عوائق التمويل لمسح 2022، باستثناء غير المحتاجة إلى قرض، صنّفت 91.84% منها عوائق التمويل كبيرة أو متوسطة.</x:v>
      </x:c>
    </x:row>
    <x:row r="100">
      <x:c r="A100" s="24" t="str">
        <x:v>/evidence/VIS-FL-EVIDENCE-LADDER/</x:v>
      </x:c>
      <x:c r="B100" s="24" t="str">
        <x:v>evidence_detail</x:v>
      </x:c>
      <x:c r="C100" s="24" t="str">
        <x:v>/evidence/[id]</x:v>
      </x:c>
      <x:c r="D100" s="24" t="str">
        <x:v>VIS-FL-EVIDENCE-LADDER</x:v>
      </x:c>
      <x:c r="E100" s="24"/>
      <x:c r="F100" s="28"/>
      <x:c r="G100" s="24" t="str">
        <x:v>Global Money Week records of the Central Bank of Yemen – Aden document financial-literacy activities, March 2023 to March 2025; activity is not outcome.</x:v>
      </x:c>
      <x:c r="H100" s="28" t="str">
        <x:v>توثق سجلات الأسبوع العالمي للمال لدى البنك المركزي اليمني – عدن أنشطة للثقافة المالية من مارس 2023 إلى مارس 2025؛ والنشاط لا يساوي نتيجة.</x:v>
      </x:c>
    </x:row>
    <x:row r="101">
      <x:c r="A101" s="24" t="str">
        <x:v>/evidence/VIS-INCLUSION-TRANSMISSION/</x:v>
      </x:c>
      <x:c r="B101" s="24" t="str">
        <x:v>evidence_detail</x:v>
      </x:c>
      <x:c r="C101" s="24" t="str">
        <x:v>/evidence/[id]</x:v>
      </x:c>
      <x:c r="D101" s="24" t="str">
        <x:v>VIS-INCLUSION-TRANSMISSION</x:v>
      </x:c>
      <x:c r="E101" s="24"/>
      <x:c r="F101" s="28"/>
      <x:c r="G101" s="24" t="str">
        <x:v>Financial inclusion in Yemen is shown as connected parts, from people and firms to payment systems, flows and rules, with no causal links or single score.</x:v>
      </x:c>
      <x:c r="H101"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2">
      <x:c r="A102" s="24" t="str">
        <x:v>/evidence/VIS-MECHANISM-METRIC-BRIDGE/</x:v>
      </x:c>
      <x:c r="B102" s="24" t="str">
        <x:v>evidence_detail</x:v>
      </x:c>
      <x:c r="C102" s="24" t="str">
        <x:v>/evidence/[id]</x:v>
      </x:c>
      <x:c r="D102" s="24" t="str">
        <x:v>VIS-MECHANISM-METRIC-BRIDGE</x:v>
      </x:c>
      <x:c r="E102" s="24"/>
      <x:c r="F102" s="28"/>
      <x:c r="G102" s="24" t="str">
        <x:v>This record links a quantitative measure to documented mechanisms, policy propositions or research priorities; these aid interpretation, not causal proof.</x:v>
      </x:c>
      <x:c r="H102"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3">
      <x:c r="A103" s="24" t="str">
        <x:v>/evidence/VIS-MFI-2014-PANEL/</x:v>
      </x:c>
      <x:c r="B103" s="24" t="str">
        <x:v>evidence_detail</x:v>
      </x:c>
      <x:c r="C103" s="24" t="str">
        <x:v>/evidence/[id]</x:v>
      </x:c>
      <x:c r="D103" s="24" t="str">
        <x:v>VIS-MFI-2014-PANEL</x:v>
      </x:c>
      <x:c r="E103" s="24"/>
      <x:c r="F103" s="28"/>
      <x:c r="G103" s="24" t="str">
        <x:v>For the same nine providers reporting to the Yemen Microfinance Network, the first two quarters of 2014 are comparable; they are not a long trend.</x:v>
      </x:c>
      <x:c r="H103"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4">
      <x:c r="A104" s="24" t="str">
        <x:v>/evidence/VIS-MFI-RUPTURE-LENS/</x:v>
      </x:c>
      <x:c r="B104" s="24" t="str">
        <x:v>evidence_detail</x:v>
      </x:c>
      <x:c r="C104" s="24" t="str">
        <x:v>/evidence/[id]</x:v>
      </x:c>
      <x:c r="D104" s="24" t="str">
        <x:v>VIS-MFI-RUPTURE-LENS</x:v>
      </x:c>
      <x:c r="E104" s="24"/>
      <x:c r="F104" s="28"/>
      <x:c r="G104" s="24" t="str">
        <x:v>Active borrowers of microfinance programmes supported by the Social Fund for Development fell sharply during 2015, from end-March to end-December.</x:v>
      </x:c>
      <x:c r="H104"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5">
      <x:c r="A105" s="24" t="str">
        <x:v>/evidence/VIS-MFI-SPINE/</x:v>
      </x:c>
      <x:c r="B105" s="24" t="str">
        <x:v>evidence_detail</x:v>
      </x:c>
      <x:c r="C105" s="24" t="str">
        <x:v>/evidence/[id]</x:v>
      </x:c>
      <x:c r="D105" s="24" t="str">
        <x:v>VIS-MFI-SPINE</x:v>
      </x:c>
      <x:c r="E105" s="24"/>
      <x:c r="F105" s="28"/>
      <x:c r="G105" s="24" t="str">
        <x:v>Microfinance figures linked to the Social Fund for Development exist at dated points from 2010 to 2020, not every year-end; gaps and breaks are shown.</x:v>
      </x:c>
      <x:c r="H105"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6">
      <x:c r="A106" s="24" t="str">
        <x:v>/evidence/VIS-OECD-FCP-TIMELINE/</x:v>
      </x:c>
      <x:c r="B106" s="24" t="str">
        <x:v>evidence_detail</x:v>
      </x:c>
      <x:c r="C106" s="24" t="str">
        <x:v>/evidence/[id]</x:v>
      </x:c>
      <x:c r="D106" s="24" t="str">
        <x:v>VIS-OECD-FCP-TIMELINE</x:v>
      </x:c>
      <x:c r="E106" s="24"/>
      <x:c r="F106" s="28"/>
      <x:c r="G106" s="24" t="str">
        <x:v>Of the steps from framework to outcome, the evidence covers 2023 consumer-protection instructions of the Central Bank of Yemen – Aden and a 2024 brochure.</x:v>
      </x:c>
      <x:c r="H106" s="28" t="str">
        <x:v>من المراحل الممتدة من الإطار إلى النتيجة، تغطي الأدلة تعليمات البنك المركزي اليمني – عدن لحماية المستهلك لعام 2023 وكتيّب 2024.</x:v>
      </x:c>
    </x:row>
    <x:row r="107">
      <x:c r="A107" s="24" t="str">
        <x:v>/evidence/VIS-PAYMENT-ANATOMY/</x:v>
      </x:c>
      <x:c r="B107" s="24" t="str">
        <x:v>evidence_detail</x:v>
      </x:c>
      <x:c r="C107" s="24" t="str">
        <x:v>/evidence/[id]</x:v>
      </x:c>
      <x:c r="D107" s="24" t="str">
        <x:v>VIS-PAYMENT-ANATOMY</x:v>
      </x:c>
      <x:c r="E107" s="24"/>
      <x:c r="F107" s="28"/>
      <x:c r="G107" s="24" t="str">
        <x:v>The first-half 2025 payment report of the Central Bank of Yemen – Aden counts cards, ATMs, point-of-sale terminals, transactions, e-wallets and accounts.</x:v>
      </x:c>
      <x:c r="H107"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t="str">
        <x:v>The Central Bank of Yemen – Aden reports monthly point-of-sale (POS) terminal totals, March 2025 to June 2026, within its reporting scope.</x:v>
      </x:c>
      <x:c r="H109" s="28" t="str">
        <x:v>يُبلغ البنك المركزي اليمني – عدن عن الإجماليات الشهرية لأجهزة نقاط البيع من مارس 2025 إلى يونيو 2026، ضمن نطاق إبلاغه.</x:v>
      </x:c>
    </x:row>
    <x:row r="110">
      <x:c r="A110" s="24" t="str">
        <x:v>/evidence/VIS-POS-TRANSACTIONS/</x:v>
      </x:c>
      <x:c r="B110" s="24" t="str">
        <x:v>evidence_detail</x:v>
      </x:c>
      <x:c r="C110" s="24" t="str">
        <x:v>/evidence/[id]</x:v>
      </x:c>
      <x:c r="D110" s="24" t="str">
        <x:v>VIS-POS-TRANSACTIONS</x:v>
      </x:c>
      <x:c r="E110" s="24"/>
      <x:c r="F110" s="28"/>
      <x:c r="G110" s="24" t="str">
        <x:v>Monthly point-of-sale (POS) transactions reported by the Central Bank of Yemen – Aden rose from March 2025 to June 2026, but not steadily.</x:v>
      </x:c>
      <x:c r="H110" s="28" t="str">
        <x:v>ارتفعت معاملات نقاط البيع الشهرية التي يُبلغ عنها البنك المركزي اليمني – عدن بين مارس 2025 ويونيو 2026، ولكن ليس بصورة مطردة.</x:v>
      </x:c>
    </x:row>
    <x:row r="111">
      <x:c r="A111" s="24" t="str">
        <x:v>/evidence/VIS-POS-VALUE/</x:v>
      </x:c>
      <x:c r="B111" s="24" t="str">
        <x:v>evidence_detail</x:v>
      </x:c>
      <x:c r="C111" s="24" t="str">
        <x:v>/evidence/[id]</x:v>
      </x:c>
      <x:c r="D111" s="24" t="str">
        <x:v>VIS-POS-VALUE</x:v>
      </x:c>
      <x:c r="E111" s="24"/>
      <x:c r="F111" s="28"/>
      <x:c r="G111" s="24" t="str">
        <x:v>The Central Bank of Yemen – Aden reports the nominal value of point-of-sale (POS) transactions monthly from March 2025; September 2025 is missing.</x:v>
      </x:c>
      <x:c r="H111" s="28" t="str">
        <x:v>يُبلغ البنك المركزي اليمني – عدن شهريًا منذ مارس 2025 عن القيمة الاسمية لمعاملات نقاط البيع؛ وقيمة سبتمبر 2025 مفقودة.</x:v>
      </x:c>
    </x:row>
    <x:row r="112">
      <x:c r="A112" s="24" t="str">
        <x:v>/evidence/VIS-PROVIDER-OBSERVABILITY/</x:v>
      </x:c>
      <x:c r="B112" s="24" t="str">
        <x:v>evidence_detail</x:v>
      </x:c>
      <x:c r="C112" s="24" t="str">
        <x:v>/evidence/[id]</x:v>
      </x:c>
      <x:c r="D112" s="24" t="str">
        <x:v>VIS-PROVIDER-OBSERVABILITY</x:v>
      </x:c>
      <x:c r="E112" s="24"/>
      <x:c r="F112" s="28"/>
      <x:c r="G112" s="24" t="str">
        <x:v>For each provider class the evidence separates the issuing authority, the dated list or count, dated status decisions and evidence of operation.</x:v>
      </x:c>
      <x:c r="H112" s="28" t="str">
        <x:v>تفصل الأدلة لكل فئة من مقدمي الخدمات بين الجهة المصدرة والقائمة أو العدد المؤرخ وقرارات الوضع المؤرخة وأدلة التشغيل.</x:v>
      </x:c>
    </x:row>
    <x:row r="113">
      <x:c r="A113" s="24" t="str">
        <x:v>/evidence/VIS-PROVIDER-TIME/</x:v>
      </x:c>
      <x:c r="B113" s="24" t="str">
        <x:v>evidence_detail</x:v>
      </x:c>
      <x:c r="C113" s="24" t="str">
        <x:v>/evidence/[id]</x:v>
      </x:c>
      <x:c r="D113" s="24" t="str">
        <x:v>VIS-PROVIDER-TIME</x:v>
      </x:c>
      <x:c r="E113" s="24"/>
      <x:c r="F113" s="28"/>
      <x:c r="G113" s="24" t="str">
        <x:v>The 2026 exchange and remittance roster of the Central Bank of Yemen – Aden is kept apart from dated 2026 Governor's decisions, matched entity by entity.</x:v>
      </x:c>
      <x:c r="H113" s="28" t="str">
        <x:v>تبقى القائمة الرسمية للصرافة والحوالات لعام 2026 لدى البنك المركزي اليمني – عدن منفصلة عن قرارات المحافظ المؤرخة في 2026، وتُطابَق معها جهةً جهة.</x:v>
      </x:c>
    </x:row>
    <x:row r="114">
      <x:c r="A114" s="24" t="str">
        <x:v>/evidence/VIS-REMITTANCE-COST/</x:v>
      </x:c>
      <x:c r="B114" s="24" t="str">
        <x:v>evidence_detail</x:v>
      </x:c>
      <x:c r="C114" s="24" t="str">
        <x:v>/evidence/[id]</x:v>
      </x:c>
      <x:c r="D114" s="24" t="str">
        <x:v>VIS-REMITTANCE-COST</x:v>
      </x:c>
      <x:c r="E114" s="24"/>
      <x:c r="F114" s="28"/>
      <x:c r="G114" s="24" t="str">
        <x:v>This view shows average quoted costs of sending US$200 and US$500 to Yemen from Saudi Arabia and the UAE in 2025 Q3, not a national average.</x:v>
      </x:c>
      <x:c r="H114" s="28" t="str">
        <x:v>يعرض هذا الرسم متوسط التكلفة المعلنة لإرسال 200 و500 دولار أمريكي إلى اليمن من السعودية والإمارات في الربع الثالث من 2025، لا متوسطًا وطنيًا.</x:v>
      </x:c>
    </x:row>
    <x:row r="115">
      <x:c r="A115" s="24" t="str">
        <x:v>/evidence/VIS-REMITTANCE-MACRO/</x:v>
      </x:c>
      <x:c r="B115" s="24" t="str">
        <x:v>evidence_detail</x:v>
      </x:c>
      <x:c r="C115" s="24" t="str">
        <x:v>/evidence/[id]</x:v>
      </x:c>
      <x:c r="D115" s="24" t="str">
        <x:v>VIS-REMITTANCE-MACRO</x:v>
      </x:c>
      <x:c r="E115" s="24"/>
      <x:c r="F115" s="28"/>
      <x:c r="G115" s="24" t="str">
        <x:v>IMF remittance figures for Yemen's external sector keep reported history for 2018–2024, a 2025 estimate and 2026–2030 projections apart.</x:v>
      </x:c>
      <x:c r="H115" s="28" t="str">
        <x:v>تفصل أرقام صندوق النقد الدولي للتحويلات في القطاع الخارجي لليمن بين القيم التاريخية للفترة 2018–2024 وتقدير 2025 وتوقعات 2026–2030.</x:v>
      </x:c>
    </x:row>
    <x:row r="116">
      <x:c r="A116" s="24" t="str">
        <x:v>/evidence/VIS-SOURCE-COMPARISON/</x:v>
      </x:c>
      <x:c r="B116" s="24" t="str">
        <x:v>evidence_detail</x:v>
      </x:c>
      <x:c r="C116" s="24" t="str">
        <x:v>/evidence/[id]</x:v>
      </x:c>
      <x:c r="D116" s="24" t="str">
        <x:v>VIS-SOURCE-COMPARISON</x:v>
      </x:c>
      <x:c r="E116" s="24"/>
      <x:c r="F116" s="28"/>
      <x:c r="G116" s="24" t="str">
        <x:v>The comparison table sets the selected records side by side on definition, population or calculation base, period, method, source and currentness.</x:v>
      </x:c>
      <x:c r="H116" s="28" t="str">
        <x:v>يضع جدول المقارنة السجلات المختارة جنبًا إلى جنب من حيث التعريف والمجتمع أو قاعدة الاحتساب والفترة والطريقة والمصدر ومدى الحداثة.</x:v>
      </x:c>
    </x:row>
    <x:row r="117">
      <x:c r="A117" s="24" t="str">
        <x:v>/evidence/VIS-TARGET-RESULT-STATE/</x:v>
      </x:c>
      <x:c r="B117" s="24" t="str">
        <x:v>evidence_detail</x:v>
      </x:c>
      <x:c r="C117" s="24" t="str">
        <x:v>/evidence/[id]</x:v>
      </x:c>
      <x:c r="D117" s="24" t="str">
        <x:v>VIS-TARGET-RESULT-STATE</x:v>
      </x:c>
      <x:c r="E117" s="24"/>
      <x:c r="F117" s="28"/>
      <x:c r="G117" s="24" t="str">
        <x:v>The FMIIP results framework sets a January 2025 baseline and a June 2030 target for financial access points; no observed result is recorded.</x:v>
      </x:c>
      <x:c r="H117" s="28" t="str">
        <x:v>يحدد إطار نتائج مشروع FMIIP خط أساس في يناير 2025 ومستهدفًا في يونيو 2030 لنقاط الوصول المالي؛ ولا تُسجَّل أي نتيجة مرصودة.</x:v>
      </x:c>
    </x:row>
    <x:row r="118">
      <x:c r="A118" s="24" t="str">
        <x:v>/evidence/XW-FMIIP-005/</x:v>
      </x:c>
      <x:c r="B118" s="24" t="str">
        <x:v>evidence_detail</x:v>
      </x:c>
      <x:c r="C118" s="24" t="str">
        <x:v>/evidence/[id]</x:v>
      </x:c>
      <x:c r="D118" s="24" t="str">
        <x:v>XW-FMIIP-005</x:v>
      </x:c>
      <x:c r="E118" s="24"/>
      <x:c r="F118" s="28"/>
      <x:c r="G118" s="24" t="str">
        <x:v>The FMIIP access-point target, under the project's own definition, cannot be added to or compared with ATM, point-of-sale or agent counts.</x:v>
      </x:c>
      <x:c r="H118" s="28" t="str">
        <x:v>مستهدف نقاط الوصول في مشروع FMIIP، وفق تعريف المشروع نفسه، لا يُجمع إلى أعداد أجهزة الصراف الآلي أو نقاط البيع أو الوكلاء ولا يُقارن بها.</x:v>
      </x:c>
    </x:row>
    <x:row r="119">
      <x:c r="A119" s="24" t="str">
        <x:v>/evidence/compare/</x:v>
      </x:c>
      <x:c r="B119" s="24" t="str">
        <x:v>static</x:v>
      </x:c>
      <x:c r="C119" s="24" t="str">
        <x:v>/evidence/compare</x:v>
      </x:c>
      <x:c r="D119" s="24"/>
      <x:c r="E119" s="24" t="str">
        <x:v>Compare evidence without forcing unlike measures onto one scale</x:v>
      </x:c>
      <x:c r="F119" s="28" t="str">
        <x:v>قارن الأدلة من دون وضع ما لا يتماثل على مقياس واحد</x:v>
      </x:c>
      <x:c r="G119" s="24" t="str">
        <x:v>Records are set side by side on definition, period, population, geography, unit and method; when they do not match, “not comparable” is a valid result.</x:v>
      </x:c>
      <x:c r="H119" s="28" t="str">
        <x:v>تُعرض السجلات جنبًا إلى جنب من حيث التعريف والفترة والمجتمع والنطاق الجغرافي والوحدة والطريقة؛ وحين لا تتطابق يكون الحكم «غير قابلة للمقارنة» نتيجة صحيحة.</x:v>
      </x:c>
    </x:row>
    <x:row r="120">
      <x:c r="A120" s="24" t="str">
        <x:v>/evidence/</x:v>
      </x:c>
      <x:c r="B120" s="24" t="str">
        <x:v>static</x:v>
      </x:c>
      <x:c r="C120" s="24" t="str">
        <x:v>/evidence</x:v>
      </x:c>
      <x:c r="D120" s="24"/>
      <x:c r="E120" s="24" t="str">
        <x:v>Inspect the evidence behind the answer</x:v>
      </x:c>
      <x:c r="F120" s="28" t="str">
        <x:v>افحص الدليل الذي تستند إليه الإجابة</x:v>
      </x:c>
      <x:c r="G120" s="24" t="str">
        <x:v>The evidence hub lists claims, indicators, visuals and source-backed records, each with its definition, period, method, limitations and source.</x:v>
      </x:c>
      <x:c r="H120" s="28" t="str">
        <x:v>يضم مركز الأدلة خلاصات ومؤشرات ورسومًا وسجلات تستند إلى مصادر، لكل منها تعريفه وفترته وطريقته وحدوده ومصدره.</x:v>
      </x:c>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التمويل: أرقام المقترضين والمدخرين والأرصدة تقيس أشياء مختلفة</x:v>
      </x:c>
      <x:c r="G122" s="24" t="str">
        <x:v>Microfinance borrower, saver and portfolio figures and bank balances come from different sources and definitions, so they are kept separate, not one trend.</x:v>
      </x:c>
      <x:c r="H122"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التي سُئلت</x:v>
      </x:c>
      <x:c r="G123" s="24" t="str">
        <x:v>In a 2022 survey of formal firms in seven governorates, 22% named access to finance as a challenge, against 50% for electricity and 46% for fuel shortages.</x:v>
      </x:c>
      <x:c r="H123" s="28" t="str">
        <x:v>في مسح عام 2022 للمنشآت الرسمية في سبع محافظات، ذكرت 22% منها الوصول إلى التمويل تحديًا، مقابل 50% للكهرباء و46% لنقص الوقود.</x:v>
      </x:c>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t="str">
        <x:v>This bilingual resource helps you understand, compare and verify evidence on financial inclusion in Yemen: what it shows, what it does not, and its source.</x:v>
      </x:c>
      <x:c r="H124" s="28" t="str">
        <x:v>يساعدك هذا المورد العام ثنائي اللغة على فهم أدلة الشمول المالي في اليمن ومقارنتها والتحقق منها: ما تسنده الأدلة، وما لا تثبته، ومصدرها.</x:v>
      </x:c>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t="str">
        <x:v>This agenda links evidence gaps to specific decision questions; it does not rank national priorities or use a hidden score.</x:v>
      </x:c>
      <x:c r="H125" s="28" t="str">
        <x:v>تربط هذه الأولويات فجوات الأدلة بأسئلة قرار محددة، ولا تمثل ترتيبًا للأولويات الوطنية، ولا تستند إلى درجة خفية.</x:v>
      </x:c>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t="str">
        <x:v>Every figure is checked against its source and exceptions are marked; unverified figures are withheld and secondary ones are labelled.</x:v>
      </x:c>
      <x:c r="H126" s="28" t="str">
        <x:v>يُراجَع كل رقم مقابل مصدره ويُشار إلى الاستثناءات؛ ويُحجب الرقم غير المتحقق منه ويوسم الرقم الثانوي.</x:v>
      </x:c>
    </x:row>
    <x:row r="127">
      <x:c r="A127" s="24" t="str">
        <x:v>/payments/</x:v>
      </x:c>
      <x:c r="B127" s="24" t="str">
        <x:v>static</x:v>
      </x:c>
      <x:c r="C127" s="24" t="str">
        <x:v>/payments</x:v>
      </x:c>
      <x:c r="D127" s="24"/>
      <x:c r="E127" s="24" t="str">
        <x:v>Payments: point-of-sale (POS) terminals reported by the Central Bank of Yemen – Aden rose from 561 to 1,651 between March 2025 and June 2026, within its reporting scope; how many people use them is not measured</x:v>
      </x:c>
      <x:c r="F127" s="28" t="str">
        <x:v>المدفوعات: ارتفع عدد أجهزة نقاط البيع التي يُبلغ عنها البنك المركزي اليمني – عدن من 561 إلى 1,651 بين مارس 2025 ويونيو 2026، ضمن نطاق إبلاغه؛ أما عدد من يستخدمونها فغير مقيس</x:v>
      </x:c>
      <x:c r="G127" s="24" t="str">
        <x:v>Administrative payment data show devices, accounts, transactions and values at high frequency; none is a number of people or an inclusion outcome.</x:v>
      </x:c>
      <x:c r="H127" s="28" t="str">
        <x:v>تُظهر البيانات الإدارية للمدفوعات الأجهزة والحسابات والمعاملات والقيم بوتيرة عالية؛ ولا يمثل أي منها عدد أشخاص أو نتيجة للشمول المالي.</x:v>
      </x:c>
    </x:row>
    <x:row r="128">
      <x:c r="A128" s="24" t="str">
        <x:v>/people/</x:v>
      </x:c>
      <x:c r="B128" s="24" t="str">
        <x:v>static</x:v>
      </x:c>
      <x:c r="C128" s="24" t="str">
        <x:v>/people</x:v>
      </x:c>
      <x:c r="D128" s="24"/>
      <x:c r="E128" s="24" t="str">
        <x:v>People: one population, evidence from different dates</x:v>
      </x:c>
      <x:c r="F128" s="28" t="str">
        <x:v>الأفراد: مجتمع سكاني واحد، وأدلة من تواريخ مختلفة</x:v>
      </x:c>
      <x:c r="G128" s="24" t="str">
        <x:v>The latest representative survey, the Global Findex 2021 wave (fieldwork 2022–23), found 11.9% of adults in surveyed areas had an account; not a 2026 rate.</x:v>
      </x:c>
      <x:c r="H128" s="28" t="str">
        <x:v>وجد أحدث مسح ممثل، موجة Global Findex 2021 (العمل الميداني 2022–2023)، أن 11.9% من البالغين في المناطق المشمولة يملكون حسابًا؛ وليس هذا معدلًا لعام 2026.</x:v>
      </x:c>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t="str">
        <x:v>Official lists of the Central Bank of Yemen – Aden show which banks and exchange and remittance providers hold formal status on a date, not which operate.</x:v>
      </x:c>
      <x:c r="H130"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t="str">
        <x:v>A number can rise because the economy changed, or because the way an existing position is valued, classified or reported changed.</x:v>
      </x:c>
      <x:c r="H132" s="28" t="str">
        <x:v>قد يرتفع الرقم لأن الاقتصاد تغيّر، وقد يرتفع لأن طريقة تقييم مركز قائم أو تصنيفه أو الإبلاغ عنه تغيّرت.</x:v>
      </x:c>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t="str">
        <x:v>A study of e-money accounts to December 2019 found dormant accounts and one-time use. When does digital growth in Yemen become durable financial use?</x:v>
      </x:c>
      <x:c r="H134"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5">
      <x:c r="A135" s="24" t="str">
        <x:v>/readings/finance-constraint-different-questions/</x:v>
      </x:c>
      <x:c r="B135" s="24" t="str">
        <x:v>reading_detail</x:v>
      </x:c>
      <x:c r="C135" s="24" t="str">
        <x:v>/readings/[reading_id]</x:v>
      </x:c>
      <x:c r="D135" s="24" t="str">
        <x:v>finance-constraint-different-questions</x:v>
      </x:c>
      <x:c r="E135" s="24"/>
      <x:c r="F135" s="28"/>
      <x:c r="G135" s="24" t="str">
        <x:v>In a 2022 survey of formal firms, 22% named finance as a challenge, yet 91.84% of a narrower group rated it a major or moderate obstacle.</x:v>
      </x:c>
      <x:c r="H135" s="28" t="str">
        <x:v>في مسح عام 2022 للمنشآت الرسمية، ذكرت 22% التمويل تحديًا، بينما صنّفت 91.84% من مجموعة أضيق عائق التمويل كبيرًا أو متوسطًا.</x:v>
      </x:c>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t="str">
        <x:v>In the latest Global Findex wave for Yemen, 18.35% of men and 5.44% of women in surveyed areas had an account: a measured gap whose explanation is open.</x:v>
      </x:c>
      <x:c r="H137" s="28" t="str">
        <x:v>في أحدث موجة من Findex في اليمن، كان لدى 18.35% من الرجال و5.44% من النساء في المناطق المشمولة حساب؛ وهي فجوة مقاسة ما يزال تفسيرها مفتوحًا.</x:v>
      </x:c>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t="str">
        <x:v>“Microfinance growth” sounds like one result. The evidence describes several.</x:v>
      </x:c>
      <x:c r="H139" s="28" t="str">
        <x:v>تبدو عبارة «نمو التمويل الأصغر» كأنها نتيجة واحدة، لكن الأدلة تصف أكثر من نتيجة.</x:v>
      </x:c>
    </x:row>
    <x:row r="140">
      <x:c r="A140" s="24" t="str">
        <x:v>/readings/reforms-newer-than-people-evidence/</x:v>
      </x:c>
      <x:c r="B140" s="24" t="str">
        <x:v>reading_detail</x:v>
      </x:c>
      <x:c r="C140" s="24" t="str">
        <x:v>/readings/[reading_id]</x:v>
      </x:c>
      <x:c r="D140" s="24" t="str">
        <x:v>reforms-newer-than-people-evidence</x:v>
      </x:c>
      <x:c r="E140" s="24"/>
      <x:c r="F140" s="28"/>
      <x:c r="G140" s="24" t="str">
        <x:v>The latest representative measure of account ownership in Yemen is 11.9% of adults in surveyed areas (fieldwork 2022–23); the system has kept moving.</x:v>
      </x:c>
      <x:c r="H140" s="28" t="str">
        <x:v>يبقى أحدث قياس ممثل لامتلاك الحساب في اليمن عند 11.9% من البالغين في المناطق المشمولة (العمل الميداني 2022–2023)؛ والمنظومة لم تتوقف.</x:v>
      </x:c>
    </x:row>
    <x:row r="141">
      <x:c r="A141" s="24" t="str">
        <x:v>/readings/same-year-different-number/</x:v>
      </x:c>
      <x:c r="B141" s="24" t="str">
        <x:v>reading_detail</x:v>
      </x:c>
      <x:c r="C141" s="24" t="str">
        <x:v>/readings/[reading_id]</x:v>
      </x:c>
      <x:c r="D141" s="24" t="str">
        <x:v>same-year-different-number</x:v>
      </x:c>
      <x:c r="E141" s="24"/>
      <x:c r="F141" s="28"/>
      <x:c r="G141" s="24" t="str">
        <x:v>Two annual reports of the Central Bank of Yemen – Aden (CBY-Aden) give markedly different remittance values for the same reference year.</x:v>
      </x:c>
      <x:c r="H141" s="28" t="str">
        <x:v>يورد تقريران سنويان للبنك المركزي اليمني – عدن قيمتين متباينتين تباينًا واضحًا للتحويلات في السنة المرجعية نفسها.</x:v>
      </x:c>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t="str">
        <x:v>Recent reforms are documented at the rule, funding and institution stages; there is no evidence yet that they changed access, use, quality or outcomes.</x:v>
      </x:c>
      <x:c r="H142"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3">
      <x:c r="A143" s="24" t="str">
        <x:v>/remittances/</x:v>
      </x:c>
      <x:c r="B143" s="24" t="str">
        <x:v>static</x:v>
      </x:c>
      <x:c r="C143" s="24" t="str">
        <x:v>/remittances</x:v>
      </x:c>
      <x:c r="D143" s="24"/>
      <x:c r="E143" s="24" t="str">
        <x:v>Remittances: each figure depends on its source, concept and edition</x:v>
      </x:c>
      <x:c r="F143" s="28" t="str">
        <x:v>التحويلات: كل رقم يتوقف على مصدره ومفهومه والإصدار الذي نُشر فيه</x:v>
      </x:c>
      <x:c r="G143" s="24" t="str">
        <x:v>Remittance figures depend on source, concept and edition: the 2025 annual report of the Central Bank of Yemen – Aden revised 2024, which is not a fall.</x:v>
      </x:c>
      <x:c r="H143" s="28" t="str">
        <x:v>يتوقف رقم التحويلات على مصدره ومفهومه وإصداره: فقد راجع التقرير السنوي 2025 للبنك المركزي اليمني – عدن قيمة عام 2024، وهذه مراجعة لا هبوط.</x:v>
      </x:c>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t="str">
        <x:v>In the 2022 seven-governorate survey, 58.2% of formal firms reported a bank account, but their working capital came mainly from internal sources.</x:v>
      </x:c>
      <x:c r="H146" s="28" t="str">
        <x:v>في مسح عام 2022 لسبع محافظات، أفادت 58.2% من المنشآت الرسمية بامتلاك حساب مصرفي، لكن رأس مالها العامل جاء أساسًا من مصادر داخلية.</x:v>
      </x:c>
    </x:row>
    <x:row r="147">
      <x:c r="A147" s="24" t="str">
        <x:v>/evidence/FMIIP-BASELINE-2025-01/</x:v>
      </x:c>
      <x:c r="B147" s="24" t="str">
        <x:v>evidence_detail</x:v>
      </x:c>
      <x:c r="C147" s="24" t="str">
        <x:v>/evidence/[id]</x:v>
      </x:c>
      <x:c r="D147" s="24" t="str">
        <x:v>FMIIP-BASELINE-2025-01</x:v>
      </x:c>
      <x:c r="E147" s="24"/>
      <x:c r="F147" s="28"/>
      <x:c r="G147" s="24" t="str">
        <x:v>January 2025 baselines in the World Bank-financed FMIIP results framework count accounts, access points, merchants and agents, not people.</x:v>
      </x:c>
      <x:c r="H147"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The latest representative population measure is the World Bank’s Global Findex 2021 survey of Yemen (fieldwork 7 November 2022 to 9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أحدث قياس ممثل للسكان هو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you need to resolve.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ابدأ بالسؤال الأقرب إلى القرار أو المسألة التي تريد حسمها.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Compare definition, period, population or calculation base, geography, unit and method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قارن التعريف والفترة ومجتمع القياس أو قاعدة الاحتساب والنطاق الجغرافي والوحدة والطريقة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you need to resolve.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تريد حسمها.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The latest representative account-ownership measure available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أحدث قياس ممثل متاح لامتلاك الحساب</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income, education and age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compared with 19.53% of adults with secondary education or more: a gap of 12.55 percentage points. Adults aged 15–24 (5.01%) and adults aged 25 and over (16.11%) differ by 11.10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مقابل 19.53% بين الحاصلين على تعليم ثانوي فأعلى، أي بفارق 12.55 نقطة مئوية. ويبلغ الفارق بين الشباب بعمر 15–24 سنة (5.01%) والبالغين بعمر 25 سنة فأكثر (16.11%) 11.10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the 9.0-point income difference, the 12.55-point education difference and the 11.10-point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وفارق 12.55 نقطة بين فئتي التعليم وفارق 11.10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latest wave does not cover all geography</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لأحدث موجة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named entities and belong on each provider's status history.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مسماة وتُسجَّل ضمن سجل الوضع الخاص بكل جهة.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18.35% من الرجال و5.44% من النساء بعمر 15 سنة فأكثر، في المناطق التي شملها المسح، يملكون حسابًا،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الآليات.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2025 mobile e-money amendment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الذي وُقِّع في 2025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How source rights affect what this resource shows and what you may republish.</x:v>
      </x:c>
      <x:c r="F330"/>
      <x:c r="G330" t="str">
        <x:v>كيف تؤثر حقوق كل مصدر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Where CauseWay’s processing, calculation or synthesis materially shapes the result, cite the relevant evidence record or analytical reading as well.</x:v>
      </x:c>
      <x:c r="F339" t="str">
        <x:v>الاستشهاد</x:v>
      </x:c>
      <x:c r="G339" t="str">
        <x:v>استشهد بالمصدر الأصلي. وعندما تكون معالجة CauseWay أو طريقة الاحتساب أو التجميع جزءًا جوهريًا من النتيجة، استشهد أيضًا بسجل الدليل أو القراءة التحليلية ذات الصلة.</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التحويلات</x:v>
      </x:c>
      <x:c r="D531" s="24" t="str">
        <x:v>RC-10 (Owner Addendum 2, improvement 3). Evidence landscape table on VIS-EVIDENCE-FRESHNESS.</x:v>
      </x:c>
    </x:row>
    <x:row r="532">
      <x:c r="A532" s="24" t="str">
        <x:v>UI-LAND-DOM-PROVIDERS</x:v>
      </x:c>
      <x:c r="B532" s="24" t="str">
        <x:v>Providers</x:v>
      </x:c>
      <x:c r="C532" s="24" t="str">
        <x:v>مقدمو الخدمات</x:v>
      </x:c>
      <x:c r="D532" s="24" t="str">
        <x:v>RC-10 (Owner Addendum 2, improvement 3). Evidence landscape table on VIS-EVIDENCE-FRESHNESS.</x:v>
      </x:c>
    </x:row>
    <x:row r="533">
      <x:c r="A533" s="24" t="str">
        <x:v>UI-LAND-DOM-FINANCE</x:v>
      </x:c>
      <x:c r="B533" s="24" t="str">
        <x:v>Finance</x:v>
      </x:c>
      <x:c r="C533" s="24" t="str">
        <x:v>التمويل</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مادة تنظيمية</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its question</x:v>
      </x:c>
      <x:c r="C543" s="24" t="str">
        <x:v>كافٍ لسؤاله</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x:v>
      </x:c>
      <x:c r="C551" s="24" t="str">
        <x:v>الفئة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الخطوة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x:v>
      </x:c>
      <x:c r="C556" s="24" t="str">
        <x:v>التاريخ</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payment-system report for the first half of 2025 also gives a POS-transaction total for that half-year. It is withheld here because its definition and period need a methodology note before public use. The monthly releases are shown because each reports the same POS measures for one month within the same reporting scope, so consecutive months are comparable.</x:v>
      </x:c>
      <x:c r="C558" s="24" t="str">
        <x:v>يذكر تقرير نظام المدفوعات للنصف الأول من 2025 أيضًا إجماليًا لمعاملات نقاط البيع في ذلك النصف، وهو محجوب هنا لأن تعريفه وفترته يحتاجان إلى ملاحظة منهجية قبل النشر. أما الإصدارات الشهرية فتُعرض لأن كلًّا منها يذكر مقاييس نقاط البيع نفسها لشهر واحد ضمن نطاق الإبلاغ نفسه، فتكون الأشهر المتتالية قابلة للمقارنة.</x:v>
      </x:c>
      <x:c r="D558" s="24" t="str">
        <x:v>RC-11 (Part B B11). Frame note of VIS-POS-TRANSACTIONS: the withheld H1 2025 transaction total (OBS-00036) and why the monthly series is admissible; from governed fields only.</x:v>
      </x:c>
    </x:row>
    <x:row r="559">
      <x:c r="A559" s="24" t="str">
        <x:v>UI-LAND-NO-NEXT</x:v>
      </x:c>
      <x:c r="B559" s="24" t="str">
        <x:v>No domain page or measurement priority in this base</x:v>
      </x:c>
      <x:c r="C559" s="24" t="str">
        <x:v>لا توجد صفحة مجال ولا أولوية قياس في قاعدة الأدلة هذه</x:v>
      </x:c>
      <x:c r="D559" s="24" t="str">
        <x:v>RC-10b. Evidence landscape: the last cell of a row that has neither a domain page nor a priority.</x:v>
      </x:c>
    </x:row>
    <x:row r="561">
      <x:c r="A561" s="24" t="str">
        <x:v>Trust navigation</x:v>
      </x:c>
    </x:row>
    <x:row r="562">
      <x:c r="A562" s="24" t="str">
        <x:v>item_order</x:v>
      </x:c>
      <x:c r="B562" s="24" t="str">
        <x:v>label_en</x:v>
      </x:c>
      <x:c r="C562" s="24" t="str">
        <x:v>label_ar</x:v>
      </x:c>
      <x:c r="D562" s="24" t="str">
        <x:v>route</x:v>
      </x:c>
    </x:row>
    <x:row r="563">
      <x:c r="A563" s="24" t="n">
        <x:v>1</x:v>
      </x:c>
      <x:c r="B563" s="24" t="str">
        <x:v>About</x:v>
      </x:c>
      <x:c r="C563" s="24" t="str">
        <x:v>عن الموقع</x:v>
      </x:c>
      <x:c r="D563" s="24" t="str">
        <x:v>/about</x:v>
      </x:c>
    </x:row>
    <x:row r="564">
      <x:c r="A564" s="24" t="n">
        <x:v>2</x:v>
      </x:c>
      <x:c r="B564" s="24" t="str">
        <x:v>Corrections</x:v>
      </x:c>
      <x:c r="C564" s="24" t="str">
        <x:v>التصحيحات</x:v>
      </x:c>
      <x:c r="D564" s="24" t="str">
        <x:v>/corrections</x:v>
      </x:c>
    </x:row>
    <x:row r="565">
      <x:c r="A565" s="24" t="n">
        <x:v>3</x:v>
      </x:c>
      <x:c r="B565" s="24" t="str">
        <x:v>Rights &amp; reuse</x:v>
      </x:c>
      <x:c r="C565" s="24" t="str">
        <x:v>الحقوق وإعادة الاستخدام</x:v>
      </x:c>
      <x:c r="D565" s="24" t="str">
        <x:v>/rights</x:v>
      </x:c>
    </x:row>
    <x:row r="566">
      <x:c r="A566" s="24" t="n">
        <x:v>4</x:v>
      </x:c>
      <x:c r="B566" s="24" t="str">
        <x:v>Accessibility</x:v>
      </x:c>
      <x:c r="C566" s="24" t="str">
        <x:v>إتاحة الوصول</x:v>
      </x:c>
      <x:c r="D566" s="24" t="str">
        <x:v>/accessibility</x:v>
      </x:c>
    </x:row>
    <x:row r="567">
      <x:c r="A567" s="24" t="n">
        <x:v>5</x:v>
      </x:c>
      <x:c r="B567" s="24" t="str">
        <x:v>Privacy</x:v>
      </x:c>
      <x:c r="C567" s="24" t="str">
        <x:v>الخصوصية</x:v>
      </x:c>
      <x:c r="D567" s="24" t="str">
        <x:v>/privacy</x:v>
      </x:c>
    </x:row>
    <x:row r="568">
      <x:c r="A568" s="24" t="n">
        <x:v>6</x:v>
      </x:c>
      <x:c r="B568" s="24" t="str">
        <x:v>Terms</x:v>
      </x:c>
      <x:c r="C568" s="24" t="str">
        <x:v>شروط الاستخدام</x:v>
      </x:c>
      <x:c r="D568" s="24" t="str">
        <x:v>/terms</x:v>
      </x:c>
    </x:row>
    <x:row r="569">
      <x:c r="A569" s="24" t="n">
        <x:v>7</x:v>
      </x:c>
      <x:c r="B569" s="24" t="str">
        <x:v>Contact</x:v>
      </x:c>
      <x:c r="C569" s="24" t="str">
        <x:v>التواصل</x:v>
      </x:c>
      <x:c r="D569" s="24" t="str">
        <x:v>/contact</x:v>
      </x:c>
    </x:row>
    <x:row r="571">
      <x:c r="A571" s="24" t="str">
        <x:v>Search aliases</x:v>
      </x:c>
    </x:row>
    <x:row r="572">
      <x:c r="A572" s="24" t="str">
        <x:v>alias_id</x:v>
      </x:c>
      <x:c r="B572" s="24" t="str">
        <x:v>terms_en</x:v>
      </x:c>
      <x:c r="C572" s="24" t="str">
        <x:v>terms_ar</x:v>
      </x:c>
      <x:c r="D572" s="24" t="str">
        <x:v>targets</x:v>
      </x:c>
      <x:c r="E572" s="24" t="str">
        <x:v>boundary_note_en</x:v>
      </x:c>
      <x:c r="F572" s="38" t="str">
        <x:v>boundary_note_ar</x:v>
      </x:c>
    </x:row>
    <x:row r="573">
      <x:c r="A573" s="24" t="str">
        <x:v>SEARCH-ALIAS-001</x:v>
      </x:c>
      <x:c r="B573" s="24" t="str">
        <x:v>law; laws</x:v>
      </x:c>
      <x:c r="C573" s="24" t="str">
        <x:v>قانون; قوانين</x:v>
      </x:c>
      <x:c r="D573" s="24" t="str">
        <x:v>document_type:law | route:/reforms/ | route:/data/</x:v>
      </x:c>
      <x:c r="E573" s="24" t="str">
        <x:v>Discovery aid only: this evidence base holds no law as a source document. It holds regulations, circulars, decisions and official lists issued by the Central Bank of Yemen – Aden, listed on the Data &amp; sources page.</x:v>
      </x:c>
      <x:c r="F573"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574">
      <x:c r="A574" s="24" t="str">
        <x:v>SEARCH-ALIAS-002</x:v>
      </x:c>
      <x:c r="B574" s="24" t="str">
        <x:v>decision; decisions</x:v>
      </x:c>
      <x:c r="C574" s="24" t="str">
        <x:v>قرار; قرارات</x:v>
      </x:c>
      <x:c r="D574" s="24" t="str">
        <x:v>document_type:decision/enforcement | route:/providers/ | route:/reforms/</x:v>
      </x:c>
    </x:row>
    <x:row r="575">
      <x:c r="A575" s="24" t="str">
        <x:v>SEARCH-ALIAS-003</x:v>
      </x:c>
      <x:c r="B575" s="24" t="str">
        <x:v>circular; circulars</x:v>
      </x:c>
      <x:c r="C575" s="24" t="str">
        <x:v>تعميم; تعاميم</x:v>
      </x:c>
      <x:c r="D575" s="24" t="str">
        <x:v>document_type:instruction/circular | route:/reforms/</x:v>
      </x:c>
    </x:row>
    <x:row r="576">
      <x:c r="A576" s="24" t="str">
        <x:v>SEARCH-ALIAS-004</x:v>
      </x:c>
      <x:c r="B576" s="24" t="str">
        <x:v>regulation; regulations; instructions</x:v>
      </x:c>
      <x:c r="C576" s="24" t="str">
        <x:v>لائحة; لوائح; تعليمات</x:v>
      </x:c>
      <x:c r="D576" s="24" t="str">
        <x:v>document_type:regulation | document_type:instruction/circular | route:/reforms/ | route:/data/</x:v>
      </x:c>
    </x:row>
    <x:row r="577">
      <x:c r="A577" s="24" t="str">
        <x:v>SEARCH-ALIAS-005</x:v>
      </x:c>
      <x:c r="B577" s="24" t="str">
        <x:v>remittance; remittances</x:v>
      </x:c>
      <x:c r="C577" s="24" t="str">
        <x:v>حوالة; حوالات; تحويلات</x:v>
      </x:c>
      <x:c r="D577" s="24" t="str">
        <x:v>route:/remittances/</x:v>
      </x:c>
    </x:row>
    <x:row r="578">
      <x:c r="A578" s="24" t="str">
        <x:v>SEARCH-ALIAS-006</x:v>
      </x:c>
      <x:c r="B578" s="24" t="str">
        <x:v>exchange company; exchange companies</x:v>
      </x:c>
      <x:c r="C578" s="24" t="str">
        <x:v>صرافة; شركات الصرافة; منشآت الصرافة</x:v>
      </x:c>
      <x:c r="D578" s="24" t="str">
        <x:v>route:/providers/</x:v>
      </x:c>
    </x:row>
    <x:row r="579">
      <x:c r="A579" s="24" t="str">
        <x:v>SEARCH-ALIAS-007</x:v>
      </x:c>
      <x:c r="B579" s="24" t="str">
        <x:v>wallet; e-wallet; e-wallets; electronic wallet</x:v>
      </x:c>
      <x:c r="C579" s="24" t="str">
        <x:v>محفظة; محافظ; المحافظ الإلكترونية; المحفظة الإلكترونية</x:v>
      </x:c>
      <x:c r="D579" s="24" t="str">
        <x:v>route:/payments/</x:v>
      </x:c>
    </x:row>
    <x:row r="580">
      <x:c r="A580" s="24" t="str">
        <x:v>SEARCH-ALIAS-008</x:v>
      </x:c>
      <x:c r="B580" s="24" t="str">
        <x:v>POS; point of sale; POS terminals</x:v>
      </x:c>
      <x:c r="C580" s="24" t="str">
        <x:v>نقاط البيع; نقطة بيع</x:v>
      </x:c>
      <x:c r="D580" s="24" t="str">
        <x:v>route:/payments/</x:v>
      </x:c>
    </x:row>
    <x:row r="581">
      <x:c r="A581" s="24" t="str">
        <x:v>SEARCH-ALIAS-009</x:v>
      </x:c>
      <x:c r="B581" s="24" t="str">
        <x:v>microfinance; MFB; MFI</x:v>
      </x:c>
      <x:c r="C581" s="24" t="str">
        <x:v>التمويل الأصغر; تمويل أصغر</x:v>
      </x:c>
      <x:c r="D581" s="24" t="str">
        <x:v>route:/finance/</x:v>
      </x:c>
    </x:row>
    <x:row r="582">
      <x:c r="A582" s="24" t="str">
        <x:v>SEARCH-ALIAS-010</x:v>
      </x:c>
      <x:c r="B582" s="24" t="str">
        <x:v>exchange rate</x:v>
      </x:c>
      <x:c r="C582" s="24" t="str">
        <x:v>سعر الصرف; أسعار الصرف</x:v>
      </x:c>
      <x:c r="D582" s="24" t="str">
        <x:v>route:/finance/</x:v>
      </x:c>
    </x:row>
    <x:row r="583">
      <x:c r="A583" s="24" t="str">
        <x:v>SEARCH-ALIAS-011</x:v>
      </x:c>
      <x:c r="B583" s="24" t="str">
        <x:v>measurement; measurement agenda; measurement priorities</x:v>
      </x:c>
      <x:c r="C583" s="24" t="str">
        <x:v>أولويات القياس; أجندة القياس; القياس</x:v>
      </x:c>
      <x:c r="D583" s="24" t="str">
        <x:v>route:/measurement/</x:v>
      </x:c>
    </x:row>
    <x:row r="584">
      <x:c r="A584" s="24" t="str">
        <x:v>SEARCH-ALIAS-012</x:v>
      </x:c>
      <x:c r="B584" s="24" t="str">
        <x:v>financial literacy; financial education</x:v>
      </x:c>
      <x:c r="C584" s="24" t="str">
        <x:v>الثقافة المالية; التثقيف المالي</x:v>
      </x:c>
      <x:c r="D584" s="24" t="str">
        <x:v>route:/people/ | route:/reforms/</x:v>
      </x:c>
      <x:c r="E584" s="24" t="str">
        <x:v>Discovery aid only: financial-education activity is not literacy, capability or behaviour.</x:v>
      </x:c>
      <x:c r="F584" s="38" t="str">
        <x:v>وسيلة للعثور على المحتوى فقط: النشاط التثقيفي المالي ليس ثقافة مالية ولا قدرة ولا سلوكًا.</x:v>
      </x:c>
    </x:row>
    <x:row r="585">
      <x:c r="A585" s="24" t="str">
        <x:v>SEARCH-ALIAS-013</x:v>
      </x:c>
      <x:c r="B585" s="24" t="str">
        <x:v>income; income gap</x:v>
      </x:c>
      <x:c r="C585" s="24" t="str">
        <x:v>الدخل; فجوة الدخل</x:v>
      </x:c>
      <x:c r="D585" s="24" t="str">
        <x:v>route:/people/</x:v>
      </x:c>
    </x:row>
    <x:row r="586">
      <x:c r="A586" s="24" t="str">
        <x:v>SEARCH-ALIAS-014</x:v>
      </x:c>
      <x:c r="B586" s="24" t="str">
        <x:v>credit; lending</x:v>
      </x:c>
      <x:c r="C586" s="24" t="str">
        <x:v>الائتمان; الإقراض</x:v>
      </x:c>
      <x:c r="D586" s="24" t="str">
        <x:v>route:/finance/ | route:/firms/</x:v>
      </x:c>
    </x:row>
    <x:row r="587">
      <x:c r="A587" s="24" t="str">
        <x:v>SEARCH-ALIAS-015</x:v>
      </x:c>
      <x:c r="B587" s="24" t="str">
        <x:v>licensed banks; licensed bank; bank list</x:v>
      </x:c>
      <x:c r="C587" s="24" t="str">
        <x:v>البنوك المرخصة; بنوك مرخصة; قائمة البنوك</x:v>
      </x:c>
      <x:c r="D587" s="24" t="str">
        <x:v>route:/providers/</x:v>
      </x:c>
    </x:row>
    <x:row r="588">
      <x:c r="A588" s="24" t="str">
        <x:v>SEARCH-ALIAS-016</x:v>
      </x:c>
      <x:c r="B588" s="24" t="str">
        <x:v>remittance cost; remittance prices; transfer cost</x:v>
      </x:c>
      <x:c r="C588" s="24" t="str">
        <x:v>تكلفة التحويل; تكلفة الحوالات; رسوم التحويل</x:v>
      </x:c>
      <x:c r="D588" s="24" t="str">
        <x:v>route:/remittances/</x:v>
      </x:c>
    </x:row>
    <x:row r="589">
      <x:c r="A589" s="24" t="str">
        <x:v>SEARCH-ALIAS-017</x:v>
      </x:c>
      <x:c r="B589" s="24" t="str">
        <x:v>Aden; CBY Aden; CBY-Aden</x:v>
      </x:c>
      <x:c r="C589" s="24" t="str">
        <x:v>عدن; البنك المركزي في عدن</x:v>
      </x:c>
      <x:c r="D589" s="24" t="str">
        <x:v>route:/providers/ | route:/data/</x:v>
      </x:c>
      <x:c r="E589" s="24" t="str">
        <x:v>Discovery aid only: CBY-Aden lists, decisions and statistics carry the scope of that authority; they do not describe all of Yemen.</x:v>
      </x:c>
      <x:c r="F589" s="38" t="str">
        <x:v>وسيلة للعثور على المحتوى فقط: قوائم البنك المركزي اليمني في عدن وقراراته وإحصاءاته تحمل نطاق تلك السلطة، ولا تصف اليمن كله.</x:v>
      </x:c>
    </x:row>
    <x:row r="590">
      <x:c r="A590" s="24" t="str">
        <x:v>SEARCH-ALIAS-018</x:v>
      </x:c>
      <x:c r="B590" s="24" t="str">
        <x:v>deposits; deposit; bank deposits</x:v>
      </x:c>
      <x:c r="C590" s="24" t="str">
        <x:v>الودائع; ودائع; الودائع المصرفية</x:v>
      </x:c>
      <x:c r="D590" s="24" t="str">
        <x:v>route:/finance/</x:v>
      </x:c>
    </x:row>
    <x:row r="591">
      <x:c r="A591" s="24" t="str">
        <x:v>SEARCH-ALIAS-019</x:v>
      </x:c>
      <x:c r="B591" s="24" t="str">
        <x:v>SME finance; SME; SMEs; MSME; MSMEs; MSME finance; small business finance</x:v>
      </x:c>
      <x:c r="C591" s="24" t="str">
        <x:v>المنشآت الصغيرة والمتوسطة; تمويل المنشآت الصغيرة والمتوسطة; المنشآت الأصغر والصغيرة والمتوسطة; المنشآت الصغرى والصغيرة والمتوسطة</x:v>
      </x:c>
      <x:c r="D591" s="24" t="str">
        <x:v>route:/firms/</x:v>
      </x:c>
    </x:row>
    <x:row r="592">
      <x:c r="A592" s="24" t="str">
        <x:v>SEARCH-ALIAS-020</x:v>
      </x:c>
      <x:c r="B592" s="24" t="str">
        <x:v>RTGS; real-time gross settlement; real time gross settlement</x:v>
      </x:c>
      <x:c r="C592" s="24" t="str">
        <x:v>التسوية الإجمالية الفورية; نظام التسوية الإجمالية الفورية</x:v>
      </x:c>
      <x:c r="D592" s="24" t="str">
        <x:v>route:/payments/ | route:/reforms/</x:v>
      </x:c>
    </x:row>
    <x:row r="593">
      <x:c r="A593" s="24" t="str">
        <x:v>SEARCH-ALIAS-021</x:v>
      </x:c>
      <x:c r="B593" s="24" t="str">
        <x:v>FPS; fast payment system; fast payments</x:v>
      </x:c>
      <x:c r="C593" s="24" t="str">
        <x:v>نظام الدفع السريع; الدفع السريع; المدفوعات السريعة</x:v>
      </x:c>
      <x:c r="D593" s="24" t="str">
        <x:v>route:/payments/ | route:/reforms/</x:v>
      </x:c>
    </x:row>
    <x:row r="594">
      <x:c r="A594" s="24" t="str">
        <x:v>SEARCH-ALIAS-022</x:v>
      </x:c>
      <x:c r="B594" s="24" t="str">
        <x:v>consumer protection; financial consumer protection</x:v>
      </x:c>
      <x:c r="C594" s="24" t="str">
        <x:v>حماية المستهلك; حماية المستهلك المالي</x:v>
      </x:c>
      <x:c r="D594" s="24" t="str">
        <x:v>route:/reforms/</x:v>
      </x:c>
    </x:row>
    <x:row r="595">
      <x:c r="A595" s="24" t="str">
        <x:v>SEARCH-ALIAS-023</x:v>
      </x:c>
      <x:c r="B595" s="24" t="str">
        <x:v>complaints; complaint; complaint handling; redress</x:v>
      </x:c>
      <x:c r="C595" s="24" t="str">
        <x:v>الشكاوى; شكوى; معالجة الشكاوى; التظلم</x:v>
      </x:c>
      <x:c r="D595" s="24" t="str">
        <x:v>route:/reforms/</x:v>
      </x:c>
      <x:c r="E595" s="24" t="str">
        <x:v>Discovery aid only: official guidance and instructions describe a complaint path and time limits, not how complaints are handled in practice.</x:v>
      </x:c>
      <x:c r="F595" s="38" t="str">
        <x:v>وسيلة للعثور على المحتوى فقط: تصف الإرشادات والتعليمات الرسمية مسار الشكوى ومهلها، لا طريقة معالجة الشكاوى فعليًا.</x:v>
      </x:c>
    </x:row>
    <x:row r="596">
      <x:c r="A596" s="24" t="str">
        <x:v>SEARCH-ALIAS-024</x:v>
      </x:c>
      <x:c r="B596" s="24" t="str">
        <x:v>FMIIP; Financial Market Infrastructure and Inclusion Project</x:v>
      </x:c>
      <x:c r="C596" s="24" t="str">
        <x:v>FMIIP; مشروع البنية التحتية للأسواق المالية والشمول المالي; مشروع البنية التحتية للأسواق والشمول المالي</x:v>
      </x:c>
      <x:c r="D596" s="24" t="str">
        <x:v>route:/reforms/ | route:/payments/</x:v>
      </x:c>
    </x:row>
    <x:row r="597">
      <x:c r="A597" s="24" t="str">
        <x:v>SEARCH-ALIAS-025</x:v>
      </x:c>
      <x:c r="B597" s="24" t="str">
        <x:v>women; woman; female; gender; gender gap</x:v>
      </x:c>
      <x:c r="C597" s="24" t="str">
        <x:v>المرأة; امرأة; النساء; نساء; الإناث; النوع الاجتماعي; فجوة النوع الاجتماعي; الفجوة بين الجنسين</x:v>
      </x:c>
      <x:c r="D597" s="24" t="str">
        <x:v>route:/people/</x:v>
      </x:c>
      <x:c r="E597" s="24" t="str">
        <x:v>Discovery aid only: the measured gap comes from one survey wave (the 2021 Findex wave; Yemen fieldwork 2022–23); it is not a 2026 figure and does not establish causes.</x:v>
      </x:c>
      <x:c r="F597"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598">
      <x:c r="A598" s="24" t="str">
        <x:v>SEARCH-ALIAS-026</x:v>
      </x:c>
      <x:c r="B598" s="24" t="str">
        <x:v>humanitarian; cash transfer; cash transfers; social protection; G2P</x:v>
      </x:c>
      <x:c r="C598" s="24" t="str">
        <x:v>إنساني; المساعدات الإنسانية; التحويلات النقدية; الحماية الاجتماعية; مدفوعات الحكومة للأفراد</x:v>
      </x:c>
      <x:c r="D598" s="24" t="str">
        <x:v>route:/readings/after-transfer-persistence/ | route:/payments/</x:v>
      </x:c>
    </x:row>
    <x:row r="599">
      <x:c r="A599" s="24" t="str">
        <x:v>SEARCH-ALIAS-027</x:v>
      </x:c>
      <x:c r="B599" s="24" t="str">
        <x:v>licence; license; licensing; suspension; closure</x:v>
      </x:c>
      <x:c r="C599" s="24" t="str">
        <x:v>ترخيص; تراخيص; إيقاف; تعليق; إغلاق</x:v>
      </x:c>
      <x:c r="D599" s="24" t="str">
        <x:v>route:/providers/ | document_type:decision/enforcement</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Latest representative account-ownership measure available</x:v>
      </x:c>
      <x:c r="E5" s="28" t="str">
        <x:v>أحدث قياس ممثل متاح لامتلاك الحساب</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are matched with the roster entity by entity, because a decision may or may not already be reflected in it.</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تُطابَق قرارات البنك المركزي في عدن الصادرة خلال 2026 (بين يناير وسبتمبر 2026) بتعليق تراخيص جهات مسماة أو سحبها أو بإغلاق مقارها مع القائمة جهةً جهة، إذ قد يكون أثر القرار منعكسًا فيها وقد لا يكون.</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x:v>
      </x:c>
      <x:c r="Y10" s="24" t="str">
        <x:v>[]</x:v>
      </x:c>
      <x:c r="Z10" t="str">
        <x:v>BOUND_EXACT</x:v>
      </x:c>
      <x:c r="AB10" t="str">
        <x:v>SRC-CBY-UNLICENSED-EWALLET-2024-001=status event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matched to it entity by entity, because the roster's issue date is not stated.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وتُطابَق معها جهةً جهة، لأن القائمة لا تذكر تاريخ صدورها.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The 2026 decisions are matched to named entities one by one, without assuming whether the roster already reflects them, because the roster does not state its issue date;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وتُطابَق قرارات 2026 مع الجهات المسماة جهةً جهة، من دون افتراض أن القائمة تعكسها أو لا تعكسها، لأن القائمة لا تذكر تاريخ صدورها؛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matched with it entity by entity and are not subtracted from it to produce a count of providers operating now.</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تُطابَق معها جهةً جهة، ولا تُطرح منها لاستخراج عدد لمقدمي الخدمات العاملين حاليًا.</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decision is matched to named entities one by one, without assuming whether the roster already reflects it.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يُطابَق كل قرار مع الجهات المسماة جهةً جهة، من دون افتراض أن القائمة تعكسه أو لا تعكسه.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gaps and breaks shown</x:v>
      </x:c>
      <x:c r="E27" s="28" t="str">
        <x:v>مشاهدات التمويل الأصغر بحسب التاريخ، مع إظهار الفجوات والانقطاعات</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shows materially higher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تُظهر القيم التاريخية الواردة في تقرير خبراء صندوق النقد الدولي لمشاورات المادة الرابعة لعام 2025 أن التحويلات الواردة في ميزان المدفوعات كانت في 2024 أعلى بصورة جوهرية منها في 2018 (والقيمتان من الوثيقة نفسها)، أما تقدير 2025 وتوقعات 2026–2030 فمصدرها ملحق لاحق، وهي نوع دليل مختلف.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We Cash electronic payment services is one of 12 names in a 26 June 2024 circular of the Central Bank of Yemen – Aden (CBY-Aden) listing services that CBY-Aden considered unlicensed on that date and with which banks and exchange businesses were told not to deal. Its status under any other authority, and its status after that date, are not established here.</x:v>
      </x:c>
      <x:c r="G34" s="28" t="str">
        <x:v>ترد خدمة وي كاش للدفع الإلكتروني ضمن 12 اسمًا في تعميم للبنك المركزي اليمني – عدن بتاريخ 26 يونيو 2024 يسرد خدمات اعتبرها غير مرخصة في ذلك التاريخ، ويوجّه البنوك وشركات الصرافة إلى عدم التعامل معها. ولا يثبت هذا الدليل وضعها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Only this one of the 12 names listed in the circular.</x:v>
      </x:c>
      <x:c r="M34" s="28" t="str">
        <x:v>هذا الاسم وحده من بين الأسماء الـ12 الواردة في التعميم.</x:v>
      </x:c>
      <x:c r="N34" s="24" t="str">
        <x:v>Taken from the text of the circular of the Central Bank of Yemen – Aden (CBY-Aden) dated 26 June 2024, which names 12 wallets, entities or services.</x:v>
      </x:c>
      <x:c r="O34" s="28" t="str">
        <x:v>مأخوذ من نص تعميم البنك المركزي اليمني – عدن المؤرخ في 26 يونيو 2024، الذي يسمّي 12 محفظة أو جهة أو خدمة.</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محفظة القروض</x:v>
      </x:c>
      <x:c r="F35"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5"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milestones: 1997 as the institutional origin and start of microfinance, and 1998 as the start of active programme involvement. The two dates answer different historical questions.</x:v>
      </x:c>
      <x:c r="G36"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ww.sfd-yemen.org/uploads/issues/Microfinance%20Islamic%20Products%20Study%28TOR%29-20130109-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أنشطة الثقافة المالية لا تثبت نتائج في القدرات المالية</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Yemen Global Findex 2021 study file has 1,000 respondents and 113 variables; Yemen fieldwork ran from 7 November 2022 to 9 January 2023 and all population estimates require survey weights.</x:v>
      </x:c>
      <x:c r="G38"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World Bank variable pages for the Global Findex 2021 Yemen microdata; Yemen fieldwork 2022–2023.</x:v>
      </x:c>
      <x:c r="K39" s="28" t="str">
        <x:v>صفحات المتغيرات لدى البنك الدولي لملف البيانات الجزئية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latest Findex wave</x:v>
      </x:c>
      <x:c r="E40" s="28" t="str">
        <x:v>حدود التغطية الجغرافية لأحدث موجة من Findex</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(survey round); Yemen fieldwork 2022-11-07 to 2023-01-09</x:v>
      </x:c>
      <x:c r="K40" s="28" t="str">
        <x:v>موجة Findex 2021 (جولة المسح)؛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sub-group asked each question in the Findex data examined; information describing the sample, not population estimates.</x:v>
      </x:c>
      <x:c r="M42"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7 November 2022 to 9 January 2023, the latest wave available for Yemen.</x:v>
      </x:c>
      <x:c r="S42" s="28" t="str">
        <x:v>لا تُعرض أي قيم بعد. وعند إنتاجها ستعود إلى موجة Findex 2021، التي نُفذ عملها الميداني في اليمن من 7 نوفمبر 2022 إلى 9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Account ownership, account use and digital use: three separate measures</x:v>
      </x:c>
      <x:c r="E43" s="28" t="str">
        <x:v>امتلاك الحساب واستخدامه والاستخدام الرقمي: ثلاثة مقاييس منفصلة</x:v>
      </x:c>
      <x:c r="F43"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indicator with its own population and measurement base.</x:v>
      </x:c>
      <x:c r="M43" s="28" t="str">
        <x:v>مؤشرات امتلاك الحساب واستخدامه والاستخدام الرقمي في Findex، مع مجتمع وقاعدة قياس منفصلين لكل مؤشر.</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x:v>
      </x:c>
      <x:c r="M44" s="28" t="str">
        <x:v>البالغون الذين لا يملكون حسابًا ضمن قاعدة الاحتساب الخاصة بمؤشرات العوائق في Findex.</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7 November 2022 to 9 January 2023, the latest wave available for Yemen.</x:v>
      </x:c>
      <x:c r="S44" s="28" t="str">
        <x:v>لا تُعرض أي قيم بعد. وعند إنتاجها ستعود إلى موجة Findex 2021، التي نُفذ عملها الميداني في اليمن من 7 نوفمبر 2022 إلى 9 يناير 2023، وهي أحدث موجة متاحة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x:v>
      </x:c>
      <x:c r="M45" s="28" t="str">
        <x:v>المجتمعات والفئات التي تعرفها أسئلة القدرة على تدبير المال والصمود المالي في Findex، مع الحفاظ على قاعدة الاحتساب والإجابات المفقودة لكل سؤال.</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7 November 2022 to 9 January 2023, the latest wave available for Yemen.</x:v>
      </x:c>
      <x:c r="S45" s="28" t="str">
        <x:v>لا تُعرض أي قيم بعد. وعند إنتاجها ستعود إلى موجة Findex 2021، التي نُفذ عملها الميداني في اليمن من 7 نوفمبر 2022 إلى 9 يناير 2023، وهي أحدث موجة متاحة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government transfers, agricultural payments and domestic remittances</x:v>
      </x:c>
      <x:c r="E46" s="28" t="str">
        <x:v>كيف تصل الأموال إلى الأفراد: الأجور والتحويلات الحكومية والمدفوعات الزراعية والحوالات المحلية</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Adults who received wages, government transfers, agricultural payments or remittances, each group taken separately in Findex; not shares of all adults unless the source says so.</x:v>
      </x:c>
      <x:c r="M46"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7 November 2022 to 9 January 2023, the latest wave available for Yemen.</x:v>
      </x:c>
      <x:c r="S46" s="28" t="str">
        <x:v>لا تُعرض أي قيم بعد. وعند إنتاجها ستعود إلى موجة Findex 2021، التي نُفذ عملها الميداني في اليمن من 7 نوفمبر 2022 إلى 9 يناير 2023، وهي أحدث موجة متاحة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7"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مسارات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 recipient or account-holder sub-groups</x:v>
      </x:c>
      <x:c r="M50" s="28" t="str">
        <x:v>السكان المدنيون بعمر 15 سنة فأكثر من غير نزلاء المؤسسات؛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evidence on financial behaviour centered on 2014, with the latest verified account-ownership value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status.</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فطابِق كل سجل مرتبط مع مصدره.</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امتلاك الحساب في موجات Findex المرصودة لليمن، لا سلسلة سنوية</x:v>
      </x:c>
      <x:c r="F52"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قيم موجات Findex الخاصة باليمن التي جرى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Latest observation for each people-side financial function</x:v>
      </x:c>
      <x:c r="E53" s="28" t="str">
        <x:v>أحدث مشاهدة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2014 to 2022; no weighted values yet for some measures in the 2021 wave</x:v>
      </x:c>
      <x:c r="K53" s="28" t="str">
        <x:v>من 2014 إلى 2022؛ ولا توجد بعد قيم موزونة لبعض مقاييس موجة 2021</x:v>
      </x:c>
      <x:c r="L53" s="24" t="str">
        <x:v>The latest period with a supported numeric value for each people-side financial function, with account ownership, saving, borrowing, remittances, resilience and barriers kept separate.</x:v>
      </x:c>
      <x:c r="M53" s="28" t="str">
        <x:v>أحدث فترة تتوفر لها قيمة رقمية معتمدة لكل وظيفة مالية على جانب الأفراد، مع فصل امتلاك الحساب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فطابِق كل سجل مرتبط مع مصدره.</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covered by the 2014 Findex data for Yemen; borrowing from any source is shown separately from source or purpose indicators.</x:v>
      </x:c>
      <x:c r="M54" s="28" t="str">
        <x:v>البالغون المشمولون ببيانات Findex لليمن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All adults in the 2014 Findex data for sending and receiving; for channels, only the adults who sent, or who received, domestic remittances.</x:v>
      </x:c>
      <x:c r="M55" s="28" t="str">
        <x:v>جميع البالغين في بيانات Findex لعام 2014 لنسب الإرسال والاستلام؛ وللقنوات، البالغون الذين أرسلوا حوالات محلية أو الذين تلقوها فقط.</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status,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latest wave</x:v>
      </x:c>
      <x:c r="E57" s="28" t="str">
        <x:v>مقاييس Findex التاريخية التي يمكن مقارنتها بأحدث موجة</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7" s="24" t="str">
        <x:v>A crosswalk identifies conceptual comparability; it does not make every historical and latest-wave metric numerically interchangeable, and latest-wave values remain unavailable until the required computation and quality checks are complete.</x:v>
      </x:c>
      <x:c r="Q57"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7 November 2022 to 9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Shows, for ten financial functions, the period that each function's evidence refers to, so that the people-side answer does not imply one common latest year.</x:v>
      </x:c>
      <x:c r="G58" s="28" t="str">
        <x:v>يبين 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A cross-wave summary of the Findex evidence used in this resource that preserves each financial function’s source wave, definition and availability. It shows how recent the evidence is for each function; it is not a new population estimate.</x:v>
      </x:c>
      <x:c r="O58"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وطابِقه مع مصدره.</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الحسابات والمعاملات ليست أشخاصًا فريدين</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المشتركون أو المعاملات الإدارية بقياسات مسحية تخص الأشخاص.</x:v>
      </x:c>
      <x:c r="L59" s="24" t="str">
        <x:v>Different units of measurement: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Yemen Enterprise Survey of seven governorates, electricity and fuel shortages were each named as a business challenge more often than access to finance.</x:v>
      </x:c>
      <x:c r="G60"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60"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60"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60"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the shares rating finance as a major or a moderate obstacle together total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3 October 2026, names 26 banks. Appearing on the list establishes listing or licensing in that source, not operation.</x:v>
      </x:c>
      <x:c r="G62"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3 October 2026.</x:v>
      </x:c>
      <x:c r="I62" s="28" t="str">
        <x:v>عدد البنوك الواردة في قائمة البنوك المرخصة لدى البنك المركزي اليمني – عدن، كما اطُّلع عليها في 3 أكتوبر 2026.</x:v>
      </x:c>
      <x:c r="J62" s="24" t="str">
        <x:v>List as checked on 3 October 2026</x:v>
      </x:c>
      <x:c r="K62" s="28" t="str">
        <x:v>القائمة كما اطُّلع عليها في 3 أكتوبر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3 October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Evidence observed from 2014 through 2026, depending on domain, as compared in the current edition of this resource.</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وطابِقه مع مصدره.</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4"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June 2026.</x:v>
      </x:c>
      <x:c r="I66" s="28" t="str">
        <x:v>العدد الشهري لأجهزة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7" s="24" t="str">
        <x:v>The monthly number of POS transactions reported by the Central Bank of Yemen – Aden (CBY-Aden) within its reporting scope, March 2025 to June 2026.</x:v>
      </x:c>
      <x:c r="I67" s="28" t="str">
        <x:v>العدد الشهري لمعاملات نقاط البيع التي يُبلغ عنها البنك المركزي اليمني – عدن ضمن نطاق إبلاغه، من مارس 2025 إلى يونيو 2026.</x:v>
      </x:c>
      <x:c r="J67" s="24" t="str">
        <x:v>Mar-2025–Jun-2026 monthly</x:v>
      </x:c>
      <x:c r="K67" s="28" t="str">
        <x:v>شهريًا من مارس 2025 إلى يونيو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 SRC-CBY-POS-2026-02; SRC-CBY-POS-2026-03; SRC-CBY-POS-2026-04; SRC-CBY-POS-2026-05; SRC-CBY-POS-2026-06</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June 2026, with no value for September 2025.</x:v>
      </x:c>
      <x:c r="I68"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8" s="24" t="str">
        <x:v>Mar-2025–Jun-2026; Sep-2025 gap</x:v>
      </x:c>
      <x:c r="K68" s="28" t="str">
        <x:v>مارس 2025 – يونيو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8"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 SRC-CBY-POS-2026-02; SRC-CBY-POS-2026-03; SRC-CBY-POS-2026-04; SRC-CBY-POS-2026-05; SRC-CBY-POS-2026-06</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ومحفظة القروض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1" s="24" t="str">
        <x:v>Annual external-sector remittances, in US$ million, in the IMF series for 2018–2030, with each year labelled as reported history (2018–2024), estimate (2025) or projection (2026–2030).</x:v>
      </x:c>
      <x:c r="I71"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each year labelled as reported history, estimate or projection, with its source document</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surveyed formal firms report, 2022</x:v>
      </x:c>
      <x:c r="E73" s="28" t="str">
        <x:v>التمويل ليس القيد الوحيد الذي تذكره المنشآت الرسمية المشمولة بالمسح، 2022</x:v>
      </x:c>
      <x:c r="F7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Yemen Enterprise Survey</x:v>
      </x:c>
      <x:c r="M73" s="28" t="str">
        <x:v>المنشآت الرسمية في المحافظات السبع المختارة التي شملها مسح المنشآت في اليمن لعام 2022.</x:v>
      </x:c>
      <x:c r="N73"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in 18 valid responses from surveyed formal firms, 2022</x:v>
      </x:c>
      <x:c r="E74" s="28" t="str">
        <x:v>مصادر القروض في 18 استجابة صالحة من المنشآت الرسمية المشمولة بالمسح،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recorded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Financial consumer protection: which steps from framework to outcome are evidenced?</x:v>
      </x:c>
      <x:c r="E76" s="28" t="str">
        <x:v>حماية المستهلك المالي: أي المراحل من الإطار إلى النتيجة تسندها الأدلة؟</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recorded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2023 to 2024 (official sources), with OECD context from 2026; later stages have no evidence</x:v>
      </x:c>
      <x:c r="K76" s="28" t="str">
        <x:v>من 2023 إلى 2024 (المصادر الرسمية)، مع سياق من منظمة التعاون الاقتصادي والتنمية في 2026؛ ولا تتوفر أدلة على المراحل اللاحقة</x:v>
      </x:c>
      <x:c r="L76" s="24" t="str">
        <x:v>Official instruments and guidance of the Central Bank of Yemen – Aden (CBY-Aden), with context attributed to the OECD, keeping the framework separate from implementation and outcomes</x:v>
      </x:c>
      <x:c r="M76"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6" s="24" t="str">
        <x:v>The latest official source in this record dates from 23 March 2024, and the OECD analysis from 2026. The evidence base holds no evidence on implementation, enforcement or consumer outcomes for any date.</x:v>
      </x:c>
      <x:c r="S76"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Individual event dates; context as of 2026</x:v>
      </x:c>
      <x:c r="K77" s="28" t="str">
        <x:v>تواريخ الأحداث المنفردة؛ والسياق كما هو في 2026</x:v>
      </x:c>
      <x:c r="L77" s="24" t="str">
        <x:v>Funding and programme relationships as each source defines them, with flow types and funding states kept separate</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edition of this resource dated 3 October 2026</x:v>
      </x:c>
      <x:c r="K78" s="28" t="str">
        <x:v>وفق إصدار هذا المورد المؤرخ في 3 أكتوبر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edition of this resource dated 3 October 2026. A gap closes when new evidence fills it, and the list changes accordingly.</x:v>
      </x:c>
      <x:c r="S78" s="28" t="str">
        <x:v>الفجوات هي المسجلة وفق إصدار هذا المورد المؤرخ في 3 أكتوبر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وطابِقه مع مصدره.</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Project: the World Bank-financed Financial Market Infrastructure and Inclusion Project (FMIIP), which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G79"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المشروع: مشروع البنية التحتية للأسواق المالية والشمول المالي في اليمن (FMIIP) الممول من البنك الدولي، الذي 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 with rules, projects, integration, institutions, operation and use kept separate</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Edition of this resource dated 3 October 2026</x:v>
      </x:c>
      <x:c r="K80" s="28" t="str">
        <x:v>إصدار هذا المورد المؤرخ في 3 أكتوبر 2026</x:v>
      </x:c>
      <x:c r="L80" s="24" t="str">
        <x:v>Evidence records published in this resource only, classified by their nature and by what each can establish</x:v>
      </x:c>
      <x:c r="M80" s="28" t="str">
        <x:v>سجلات الأدلة المنشورة في هذا المورد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edition of this resource dated 3 October 2026.</x:v>
      </x:c>
      <x:c r="S80" s="28" t="str">
        <x:v>يحدد هذا السجل أنواع الأدلة وليس له تاريخ رصد؛ ويعكس تصنيف السجلات في هذه الأنواع إصدار هذا المورد المؤرخ في 3 أكتوبر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وطابِقه مع مصدره.</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Activity 2023–2025, and the latest available capability survey (2023)</x:v>
      </x:c>
      <x:c r="K81" s="28" t="str">
        <x:v>أنشطة 2023–2025، وأحدث مسح متاح للقدرات المالية (2023)</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ونتائج البرنامج التي يثبتها التقييم؛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قيمتي محفظة القروض في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2" s="24" t="str">
        <x:v>It does not estimate a cause of the fall or how large any cause's effect was,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recorded in the evidence base.</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recorded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recorded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historical series</x:v>
      </x:c>
      <x:c r="E84" s="28" t="str">
        <x:v>بعثة إحصاءات القطاع الخارجي في 2025 أنتجت سلسلة تاريخية للفترة 2014–2024</x:v>
      </x:c>
      <x:c r="F84"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4" s="24" t="str">
        <x:v>A documented statistical reconstruction exercise that produced a revised historical external-sector series.</x:v>
      </x:c>
      <x:c r="I84" s="28" t="str">
        <x:v>عملية إعادة بناء إحصائية موثقة نتجت عنها سلسلة تاريخية منقحة لإحصاءات القطاع الخارجي.</x:v>
      </x:c>
      <x:c r="J84" s="24" t="str">
        <x:v>Statistics for 2014–2024 produced in July 2025; publication cycle 2025–2026</x:v>
      </x:c>
      <x:c r="K84" s="28" t="str">
        <x:v>إحصاءات للفترة 2014–2024 أُنتجت في يوليو 2025؛ دورة النشر 2025–2026</x:v>
      </x:c>
      <x:c r="L84" s="24" t="str">
        <x:v>The IMF's analytical framework for external-sector statistics for areas under the internationally recognized government; component scopes and source methods vary</x:v>
      </x:c>
      <x:c r="M84" s="28" t="str">
        <x:v>الإطار التحليلي لصندوق النقد الدولي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published CBY and IMF balance-of-payments components tested do not support a single conversion factor</x:v>
      </x:c>
      <x:c r="E85" s="28" t="str">
        <x:v>لا تدعم مكونات ميزان المدفوعات المنشورة التي اختُبرت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Overlapping years 2021–2024; IMF reconstruction covering 2014–2025</x:v>
      </x:c>
      <x:c r="K86" s="28" t="str">
        <x:v>السنوات المتداخلة 2021–2024؛ وإعادة البناء لدى صندوق النقد الدولي للفترة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The balance of payments as each source defines it</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بديل قائم على متبقي ميزان المدفوعات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متبقي ميزان المدفوعات، يبقى منفصلًا عن خط الأساس المعتمد للتحويلات.</x:v>
      </x:c>
      <x:c r="J88" s="24" t="str">
        <x:v>2024 estimate</x:v>
      </x:c>
      <x:c r="K88" s="28" t="str">
        <x:v>تقدير 2024</x:v>
      </x:c>
      <x:c r="L88" s="24" t="str">
        <x:v>Yemen as a whole, as an analytical estimate; not an observed official value</x:v>
      </x:c>
      <x:c r="M88" s="28" t="str">
        <x:v>تقدير تحليلي يسعى إلى تمثيل اليمن ككل، وليس قيمة رسمية مرصودة بذاتها.</x:v>
      </x:c>
      <x:c r="N88" s="24" t="str">
        <x:v>Balance-of-payments residual model. The underlying material has no publicly accessible original,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link to its original document,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مستمرًا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Local, programme and project populations as each source defines them</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stage.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Specific to each source or funding or support package</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As defined by the source concerned</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statistical history overnight</x:v>
      </x:c>
      <x:c r="E92" s="28" t="str">
        <x:v>الإصدار BPM7 يحدّث المعيار، لكنه لا يعيد كتابة السلاسل الإحصائية التاريخية لليمن فورًا</x:v>
      </x:c>
      <x:c r="F92"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The BPM7 transition period, and the currently published editions of Yemen's historical external-sector series.</x:v>
      </x:c>
      <x:c r="K92" s="28" t="str">
        <x:v>فترة الانتقال إلى BPM7، والنسخ المنشورة حاليًا من السلاسل التاريخية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Transactions reported by the source for the five providers covered by the study</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6"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E-money accounts or users as reported by the source or by providers</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ومحفظة القروض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tables), set beside end-2023 (a secondary figure citing SFD/SMED data).</x:v>
      </x:c>
      <x:c r="K98" s="28" t="str">
        <x:v>نهاية 2015 ونهاية 2020 (جداول أصلية موثقة)، إلى جانب نهاية 2023 (رقم ثانوي يستند إلى بيانات SFD/SMED).</x:v>
      </x:c>
      <x:c r="L98" s="24" t="str">
        <x:v>Microfinance borrower, saver/depositor and nominal-portfolio measures drawn from provider and reporting groups defined by each source, which are not yet fully harmonized across years.</x:v>
      </x:c>
      <x:c r="M98"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Being 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3 October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9" s="24" t="str">
        <x:v>List as checked on 3 October 2026</x:v>
      </x:c>
      <x:c r="K99" s="28" t="str">
        <x:v>القائمة كما اطُّلع عليها في 3 أكتوبر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3 October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2023 figure of 91% cannot be moved from one measure to the other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the evidence base holds no later provider-level figure.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for which it has not yet been shown that the June and year-end points cover the same providers and use the same source method.</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«تشخيص القطاع المالي في اليمن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3" s="24" t="str">
        <x:v>A revision in the published value for the same reference year across different editions of the publication.</x:v>
      </x:c>
      <x:c r="I103" s="28" t="str">
        <x:v>مراجعة في القيمة المنشورة للسنة المرجعية نفسها بين نسخ نشر مختلفة.</x:v>
      </x:c>
      <x:c r="J103" s="24" t="str">
        <x:v>Reference years 2020–2025 in the 2022–2025 annual reports;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يعود جزء من القفزة في الأرقام المصرفية إلى تغيّر في أسلوب التقييم</x:v>
      </x:c>
      <x:c r="F104"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Remittance series for the overlapping years 2021–2025, as published in the CBY-Aden Annual Report 2025.</x:v>
      </x:c>
      <x:c r="K105" s="28" t="str">
        <x:v>سلسلة التحويلات للسنوات المتداخلة 2021–2025 كما نُشرت في التقرير السنوي 2025 للبنك المركزي اليمني – عدن.</x:v>
      </x:c>
      <x:c r="L105" s="24" t="str">
        <x:v>The remittance series as defined and published within the CBY-Aden Annual Report 2025;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between editions of the annual report</x:v>
      </x:c>
      <x:c r="E106" s="28" t="str">
        <x:v>تتغير الصورة النسبية للتحويلات وتمويل المانحين باختلاف إصدار التقرير السنوي</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in the CBY-Aden Annual Reports 2024 and 2025.</x:v>
      </x:c>
      <x:c r="K106" s="28" t="str">
        <x:v>السنة المرجعية 2024 كما تظهر في التقريرين السنويين 2024 و2025 للبنك المركزي اليمني – عدن.</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لصندوق النقد الدولي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a precedent and cannot be called the “first ever”</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Accounts denominated in foreign currency and banks' foreign-currency positions, within each source's statistical or reporting scope</x:v>
      </x:c>
      <x:c r="M109" s="28" t="str">
        <x:v>الحسابات المقومة بالعملات الأجنبية ومراكز العملات الأجنبية لدى البنوك ضمن نطاقات الإبلاغ أو الإحصاء الخاصة بكل مصدر.</x:v>
      </x:c>
      <x:c r="N109" s="24" t="str">
        <x:v>The valuation method traced across editions of IMF metadata, the CBY annual report and CBY monetary and financial data</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interfaces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interfaces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Specific to each source or display interface</x:v>
      </x:c>
      <x:c r="M110" s="28" t="str">
        <x:v>النطاق الخاص بكل مصدر أو واجهة عرض.</x:v>
      </x:c>
      <x:c r="N110" s="24" t="str">
        <x:v>World Bank data interfaces, including World Development Indicators (WDI), with documented earlier use of the source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describes the programme, not all MSMEs in Yemen</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the World Bank's 2022 Yemen Enterprise Survey: account holding, average working-capital source shares, financial intermediaries used, and informal firms' account holding.</x:v>
      </x:c>
      <x:c r="I113"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this record contains no later project result.</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Project: the World Bank-financed Financial Market Infrastructure and Inclusion Project (FMIIP), which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المشروع: مشروع البنية التحتية للأسواق المالية والشمول المالي في اليمن (FMIIP) الممول من البنك الدولي، الذي 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had an account, a difference of 12.91 percentage points — and places possible mechanisms in a separate layer of hypotheses to test, not causal arrows.</x:v>
      </x:c>
      <x:c r="H37" s="28" t="str">
        <x:v>يبدأ بالمستويات المقاسة داخل الموجة نفسها — امتلكت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2026-10-03</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2026-10-03</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c r="D16" s="24" t="str">
        <x:v>DS-PROVIDER-MASTER,DS-PROVIDER-STATUS-EVENTS</x:v>
      </x:c>
      <x:c r="E16" s="24" t="n">
        <x:v>4</x:v>
      </x:c>
      <x:c r="F16" s="168" t="str">
        <x:v>Governor's Decision No. 13 of 2026 on licence suspensions and closures (6 August 2026)</x:v>
      </x:c>
      <x:c r="G16" s="168" t="str">
        <x:v>Central Bank of Yemen — Aden</x:v>
      </x:c>
      <x:c r="H16" s="168"/>
      <x:c r="I16" s="168"/>
      <x:c r="J16" s="168"/>
      <x:c r="K16" s="168" t="str">
        <x:v>CITATION_CARD</x:v>
      </x:c>
      <x:c r="L16" s="168" t="str">
        <x:v>قرار المحافظ رقم (13) لسنة 2026 بشأن إيقاف تراخيص وإغلاق مقرات (6 أغسطس 2026)</x:v>
      </x:c>
      <x:c r="M16" s="168"/>
      <x:c r="N16" s="168"/>
      <x:c r="O16" s="168"/>
      <x:c r="S16" t="str">
        <x:v>NOT_ASSESSED</x:v>
      </x:c>
      <x:c r="W16" t="str">
        <x:v>decision/enforcement</x:v>
      </x:c>
      <x:c r="X16" t="str">
        <x:v>status event</x:v>
      </x:c>
      <x:c r="Y16" t="str">
        <x:v>البنك المركزي اليمني – عدن</x:v>
      </x:c>
      <x:c r="Z16" t="str">
        <x:v>Enforcement decision</x:v>
      </x:c>
      <x:c r="AA16" t="str">
        <x:v>قرار إنفاذ</x:v>
      </x:c>
      <x:c r="AB16" t="str">
        <x:v>2026-08-06</x:v>
      </x:c>
    </x:row>
    <x:row r="17">
      <x:c r="A17" s="24" t="str">
        <x:v>SRC-CBY-ENF-14-2026</x:v>
      </x:c>
      <x:c r="B17" s="24" t="str">
        <x:v>https://cby-ye.com/news/968</x:v>
      </x:c>
      <x:c r="C17" s="24" t="str"/>
      <x:c r="D17" s="24" t="str">
        <x:v>DS-PROVIDER-MASTER,DS-PROVIDER-STATUS-EVENTS</x:v>
      </x:c>
      <x:c r="E17" s="24" t="n">
        <x:v>4</x:v>
      </x:c>
      <x:c r="F17" s="168" t="str">
        <x:v>Governor's Decision No. 14 of 2026 on licence suspensions and closures (20 August 2026)</x:v>
      </x:c>
      <x:c r="G17" s="168" t="str">
        <x:v>Central Bank of Yemen — Aden</x:v>
      </x:c>
      <x:c r="H17" s="168"/>
      <x:c r="I17" s="168"/>
      <x:c r="J17" s="168"/>
      <x:c r="K17" s="168" t="str">
        <x:v>CITATION_CARD</x:v>
      </x:c>
      <x:c r="L17" s="168" t="str">
        <x:v>قرار المحافظ رقم (14) لسنة 2026 بشأن إيقاف تراخيص وإغلاق مقرات (20 أغسطس 2026)</x:v>
      </x:c>
      <x:c r="M17" s="168"/>
      <x:c r="N17" s="168"/>
      <x:c r="O17" s="168"/>
      <x:c r="S17" t="str">
        <x:v>NOT_ASSESSED</x:v>
      </x:c>
      <x:c r="W17" t="str">
        <x:v>decision/enforcement</x:v>
      </x:c>
      <x:c r="X17" t="str">
        <x:v>status event</x:v>
      </x:c>
      <x:c r="Y17" t="str">
        <x:v>البنك المركزي اليمني – عدن</x:v>
      </x:c>
      <x:c r="Z17" t="str">
        <x:v>Enforcement decision</x:v>
      </x:c>
      <x:c r="AA17" t="str">
        <x:v>قرار إنفاذ</x:v>
      </x:c>
      <x:c r="AB17" t="str">
        <x:v>2026-08-20</x:v>
      </x:c>
    </x:row>
    <x:row r="18">
      <x:c r="A18" s="24" t="str">
        <x:v>SRC-CBY-ENF-15-2026</x:v>
      </x:c>
      <x:c r="B18" s="24" t="str">
        <x:v>https://cby-ye.com/news/969</x:v>
      </x:c>
      <x:c r="C18" s="24" t="str"/>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2026-10-03</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2026-10-03</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2026-10-03</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2026-10-03</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2026-10-03</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2026-10-03</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Y39" t="str">
        <x:v>صندوق النقد الدولي</x:v>
      </x:c>
      <x:c r="Z39" t="str">
        <x:v>Staff report</x:v>
      </x:c>
      <x:c r="AA39" t="str">
        <x:v>تقرير خبراء</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Y40" t="str">
        <x:v>صندوق النقد الدولي</x:v>
      </x:c>
      <x:c r="Z40" t="str">
        <x:v>Staff report</x:v>
      </x:c>
      <x:c r="AA40" t="str">
        <x:v>تقرير خبراء</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NOT_ASSESSED</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Y57" t="str">
        <x:v>البنك المركزي اليمني – عدن</x:v>
      </x:c>
      <x:c r="Z57" t="str">
        <x:v>News release</x:v>
      </x:c>
      <x:c r="AA57" t="str">
        <x:v>بيان صحفي</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Y58" t="str">
        <x:v>البنك المركزي اليمني – عدن</x:v>
      </x:c>
      <x:c r="Z58" t="str">
        <x:v>News release</x:v>
      </x:c>
      <x:c r="AA58" t="str">
        <x:v>بيان صحفي</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Y59" t="str">
        <x:v>البنك المركزي اليمني – عدن</x:v>
      </x:c>
      <x:c r="Z59" t="str">
        <x:v>News release</x:v>
      </x:c>
      <x:c r="AA59" t="str">
        <x:v>بيان صحفي</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Y60" t="str">
        <x:v>البنك المركزي اليمني – عدن</x:v>
      </x:c>
      <x:c r="Z60" t="str">
        <x:v>News release</x:v>
      </x:c>
      <x:c r="AA60" t="str">
        <x:v>بيان صحفي</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Y62" t="str">
        <x:v>البنك المركزي اليمني – عدن</x:v>
      </x:c>
      <x:c r="Z62" t="str">
        <x:v>News release</x:v>
      </x:c>
      <x:c r="AA62" t="str">
        <x:v>بيان صحفي</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Y64" t="str">
        <x:v>البنك المركزي اليمني – عدن</x:v>
      </x:c>
      <x:c r="Z64" t="str">
        <x:v>News release</x:v>
      </x:c>
      <x:c r="AA64" t="str">
        <x:v>بيان صحفي</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W67" t="str">
        <x:v>decision/enforcement</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Y68" t="str">
        <x:v>البنك المركزي اليمني – عدن</x:v>
      </x:c>
      <x:c r="Z68" t="str">
        <x:v>News release</x:v>
      </x:c>
      <x:c r="AA68" t="str">
        <x:v>بيان صحفي</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W69" t="str">
        <x:v>provider-status instrument</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W70" t="str">
        <x:v>provider-status instrument</x:v>
      </x:c>
      <x:c r="X70" t="str">
        <x:v>primary factual evidence</x:v>
      </x:c>
      <x:c r="Y70" t="str">
        <x:v>البنك المركزي اليمني – عدن</x:v>
      </x:c>
      <x:c r="Z70" t="str">
        <x:v>Official list or roster</x:v>
      </x:c>
      <x:c r="AA70" t="str">
        <x:v>قائمة رسمية</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Y71" t="str">
        <x:v>البنك المركزي اليمني – عدن</x:v>
      </x:c>
      <x:c r="Z71" t="str">
        <x:v>News release</x:v>
      </x:c>
      <x:c r="AA71" t="str">
        <x:v>بيان صحفي</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Y72" t="str">
        <x:v>البنك المركزي اليمني – عدن</x:v>
      </x:c>
      <x:c r="Z72" t="str">
        <x:v>News release</x:v>
      </x:c>
      <x:c r="AA72" t="str">
        <x:v>بيان صحفي</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Y73" t="str">
        <x:v>البنك المركزي اليمني – عدن</x:v>
      </x:c>
      <x:c r="Z73" t="str">
        <x:v>News release</x:v>
      </x:c>
      <x:c r="AA73" t="str">
        <x:v>بيان صحفي</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Y74" t="str">
        <x:v>البنك المركزي اليمني – عدن</x:v>
      </x:c>
      <x:c r="Z74" t="str">
        <x:v>News release</x:v>
      </x:c>
      <x:c r="AA74" t="str">
        <x:v>بيان صحفي</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2026-10-03</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Y76" t="str">
        <x:v>الصندوق الاجتماعي للتنمية</x:v>
      </x:c>
      <x:c r="Z76" t="str">
        <x:v>Newsletter</x:v>
      </x:c>
      <x:c r="AA76" t="str">
        <x:v>نشرة دورية</x:v>
      </x:c>
      <x:c r="AB76" t="str">
        <x:v>2004</x:v>
      </x:c>
    </x:row>
    <x:row r="77">
      <x:c r="A77" s="24" t="str">
        <x:v>SRC-SFD-MF-HISTORY-TOR-2012-001</x:v>
      </x:c>
      <x:c r="B77" s="24" t="str">
        <x:v>https://www.sfd-yemen.org/uploads/issues/Microfinance%20Islamic%20Products%20Study%28TOR%29-20130109-132034.pdf</x:v>
      </x:c>
      <x:c r="C77" s="24" t="str"/>
      <x:c r="D77" s="24" t="str">
        <x:v>DS-MF-ORIGIN-CHRONOLOGY,DS-MFI-YEAR-COVERAGE</x:v>
      </x:c>
      <x:c r="E77" s="24" t="n">
        <x:v>2</x:v>
      </x:c>
      <x:c r="F77" s="168"/>
      <x:c r="G77" s="168"/>
      <x:c r="H77" s="168"/>
      <x:c r="I77" s="168"/>
      <x:c r="J77" s="168"/>
      <x:c r="K77" s="168" t="str">
        <x:v>LOCATOR_ONLY</x:v>
      </x:c>
      <x:c r="L77" s="168"/>
      <x:c r="M77" s="168"/>
      <x:c r="N77" s="168"/>
      <x:c r="O77" s="168"/>
      <x:c r="S77" t="str">
        <x:v>NOT_ASSESSED</x:v>
      </x:c>
    </x:row>
    <x:row r="78">
      <x:c r="A78" s="24" t="str">
        <x:v>SRC-SFD-NEWSLETTER-2000-Q4-001</x:v>
      </x:c>
      <x:c r="B78" s="24" t="str">
        <x:v>https://www.sfd-yemen.org/uploads/issues/Newsletter-12-ENGLISH%20-20120718-113859.pdf</x:v>
      </x:c>
      <x:c r="C78" s="24" t="str"/>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Y79" t="str">
        <x:v>الصندوق الاجتماعي للتنمية</x:v>
      </x:c>
      <x:c r="Z79" t="str">
        <x:v>Newsletter</x:v>
      </x:c>
      <x:c r="AA79" t="str">
        <x:v>نشرة دورية</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Y80" t="str">
        <x:v>الصندوق الاجتماعي للتنمية</x:v>
      </x:c>
      <x:c r="Z80" t="str">
        <x:v>Newsletter</x:v>
      </x:c>
      <x:c r="AA80" t="str">
        <x:v>نشرة دورية</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Y81" t="str">
        <x:v>الصندوق الاجتماعي للتنمية</x:v>
      </x:c>
      <x:c r="Z81" t="str">
        <x:v>Newsletter</x:v>
      </x:c>
      <x:c r="AA81" t="str">
        <x:v>نشرة دورية</x:v>
      </x:c>
    </x:row>
    <x:row r="82">
      <x:c r="A82" s="24" t="str">
        <x:v>SRC-SFD-Q1-2012-001</x:v>
      </x:c>
      <x:c r="B82" s="24" t="str">
        <x:v>https://www.sfd-yemen.org/uploads/issues/DESIGN%201st%20NL%202012%20-%20No-20121222-162100.pdf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Y82" t="str">
        <x:v>الصندوق الاجتماعي للتنمية</x:v>
      </x:c>
      <x:c r="Z82" t="str">
        <x:v>Newsletter</x:v>
      </x:c>
      <x:c r="AA82" t="str">
        <x:v>نشرة دورية</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Y83" t="str">
        <x:v>الصندوق الاجتماعي للتنمية</x:v>
      </x:c>
      <x:c r="Z83" t="str">
        <x:v>Newsletter</x:v>
      </x:c>
      <x:c r="AA83" t="str">
        <x:v>نشرة دورية</x:v>
      </x:c>
    </x:row>
    <x:row r="84">
      <x:c r="A84" s="24" t="str">
        <x:v>SRC-SFD-Q2-2013-001</x:v>
      </x:c>
      <x:c r="B84" s="24" t="str">
        <x:v>https://sfd.sfd-yemen.org/uploads/issues/SFD_Nwesletter_en-62-2%20NEW2-20140312-132450.pdf</x:v>
      </x:c>
      <x:c r="C84" s="24" t="str"/>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Y84" t="str">
        <x:v>الصندوق الاجتماعي للتنمية</x:v>
      </x:c>
      <x:c r="Z84" t="str">
        <x:v>Newsletter</x:v>
      </x:c>
      <x:c r="AA84" t="str">
        <x:v>نشرة دورية</x:v>
      </x:c>
    </x:row>
    <x:row r="85">
      <x:c r="A85" s="24" t="str">
        <x:v>SRC-SFD-Q2-2014-001</x:v>
      </x:c>
      <x:c r="B85" s="24" t="str">
        <x:v>https://www.sfd-yemen.org/uploads/issues/SFD_Nwesletter_en66%20final-20141224-124427.pdf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Y85" t="str">
        <x:v>الصندوق الاجتماعي للتنمية</x:v>
      </x:c>
      <x:c r="Z85" t="str">
        <x:v>Newsletter</x:v>
      </x:c>
      <x:c r="AA85" t="str">
        <x:v>نشرة دورية</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Y86" t="str">
        <x:v>الصندوق الاجتماعي للتنمية</x:v>
      </x:c>
      <x:c r="Z86" t="str">
        <x:v>Newsletter</x:v>
      </x:c>
      <x:c r="AA86" t="str">
        <x:v>نشرة دورية</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Y87" t="str">
        <x:v>الصندوق الاجتماعي للتنمية</x:v>
      </x:c>
      <x:c r="Z87" t="str">
        <x:v>Newsletter</x:v>
      </x:c>
      <x:c r="AA87" t="str">
        <x:v>نشرة دورية</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Y88" t="str">
        <x:v>الصندوق الاجتماعي للتنمية</x:v>
      </x:c>
      <x:c r="Z88" t="str">
        <x:v>Newsletter</x:v>
      </x:c>
      <x:c r="AA88" t="str">
        <x:v>نشرة دورية</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Y89" t="str">
        <x:v>الصندوق الاجتماعي للتنمية</x:v>
      </x:c>
      <x:c r="Z89" t="str">
        <x:v>Newsletter</x:v>
      </x:c>
      <x:c r="AA89" t="str">
        <x:v>نشرة دورية</x:v>
      </x:c>
    </x:row>
    <x:row r="90">
      <x:c r="A90" s="24" t="str">
        <x:v>SRC-SFD-Q4-2017-001</x:v>
      </x:c>
      <x:c r="B90" s="24" t="str">
        <x:v>https://www.sfd-yemen.org/uploads/issues/Newsletter%20Eng%204th-2017%20%20-20-4-18-20190129-214133.pdf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Y90" t="str">
        <x:v>الصندوق الاجتماعي للتنمية</x:v>
      </x:c>
      <x:c r="Z90" t="str">
        <x:v>Newsletter</x:v>
      </x:c>
      <x:c r="AA90" t="str">
        <x:v>نشرة دورية</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Y91" t="str">
        <x:v>الصندوق الاجتماعي للتنمية</x:v>
      </x:c>
      <x:c r="Z91" t="str">
        <x:v>Newsletter</x:v>
      </x:c>
      <x:c r="AA91" t="str">
        <x:v>نشرة دورية</x:v>
      </x:c>
    </x:row>
    <x:row r="92">
      <x:c r="A92" s="24" t="str">
        <x:v>SRC-SFD-Q1-2019-001</x:v>
      </x:c>
      <x:c r="B92" s="24" t="str">
        <x:v>https://www.sfd-yemen.org/uploads/issues/1st%20NL%202019-20200123-102323.pdf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Y92" t="str">
        <x:v>الصندوق الاجتماعي للتنمية</x:v>
      </x:c>
      <x:c r="Z92" t="str">
        <x:v>Newsletter</x:v>
      </x:c>
      <x:c r="AA92" t="str">
        <x:v>نشرة دورية</x:v>
      </x:c>
    </x:row>
    <x:row r="93">
      <x:c r="A93" s="24" t="str">
        <x:v>SRC-SFD-Q4-2020-001</x:v>
      </x:c>
      <x:c r="B93" s="24" t="str">
        <x:v>https://sfd-yemen.org/uploads/issues/4th%20NL%202020-20211125-090031.pdf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Y93" t="str">
        <x:v>الصندوق الاجتماعي للتنمية</x:v>
      </x:c>
      <x:c r="Z93" t="str">
        <x:v>Newsletter</x:v>
      </x:c>
      <x:c r="AA93" t="str">
        <x:v>نشرة دورية</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2026-09-26</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https://yemeneco.org/wp-content/uploads/2024/03/تعميم-رقم-12-خدمات-البنوك-والمؤسسات-المالية-العاملة-في-خدمات-الحوالات-الخارجية.pdf</x:v>
      </x:c>
      <x:c r="C101" s="24" t="str"/>
      <x:c r="D101" s="24" t="str">
        <x:v>DS-K04-CBY-CORPUS, DS-K04-CBY-OBJECTS</x:v>
      </x:c>
      <x:c r="E101" s="24" t="n">
        <x:v>1</x:v>
      </x:c>
      <x:c r="F101" s="168"/>
      <x:c r="G101" s="168"/>
      <x:c r="H101" s="168"/>
      <x:c r="I101" s="168"/>
      <x:c r="J101" s="168"/>
      <x:c r="K101" s="168" t="str">
        <x:v>LOCATOR_ONLY</x:v>
      </x:c>
      <x:c r="L101" s="168"/>
      <x:c r="M101" s="168"/>
      <x:c r="N101" s="168"/>
      <x:c r="O101" s="168"/>
      <x:c r="S101" t="str">
        <x:v>NOT_ASSESSED</x:v>
      </x:c>
    </x:row>
    <x:row r="102">
      <x:c r="A102" s="24" t="str">
        <x:v>SRC-CBY-SANAA-C14-2024</x:v>
      </x:c>
      <x:c r="B102" s="24" t="str">
        <x:v>https://www.ecoi.net/en/file/local/2117585/n2425953.pdf</x:v>
      </x:c>
      <x:c r="C102" s="24" t="str"/>
      <x:c r="D102" s="24" t="str">
        <x:v>DS-K04-CBY-CORPUS, DS-K04-CBY-OBJECTS</x:v>
      </x:c>
      <x:c r="E102" s="24" t="n">
        <x:v>1</x:v>
      </x:c>
      <x:c r="F102" s="168"/>
      <x:c r="G102" s="168"/>
      <x:c r="H102" s="168"/>
      <x:c r="I102" s="168"/>
      <x:c r="J102" s="168"/>
      <x:c r="K102" s="168" t="str">
        <x:v>LOCATOR_ONLY</x:v>
      </x:c>
      <x:c r="L102" s="168"/>
      <x:c r="M102" s="168"/>
      <x:c r="N102" s="168"/>
      <x:c r="O102" s="168"/>
      <x:c r="S102" t="str">
        <x:v>NOT_ASSESSED</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2026-09-26</x:v>
      </x:c>
      <x:c r="Y103" t="str">
        <x:v>وكالة الأنباء اليمنية سبأ (saba.ye)</x:v>
      </x:c>
      <x:c r="Z103" t="str">
        <x:v>Web page</x:v>
      </x:c>
      <x:c r="AA103" t="str">
        <x:v>صفحة إلكترونية</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Y104" t="str">
        <x:v>صندوق النقد الدولي</x:v>
      </x:c>
      <x:c r="Z104" t="str">
        <x:v>Staff report</x:v>
      </x:c>
      <x:c r="AA104" t="str">
        <x:v>تقرير خبراء</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W114" t="str">
        <x:v>method/standard</x:v>
      </x:c>
      <x:c r="X114" t="str">
        <x:v>global method reference</x:v>
      </x:c>
      <x:c r="Y114" t="str">
        <x:v>صندوق النقد الدولي</x:v>
      </x:c>
      <x:c r="Z114" t="str">
        <x:v>Method or standard</x:v>
      </x:c>
      <x:c r="AA114" t="str">
        <x:v>منهج أو معيار</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W115" t="str">
        <x:v>method/standard</x:v>
      </x:c>
      <x:c r="X115" t="str">
        <x:v>global method reference</x:v>
      </x:c>
      <x:c r="Y115" t="str">
        <x:v>صندوق النقد الدولي</x:v>
      </x:c>
      <x:c r="Z115" t="str">
        <x:v>Method or standard</x:v>
      </x:c>
      <x:c r="AA115" t="str">
        <x:v>منهج أو معيار</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W116" t="str">
        <x:v>method/standard</x:v>
      </x:c>
      <x:c r="X116" t="str">
        <x:v>global method reference</x:v>
      </x:c>
      <x:c r="Y116" t="str">
        <x:v>صندوق النقد الدولي</x:v>
      </x:c>
      <x:c r="Z116" t="str">
        <x:v>Method or standard</x:v>
      </x:c>
      <x:c r="AA116" t="str">
        <x:v>منهج أو معيار</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Y131" t="str">
        <x:v>مركز صنعاء للدراسات الاستراتيجية</x:v>
      </x:c>
      <x:c r="Z131" t="str">
        <x:v>Research or policy paper</x:v>
      </x:c>
      <x:c r="AA131" t="str">
        <x:v>ورقة بحثية أو سياساتية</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Y132" t="str">
        <x:v>مركز صنعاء للدراسات الاستراتيجية</x:v>
      </x:c>
      <x:c r="Z132" t="str">
        <x:v>Research or policy paper</x:v>
      </x:c>
      <x:c r="AA132" t="str">
        <x:v>ورقة بحثية أو سياساتية</x:v>
      </x:c>
      <x:c r="AB132" t="str">
        <x:v>2024</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https://smed.sfd-yemen.org/index.php/en/blog-4/aaflp1/477-nov-2023</x:v>
      </x:c>
      <x:c r="C136" s="24" t="str"/>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Y144" t="str">
        <x:v>وكالة الأنباء السعودية</x:v>
      </x:c>
      <x:c r="Z144" t="str">
        <x:v>News release</x:v>
      </x:c>
      <x:c r="AA144" t="str">
        <x:v>بيان صحفي</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Y147" t="str">
        <x:v>وكالة الأنباء السعودية</x:v>
      </x:c>
      <x:c r="Z147" t="str">
        <x:v>News release</x:v>
      </x:c>
      <x:c r="AA147" t="str">
        <x:v>بيان صحفي</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Y148" t="str">
        <x:v>البنك الدولي</x:v>
      </x:c>
      <x:c r="Z148" t="str">
        <x:v>Project document</x:v>
      </x:c>
      <x:c r="AA148" t="str">
        <x:v>وثيقة مشروع</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Y149" t="str">
        <x:v>وكالة الأنباء السعودية</x:v>
      </x:c>
      <x:c r="Z149" t="str">
        <x:v>News release</x:v>
      </x:c>
      <x:c r="AA149" t="str">
        <x:v>بيان صحفي</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Y152" t="str">
        <x:v>البنك الدولي</x:v>
      </x:c>
      <x:c r="Z152" t="str">
        <x:v>Project document</x:v>
      </x:c>
      <x:c r="AA152" t="str">
        <x:v>وثيقة مشروع</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Y153" t="str">
        <x:v>المجموعة الاستشارية لمساعدة الفقراء (CGAP)</x:v>
      </x:c>
      <x:c r="Z153" t="str">
        <x:v>Research or policy paper</x:v>
      </x:c>
      <x:c r="AA153" t="str">
        <x:v>ورقة بحثية أو سياساتية</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Y156" t="str">
        <x:v>البنك المركزي اليمني – عدن</x:v>
      </x:c>
      <x:c r="Z156" t="str">
        <x:v>Annual report</x:v>
      </x:c>
      <x:c r="AA156" t="str">
        <x:v>تقرير سنوي</x:v>
      </x:c>
    </x:row>
    <x:row r="157">
      <x:c r="A157" t="str">
        <x:v>SRC-CBY-ENF-17-2026</x:v>
      </x:c>
      <x:c r="B157" t="str">
        <x:v>https://cby-ye.com/news/973</x:v>
      </x:c>
      <x:c r="C157"/>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Y158" t="str">
        <x:v>لجنة المدفوعات والبنى التحتية للأسواق (CPMI)، بنك التسويات الدولية</x:v>
      </x:c>
      <x:c r="Z158" t="str">
        <x:v>Research or policy paper</x:v>
      </x:c>
      <x:c r="AA158" t="str">
        <x:v>ورقة بحثية أو سياساتية</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Y159" t="str">
        <x:v>لجنة المدفوعات والبنى التحتية للأسواق (CPMI) ومجموعة البنك الدولي</x:v>
      </x:c>
      <x:c r="Z159" t="str">
        <x:v>Research or policy paper</x:v>
      </x:c>
      <x:c r="AA159" t="str">
        <x:v>ورقة بحثية أو سياساتية</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Y162" t="str">
        <x:v>مجموعة البنك الدولي</x:v>
      </x:c>
      <x:c r="Z162" t="str">
        <x:v>Research or policy paper</x:v>
      </x:c>
      <x:c r="AA162" t="str">
        <x:v>ورقة بحثية أو سياساتية</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Y163" t="str">
        <x:v>البنك الدولي</x:v>
      </x:c>
      <x:c r="Z163" t="str">
        <x:v>News release</x:v>
      </x:c>
      <x:c r="AA163" t="str">
        <x:v>بيان صحفي</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Y164" t="str">
        <x:v>البنك الدولي</x:v>
      </x:c>
      <x:c r="Z164" t="str">
        <x:v>Research or policy paper</x:v>
      </x:c>
      <x:c r="AA164" t="str">
        <x:v>ورقة بحثية أو سياساتية</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Y166" t="str">
        <x:v>البنك الدولي (G2Px)</x:v>
      </x:c>
      <x:c r="Z166" t="str">
        <x:v>Event or programme page</x:v>
      </x:c>
      <x:c r="AA166" t="str">
        <x:v>صفحة فعالية أو برنامج</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2026-10-03</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2026-09-26</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2026-09-26</x:v>
      </x:c>
      <x:c r="Y169" t="str">
        <x:v>بنك الأمل للتمويل الأصغر (منشور على منصة FinDev Gateway)</x:v>
      </x:c>
      <x:c r="Z169" t="str">
        <x:v>Research or policy paper</x:v>
      </x:c>
      <x:c r="AA169" t="str">
        <x:v>ورقة بحثية أو سياساتية</x:v>
      </x:c>
      <x:c r="AB169"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https://www.sfd-yemen.org/uploads/issues/SFD_Nwesletter_en66%20final-20141224-124427.pdf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https://www.sfd-yemen.org/uploads/issues/Newsletter%20Eng%204th-2017%20%20-20-4-18-20190129-214133.pdf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https://www.sfd-yemen.org/uploads/issues/1st%20NL%202019-20200123-102323.pdf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https://sfd-yemen.org/uploads/issues/4th%20NL%202020-20211125-090031.pdf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https://www.sfd-yemen.org/uploads/issues/Microfinance%20Islamic%20Products%20Study%28TOR%29-20130109-132034.pdf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https://www.sfd-yemen.org/uploads/issues/Newsletter-12-ENGLISH%20-20120718-113859.pdf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https://www.sfd-yemen.org/uploads/issues/Microfinance%20Islamic%20Products%20Study%28TOR%29-20130109-132034.pdf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https://www.sfd-yemen.org/uploads/issues/DESIGN%201st%20NL%202012%20-%20No-20121222-162100.pdf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https://www.sfd-yemen.org/uploads/issues/SFD_Nwesletter_en66%20final-20141224-124427.pdf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https://www.sfd-yemen.org/uploads/issues/Newsletter%20Eng%204th-2017%20%20-20-4-18-20190129-214133.pdf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https://www.sfd-yemen.org/uploads/issues/1st%20NL%202019-20200123-102323.pdf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https://sfd-yemen.org/uploads/issues/4th%20NL%202020-20211125-090031.pdf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2026-09-07</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2026-09-07</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2026-09-07</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2026-09-07</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2026-09-07</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2026-09-07</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2026-09-07</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2026-09-07</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2026-09-07</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2026-09-07</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2026-09-07</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2026-09-07</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2026-09-07</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2026-09-07</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2026-09-07</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2026-09-07</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2026-09-07</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2026-09-07</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2026-09-07</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2026-09-07</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2026-09-07</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2026-09-07</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2026-09-07</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2026-09-07</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2026-09-07</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2026-09-07</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May describe the dated enforcement event at the exact entity/branch level supported. Do not imply that event-identified entities form the complete current provider universe.</x:v>
      </x:c>
      <x:c r="O31" s="24" t="str">
        <x:v>Names with non-primary corroboration remain non-public until primary decision content is controlled.</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May describe the dated enforcement event at the exact entity/branch level supported. Do not imply that event-identified entities form the complete current provider universe.</x:v>
      </x:c>
      <x:c r="O32" s="24" t="str">
        <x:v>Names with non-primary corroboration remain non-public until primary decision content is controlled.</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May describe the dated enforcement event at the exact entity/branch level supported. Do not imply that event-identified entities form the complete current provider universe.</x:v>
      </x:c>
      <x:c r="O33" s="24" t="str">
        <x:v>Names with non-primary corroboration remain non-public until primary decision content is controlled.</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May describe the dated enforcement event at the exact entity/branch level supported. Do not imply that event-identified entities form the complete current provider universe.</x:v>
      </x:c>
      <x:c r="O34" s="24" t="str">
        <x:v>Names with non-primary corroboration remain non-public until primary decision content is controlled.</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May describe the dated enforcement event at the exact entity/branch level supported. Do not imply that event-identified entities form the complete current provider universe.</x:v>
      </x:c>
      <x:c r="O35" s="24" t="str">
        <x:v>Names with non-primary corroboration remain non-public until primary decision content is controlled.</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May describe the dated enforcement event at the exact entity/branch level supported. Do not imply that event-identified entities form the complete current provider universe.</x:v>
      </x:c>
      <x:c r="O36" s="24" t="str">
        <x:v>Names with non-primary corroboration remain non-public until primary decision content is controlled.</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May describe the dated enforcement event at the exact entity/branch level supported. Do not imply that event-identified entities form the complete current provider universe.</x:v>
      </x:c>
      <x:c r="O37" s="24" t="str">
        <x:v>Names with non-primary corroboration remain non-public until primary decision content is controlled.</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May describe the dated enforcement event at the exact entity/branch level supported. Do not imply that event-identified entities form the complete current provider universe.</x:v>
      </x:c>
      <x:c r="O38" s="24" t="str">
        <x:v>Names with non-primary corroboration remain non-public until primary decision content is controlled.</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May describe the dated enforcement event at the exact entity/branch level supported. Do not imply that event-identified entities form the complete current provider universe.</x:v>
      </x:c>
      <x:c r="O39" s="24" t="str">
        <x:v>Names with non-primary corroboration remain non-public until primary decision content is controlled.</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May describe the dated enforcement event at the exact entity/branch level supported. Do not imply that event-identified entities form the complete current provider universe.</x:v>
      </x:c>
      <x:c r="O40" s="24" t="str">
        <x:v>Names with non-primary corroboration remain non-public until primary decision content is controlled.</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May describe the dated enforcement event at the exact entity/branch level supported. Do not imply that event-identified entities form the complete current provider universe.</x:v>
      </x:c>
      <x:c r="O41" s="24" t="str">
        <x:v>Names with non-primary corroboration remain non-public until primary decision content is controlled.</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May describe the dated enforcement event at the exact entity/branch level supported. Do not imply that event-identified entities form the complete current provider universe.</x:v>
      </x:c>
      <x:c r="O42" s="24" t="str">
        <x:v>Names with non-primary corroboration remain non-public until primary decision content is controlled.</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May describe the dated enforcement event at the exact entity/branch level supported. Do not imply that event-identified entities form the complete current provider universe.</x:v>
      </x:c>
      <x:c r="O43" s="24" t="str">
        <x:v>Names with non-primary corroboration remain non-public until primary decision content is controlled.</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May describe the dated enforcement event at the exact entity/branch level supported. Do not imply that event-identified entities form the complete current provider universe.</x:v>
      </x:c>
      <x:c r="O44" s="24" t="str">
        <x:v>Names with non-primary corroboration remain non-public until primary decision content is controlled.</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May describe the dated enforcement event at the exact entity/branch level supported. Do not imply that event-identified entities form the complete current provider universe.</x:v>
      </x:c>
      <x:c r="O45" s="24" t="str">
        <x:v>Names with non-primary corroboration remain non-public until primary decision content is controlled.</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May describe the dated enforcement event at the exact entity/branch level supported. Do not imply that event-identified entities form the complete current provider universe.</x:v>
      </x:c>
      <x:c r="O46" s="24" t="str">
        <x:v>Names with non-primary corroboration remain non-public until primary decision content is controlled.</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May describe the dated enforcement event at the exact entity/branch level supported. Do not imply that event-identified entities form the complete current provider universe.</x:v>
      </x:c>
      <x:c r="O47" s="24" t="str">
        <x:v>Names with non-primary corroboration remain non-public until primary decision content is controlled.</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May describe the dated enforcement event at the exact entity/branch level supported. Do not imply that event-identified entities form the complete current provider universe.</x:v>
      </x:c>
      <x:c r="O48" s="24" t="str">
        <x:v>Names with non-primary corroboration remain non-public until primary decision content is controlled.</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May describe the dated enforcement event at the exact entity/branch level supported. Do not imply that event-identified entities form the complete current provider universe.</x:v>
      </x:c>
      <x:c r="O49" s="24" t="str">
        <x:v>Names with non-primary corroboration remain non-public until primary decision content is controlled.</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May describe the dated enforcement event at the exact entity/branch level supported. Do not imply that event-identified entities form the complete current provider universe.</x:v>
      </x:c>
      <x:c r="O50" s="24" t="str">
        <x:v>Names with non-primary corroboration remain non-public until primary decision content is controlled.</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May describe the dated enforcement event at the exact entity/branch level supported. Do not imply that event-identified entities form the complete current provider universe.</x:v>
      </x:c>
      <x:c r="O51" s="24" t="str">
        <x:v>Names with non-primary corroboration remain non-public until primary decision content is controlled.</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May describe the dated enforcement event at the exact entity/branch level supported. Do not imply that event-identified entities form the complete current provider universe.</x:v>
      </x:c>
      <x:c r="O52" s="24" t="str">
        <x:v>Names with non-primary corroboration remain non-public until primary decision content is controlled.</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May describe the dated enforcement event at the exact entity/branch level supported. Do not imply that event-identified entities form the complete current provider universe.</x:v>
      </x:c>
      <x:c r="O53" s="24" t="str">
        <x:v>Names with non-primary corroboration remain non-public until primary decision content is controlled.</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May describe the dated enforcement event at the exact entity/branch level supported. Do not imply that event-identified entities form the complete current provider universe.</x:v>
      </x:c>
      <x:c r="O54" s="24" t="str">
        <x:v>Names with non-primary corroboration remain non-public until primary decision content is controlled.</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May describe the dated enforcement event at the exact entity/branch level supported. Do not imply that event-identified entities form the complete current provider universe.</x:v>
      </x:c>
      <x:c r="O55" s="24" t="str">
        <x:v>Names with non-primary corroboration remain non-public until primary decision content is controlled.</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May describe the dated enforcement event at the exact entity/branch level supported. Do not imply that event-identified entities form the complete current provider universe.</x:v>
      </x:c>
      <x:c r="O56" s="24" t="str">
        <x:v>Names with non-primary corroboration remain non-public until primary decision content is controlled.</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May describe the dated enforcement event at the exact entity/branch level supported. Do not imply that event-identified entities form the complete current provider universe.</x:v>
      </x:c>
      <x:c r="O57" s="24" t="str">
        <x:v>Names with non-primary corroboration remain non-public until primary decision content is controlled.</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May describe the dated enforcement event at the exact entity/branch level supported. Do not imply that event-identified entities form the complete current provider universe.</x:v>
      </x:c>
      <x:c r="O58" s="24" t="str">
        <x:v>Names with non-primary corroboration remain non-public until primary decision content is controlled.</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May describe the dated enforcement event at the exact entity/branch level supported. Do not imply that event-identified entities form the complete current provider universe.</x:v>
      </x:c>
      <x:c r="O59" s="24" t="str">
        <x:v>Names with non-primary corroboration remain non-public until primary decision content is controlled.</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May describe the 2026-09-17 licence-suspension/closure event for this exact company.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2026-09-07</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a dated negative-authority list with exact source and date.</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enforcement event and exact subjects only where primary decision content is controlled.</x:v>
      </x:c>
      <x:c r="K78" s="24" t="str">
        <x:v>Does not establish the complete roster or current operation of unaffected providers.</x:v>
      </x:c>
      <x:c r="L78" s="24" t="str">
        <x:v>https://cby-ye.com/news/907</x:v>
      </x:c>
    </x:row>
    <x:row r="79">
      <x:c r="A79" s="24" t="str">
        <x:v>PSE-003</x:v>
      </x:c>
      <x:c r="B79" s="24" t="str">
        <x:v>2026-08-06</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Event-level state is public; entity names require the source-specific evidence tier already stored in Provider Master.</x:v>
      </x:c>
      <x:c r="K79" s="24" t="str">
        <x:v>Does not establish the complete 2026 provider universe.</x:v>
      </x:c>
      <x:c r="L79" s="24" t="str">
        <x:v>https://cby-ye.com/news/964</x:v>
      </x:c>
    </x:row>
    <x:row r="80">
      <x:c r="A80" s="24" t="str">
        <x:v>PSE-004</x:v>
      </x:c>
      <x:c r="B80" s="24" t="str">
        <x:v>2026-08-20</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Event-level state is public; entity names require source-specific evidence tier.</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Event-level state is public; individual names remain governed by Provider Master evidence tier.</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Al-Shamil Exchange branch</x:v>
      </x:c>
      <x:c r="F82" s="24" t="str">
        <x:v>EXCHANGE_BRANCH</x:v>
      </x:c>
      <x:c r="G82" s="24" t="str">
        <x:v>LICENCE_WITHDRAWAL_EVENT</x:v>
      </x:c>
      <x:c r="H82" s="24" t="str">
        <x:v>Governor Decision No. 2 of 2026 withdraws the licence of a non-compliant Al-Shamil Exchange branch based on Banking Supervision field-inspection reporting.</x:v>
      </x:c>
      <x:c r="I82" s="24" t="str">
        <x:v>PRIMARY_BRANCH_SUBJECT_PRESENT_IN_15_PROVIDER_MASTER</x:v>
      </x:c>
      <x:c r="J82" s="24" t="str">
        <x:v>May show the exact dated branch-level status event.</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Bin Amin Ghannam Exchange branch</x:v>
      </x:c>
      <x:c r="F83" s="24" t="str">
        <x:v>EXCHANGE_BRANCH</x:v>
      </x:c>
      <x:c r="G83" s="24" t="str">
        <x:v>LICENCE_WITHDRAWAL_EVENT</x:v>
      </x:c>
      <x:c r="H83" s="24" t="str">
        <x:v>Governor Decision No. 3 of 2026 withdraws the licence of a Bin Amin Ghannam Exchange branch based on Banking Supervision field-inspection reporting.</x:v>
      </x:c>
      <x:c r="I83" s="24" t="str">
        <x:v>PRIMARY_BRANCH_SUBJECT_PRESENT_IN_15_PROVIDER_MASTER</x:v>
      </x:c>
      <x:c r="J83" s="24" t="str">
        <x:v>May show the exact dated branch-level status event.</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and subjects only at their controlled evidence tier.</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and exact controlled subjects.</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Al-Thawr Exchange branch — Al-Mahra</x:v>
      </x:c>
      <x:c r="F86" s="24" t="str">
        <x:v>EXCHANGE_BRANCH</x:v>
      </x:c>
      <x:c r="G86" s="24" t="str">
        <x:v>LICENCE_SUSPENSION_AND_CLOSURE_EVENT</x:v>
      </x:c>
      <x:c r="H86" s="24" t="str">
        <x:v>Governor Decision No. 6 of 2026 suspends the licence of an Al-Thawr Exchange branch in Al-Mahra and closes its premises.</x:v>
      </x:c>
      <x:c r="I86" s="24" t="str">
        <x:v>PRIMARY_BRANCH_SUBJECT_PRESENT_IN_15_PROVIDER_MASTER</x:v>
      </x:c>
      <x:c r="J86" s="24" t="str">
        <x:v>May show the dated branch-level status event.</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Bin Dabi — remittance agent — Shabwa/Habban</x:v>
      </x:c>
      <x:c r="F88" s="24" t="str">
        <x:v>REMITTANCE_AGENT</x:v>
      </x:c>
      <x:c r="G88" s="24" t="str">
        <x:v>LICENCE_SUSPENSION_AND_CLOSURE_EVENT</x:v>
      </x:c>
      <x:c r="H88" s="24" t="str">
        <x:v>Governor Decision No. 10 of 2026 suspends the licence of Bin Dabi remittance agent in Shabwa/Habban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Al-Ittihad Money — remittance agent — Lahj/Yafa Al-Hadd</x:v>
      </x:c>
      <x:c r="F89" s="24" t="str">
        <x:v>REMITTANCE_AGENT</x:v>
      </x:c>
      <x:c r="G89" s="24" t="str">
        <x:v>LICENCE_SUSPENSION_AND_CLOSURE_EVENT</x:v>
      </x:c>
      <x:c r="H89" s="24" t="str">
        <x:v>Governor Decision No. 11 of 2026 suspends the licence of Al-Ittihad Money remittance agent in Lahj/Yafa Al-Hadd and closes the premises.</x:v>
      </x:c>
      <x:c r="I89" s="24" t="str">
        <x:v>PRIMARY_OFFICIAL_EVENT_AND_SUBJECT_VERIFIED</x:v>
      </x:c>
      <x:c r="J89" s="24" t="str">
        <x:v>May show the exact dated event and subject.</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Al-Buraq Exchange and Transfers Company</x:v>
      </x:c>
      <x:c r="F90" t="str">
        <x:v>EXCHANGE_COMPANY</x:v>
      </x:c>
      <x:c r="G90" t="str">
        <x:v>LICENCE_SUSPENSION_AND_CLOSURE_EVENT</x:v>
      </x:c>
      <x:c r="H90" t="str">
        <x:v>Governor Decision No. 17 of 2026 suspends the licence granted to Al-Buraq Exchange and Transfers Company and closes its premises, based on violations recorded in a field-inspection report from Banking Supervision.</x:v>
      </x:c>
      <x:c r="I90" t="str">
        <x:v>PRIMARY_OFFICIAL_EVENT_AND_SUBJECT_VERIFIED</x:v>
      </x:c>
      <x:c r="J90" t="str">
        <x:v>May show the exact dated event and subject.</x:v>
      </x:c>
      <x:c r="K90" t="str">
        <x:v>Does not establish the complete 2026 provider universe, the status of other entities, or a later status for Al-Buraq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named entity or branch type, action, annual-roster context and the fact that current operation requires entity-level reconciliation.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160</x:v>
      </x:c>
      <x:c r="D15" s="24" t="n">
        <x:v>160</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82</x:v>
      </x:c>
      <x:c r="D19" s="24" t="n">
        <x:f>COUNTA('19_PAYMENTS_DATA'!A5:A200)</x:f>
        <x:v>82</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