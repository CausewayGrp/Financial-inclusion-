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160</x:v>
      </x:c>
      <x:c r="C24" s="23" t="n">
        <x:v>160</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1473</x:v>
      </x:c>
      <x:c r="C36" s="23" t="str">
        <x:v>count</x:v>
      </x:c>
      <x:c r="D36" s="23" t="str">
        <x:v>Jan-2026</x:v>
      </x:c>
      <x:c r="E36" s="23" t="str">
        <x:v>SRC-CBY-POS-2026-01</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98 exchange companies, 225 exchange establishments, 106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x:c r="B50" s="105"/>
      <x:c r="C50" s="105"/>
      <x:c r="E50" s="105"/>
      <x:c r="F50" s="105"/>
      <x:c r="G50" s="105"/>
      <x:c r="I50" s="105"/>
      <x:c r="J50" s="105"/>
      <x:c r="K50" s="105"/>
    </x:row>
  </x:sheetData>
  <x:mergeCells>
    <x:mergeCell ref="A1:D1"/>
    <x:mergeCell ref="A2:D2"/>
    <x:mergeCell ref="A1:N1"/>
    <x:mergeCell ref="A2:N4"/>
    <x:mergeCell ref="E14:N14"/>
    <x:mergeCell ref="A39:N39"/>
    <x:mergeCell ref="A41:C44"/>
    <x:mergeCell ref="E41:G44"/>
    <x:mergeCell ref="I41:K44"/>
    <x:mergeCell ref="A47:C50"/>
    <x:mergeCell ref="E47:G50"/>
    <x:mergeCell ref="I47:K50"/>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x:c r="H5" s="28"/>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x:c r="H6" s="28"/>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x:c r="H8" s="28"/>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x:c r="H10" s="28"/>
    </x:row>
    <x:row r="11">
      <x:c r="A11" s="24" t="str">
        <x:v>/evidence/CLM-001/</x:v>
      </x:c>
      <x:c r="B11" s="24" t="str">
        <x:v>evidence_detail</x:v>
      </x:c>
      <x:c r="C11" s="24" t="str">
        <x:v>/evidence/[id]</x:v>
      </x:c>
      <x:c r="D11" s="24" t="str">
        <x:v>CLM-001</x:v>
      </x:c>
      <x:c r="E11" s="24"/>
      <x:c r="F11" s="28"/>
      <x:c r="G11" s="24"/>
      <x:c r="H11" s="28"/>
    </x:row>
    <x:row r="12">
      <x:c r="A12" s="24" t="str">
        <x:v>/evidence/CLM-002/</x:v>
      </x:c>
      <x:c r="B12" s="24" t="str">
        <x:v>evidence_detail</x:v>
      </x:c>
      <x:c r="C12" s="24" t="str">
        <x:v>/evidence/[id]</x:v>
      </x:c>
      <x:c r="D12" s="24" t="str">
        <x:v>CLM-002</x:v>
      </x:c>
      <x:c r="E12" s="24"/>
      <x:c r="F12" s="28"/>
      <x:c r="G12" s="24"/>
      <x:c r="H12" s="28"/>
    </x:row>
    <x:row r="13">
      <x:c r="A13" s="24" t="str">
        <x:v>/evidence/CLM-003/</x:v>
      </x:c>
      <x:c r="B13" s="24" t="str">
        <x:v>evidence_detail</x:v>
      </x:c>
      <x:c r="C13" s="24" t="str">
        <x:v>/evidence/[id]</x:v>
      </x:c>
      <x:c r="D13" s="24" t="str">
        <x:v>CLM-003</x:v>
      </x:c>
      <x:c r="E13" s="24"/>
      <x:c r="F13" s="28"/>
      <x:c r="G13" s="24"/>
      <x:c r="H13" s="28"/>
    </x:row>
    <x:row r="14">
      <x:c r="A14" s="24" t="str">
        <x:v>/evidence/CLM-004/</x:v>
      </x:c>
      <x:c r="B14" s="24" t="str">
        <x:v>evidence_detail</x:v>
      </x:c>
      <x:c r="C14" s="24" t="str">
        <x:v>/evidence/[id]</x:v>
      </x:c>
      <x:c r="D14" s="24" t="str">
        <x:v>CLM-004</x:v>
      </x:c>
      <x:c r="E14" s="24"/>
      <x:c r="F14" s="28"/>
      <x:c r="G14" s="24"/>
      <x:c r="H14" s="28"/>
    </x:row>
    <x:row r="15">
      <x:c r="A15" s="24" t="str">
        <x:v>/evidence/CLM-005/</x:v>
      </x:c>
      <x:c r="B15" s="24" t="str">
        <x:v>evidence_detail</x:v>
      </x:c>
      <x:c r="C15" s="24" t="str">
        <x:v>/evidence/[id]</x:v>
      </x:c>
      <x:c r="D15" s="24" t="str">
        <x:v>CLM-005</x:v>
      </x:c>
      <x:c r="E15" s="24"/>
      <x:c r="F15" s="28"/>
      <x:c r="G15" s="24"/>
      <x:c r="H15" s="28"/>
    </x:row>
    <x:row r="16">
      <x:c r="A16" s="24" t="str">
        <x:v>/evidence/CLM-006/</x:v>
      </x:c>
      <x:c r="B16" s="24" t="str">
        <x:v>evidence_detail</x:v>
      </x:c>
      <x:c r="C16" s="24" t="str">
        <x:v>/evidence/[id]</x:v>
      </x:c>
      <x:c r="D16" s="24" t="str">
        <x:v>CLM-006</x:v>
      </x:c>
      <x:c r="E16" s="24"/>
      <x:c r="F16" s="28"/>
      <x:c r="G16" s="24"/>
      <x:c r="H16" s="28"/>
    </x:row>
    <x:row r="17">
      <x:c r="A17" s="24" t="str">
        <x:v>/evidence/CLM-007/</x:v>
      </x:c>
      <x:c r="B17" s="24" t="str">
        <x:v>evidence_detail</x:v>
      </x:c>
      <x:c r="C17" s="24" t="str">
        <x:v>/evidence/[id]</x:v>
      </x:c>
      <x:c r="D17" s="24" t="str">
        <x:v>CLM-007</x:v>
      </x:c>
      <x:c r="E17" s="24"/>
      <x:c r="F17" s="28"/>
      <x:c r="G17" s="24"/>
      <x:c r="H17" s="28"/>
    </x:row>
    <x:row r="18">
      <x:c r="A18" s="24" t="str">
        <x:v>/evidence/CLM-008/</x:v>
      </x:c>
      <x:c r="B18" s="24" t="str">
        <x:v>evidence_detail</x:v>
      </x:c>
      <x:c r="C18" s="24" t="str">
        <x:v>/evidence/[id]</x:v>
      </x:c>
      <x:c r="D18" s="24" t="str">
        <x:v>CLM-008</x:v>
      </x:c>
      <x:c r="E18" s="24"/>
      <x:c r="F18" s="28"/>
      <x:c r="G18" s="24"/>
      <x:c r="H18" s="28"/>
    </x:row>
    <x:row r="19">
      <x:c r="A19" s="24" t="str">
        <x:v>/evidence/CLM-009/</x:v>
      </x:c>
      <x:c r="B19" s="24" t="str">
        <x:v>evidence_detail</x:v>
      </x:c>
      <x:c r="C19" s="24" t="str">
        <x:v>/evidence/[id]</x:v>
      </x:c>
      <x:c r="D19" s="24" t="str">
        <x:v>CLM-009</x:v>
      </x:c>
      <x:c r="E19" s="24"/>
      <x:c r="F19" s="28"/>
      <x:c r="G19" s="24"/>
      <x:c r="H19" s="28"/>
    </x:row>
    <x:row r="20">
      <x:c r="A20" s="24" t="str">
        <x:v>/evidence/CLM-010/</x:v>
      </x:c>
      <x:c r="B20" s="24" t="str">
        <x:v>evidence_detail</x:v>
      </x:c>
      <x:c r="C20" s="24" t="str">
        <x:v>/evidence/[id]</x:v>
      </x:c>
      <x:c r="D20" s="24" t="str">
        <x:v>CLM-010</x:v>
      </x:c>
      <x:c r="E20" s="24"/>
      <x:c r="F20" s="28"/>
      <x:c r="G20" s="24"/>
      <x:c r="H20" s="28"/>
    </x:row>
    <x:row r="21">
      <x:c r="A21" s="24" t="str">
        <x:v>/evidence/CLM-011/</x:v>
      </x:c>
      <x:c r="B21" s="24" t="str">
        <x:v>evidence_detail</x:v>
      </x:c>
      <x:c r="C21" s="24" t="str">
        <x:v>/evidence/[id]</x:v>
      </x:c>
      <x:c r="D21" s="24" t="str">
        <x:v>CLM-011</x:v>
      </x:c>
      <x:c r="E21" s="24"/>
      <x:c r="F21" s="28"/>
      <x:c r="G21" s="24"/>
      <x:c r="H21" s="28"/>
    </x:row>
    <x:row r="22">
      <x:c r="A22" s="24" t="str">
        <x:v>/evidence/CLM-012/</x:v>
      </x:c>
      <x:c r="B22" s="24" t="str">
        <x:v>evidence_detail</x:v>
      </x:c>
      <x:c r="C22" s="24" t="str">
        <x:v>/evidence/[id]</x:v>
      </x:c>
      <x:c r="D22" s="24" t="str">
        <x:v>CLM-012</x:v>
      </x:c>
      <x:c r="E22" s="24"/>
      <x:c r="F22" s="28"/>
      <x:c r="G22" s="24"/>
      <x:c r="H22" s="28"/>
    </x:row>
    <x:row r="23">
      <x:c r="A23" s="24" t="str">
        <x:v>/evidence/CLM-013/</x:v>
      </x:c>
      <x:c r="B23" s="24" t="str">
        <x:v>evidence_detail</x:v>
      </x:c>
      <x:c r="C23" s="24" t="str">
        <x:v>/evidence/[id]</x:v>
      </x:c>
      <x:c r="D23" s="24" t="str">
        <x:v>CLM-013</x:v>
      </x:c>
      <x:c r="E23" s="24"/>
      <x:c r="F23" s="28"/>
      <x:c r="G23" s="24"/>
      <x:c r="H23" s="28"/>
    </x:row>
    <x:row r="24">
      <x:c r="A24" s="24" t="str">
        <x:v>/evidence/CLM-014/</x:v>
      </x:c>
      <x:c r="B24" s="24" t="str">
        <x:v>evidence_detail</x:v>
      </x:c>
      <x:c r="C24" s="24" t="str">
        <x:v>/evidence/[id]</x:v>
      </x:c>
      <x:c r="D24" s="24" t="str">
        <x:v>CLM-014</x:v>
      </x:c>
      <x:c r="E24" s="24"/>
      <x:c r="F24" s="28"/>
      <x:c r="G24" s="24"/>
      <x:c r="H24" s="28"/>
    </x:row>
    <x:row r="25">
      <x:c r="A25" s="24" t="str">
        <x:v>/evidence/CLM-015/</x:v>
      </x:c>
      <x:c r="B25" s="24" t="str">
        <x:v>evidence_detail</x:v>
      </x:c>
      <x:c r="C25" s="24" t="str">
        <x:v>/evidence/[id]</x:v>
      </x:c>
      <x:c r="D25" s="24" t="str">
        <x:v>CLM-015</x:v>
      </x:c>
      <x:c r="E25" s="24"/>
      <x:c r="F25" s="28"/>
      <x:c r="G25" s="24"/>
      <x:c r="H25" s="28"/>
    </x:row>
    <x:row r="26">
      <x:c r="A26" s="24" t="str">
        <x:v>/evidence/CLM-016/</x:v>
      </x:c>
      <x:c r="B26" s="24" t="str">
        <x:v>evidence_detail</x:v>
      </x:c>
      <x:c r="C26" s="24" t="str">
        <x:v>/evidence/[id]</x:v>
      </x:c>
      <x:c r="D26" s="24" t="str">
        <x:v>CLM-016</x:v>
      </x:c>
      <x:c r="E26" s="24"/>
      <x:c r="F26" s="28"/>
      <x:c r="G26" s="24"/>
      <x:c r="H26" s="28"/>
    </x:row>
    <x:row r="27">
      <x:c r="A27" s="24" t="str">
        <x:v>/evidence/CLM-017/</x:v>
      </x:c>
      <x:c r="B27" s="24" t="str">
        <x:v>evidence_detail</x:v>
      </x:c>
      <x:c r="C27" s="24" t="str">
        <x:v>/evidence/[id]</x:v>
      </x:c>
      <x:c r="D27" s="24" t="str">
        <x:v>CLM-017</x:v>
      </x:c>
      <x:c r="E27" s="24"/>
      <x:c r="F27" s="28"/>
      <x:c r="G27" s="24"/>
      <x:c r="H27" s="28"/>
    </x:row>
    <x:row r="28">
      <x:c r="A28" s="24" t="str">
        <x:v>/evidence/CLM-018/</x:v>
      </x:c>
      <x:c r="B28" s="24" t="str">
        <x:v>evidence_detail</x:v>
      </x:c>
      <x:c r="C28" s="24" t="str">
        <x:v>/evidence/[id]</x:v>
      </x:c>
      <x:c r="D28" s="24" t="str">
        <x:v>CLM-018</x:v>
      </x:c>
      <x:c r="E28" s="24"/>
      <x:c r="F28" s="28"/>
      <x:c r="G28" s="24"/>
      <x:c r="H28" s="28"/>
    </x:row>
    <x:row r="29">
      <x:c r="A29" s="24" t="str">
        <x:v>/evidence/CLM-019/</x:v>
      </x:c>
      <x:c r="B29" s="24" t="str">
        <x:v>evidence_detail</x:v>
      </x:c>
      <x:c r="C29" s="24" t="str">
        <x:v>/evidence/[id]</x:v>
      </x:c>
      <x:c r="D29" s="24" t="str">
        <x:v>CLM-019</x:v>
      </x:c>
      <x:c r="E29" s="24"/>
      <x:c r="F29" s="28"/>
      <x:c r="G29" s="24"/>
      <x:c r="H29" s="28"/>
    </x:row>
    <x:row r="30">
      <x:c r="A30" s="24" t="str">
        <x:v>/evidence/CLM-020/</x:v>
      </x:c>
      <x:c r="B30" s="24" t="str">
        <x:v>evidence_detail</x:v>
      </x:c>
      <x:c r="C30" s="24" t="str">
        <x:v>/evidence/[id]</x:v>
      </x:c>
      <x:c r="D30" s="24" t="str">
        <x:v>CLM-020</x:v>
      </x:c>
      <x:c r="E30" s="24"/>
      <x:c r="F30" s="28"/>
      <x:c r="G30" s="24"/>
      <x:c r="H30" s="28"/>
    </x:row>
    <x:row r="31">
      <x:c r="A31" s="24" t="str">
        <x:v>/evidence/CLM-021/</x:v>
      </x:c>
      <x:c r="B31" s="24" t="str">
        <x:v>evidence_detail</x:v>
      </x:c>
      <x:c r="C31" s="24" t="str">
        <x:v>/evidence/[id]</x:v>
      </x:c>
      <x:c r="D31" s="24" t="str">
        <x:v>CLM-021</x:v>
      </x:c>
      <x:c r="E31" s="24"/>
      <x:c r="F31" s="28"/>
      <x:c r="G31" s="24"/>
      <x:c r="H31" s="28"/>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x:c r="H33" s="28"/>
    </x:row>
    <x:row r="34">
      <x:c r="A34" s="24" t="str">
        <x:v>/evidence/CLM-024/</x:v>
      </x:c>
      <x:c r="B34" s="24" t="str">
        <x:v>evidence_detail</x:v>
      </x:c>
      <x:c r="C34" s="24" t="str">
        <x:v>/evidence/[id]</x:v>
      </x:c>
      <x:c r="D34" s="24" t="str">
        <x:v>CLM-024</x:v>
      </x:c>
      <x:c r="E34" s="24"/>
      <x:c r="F34" s="28"/>
      <x:c r="G34" s="24"/>
      <x:c r="H34" s="28"/>
    </x:row>
    <x:row r="35">
      <x:c r="A35" s="24" t="str">
        <x:v>/evidence/CLM-025/</x:v>
      </x:c>
      <x:c r="B35" s="24" t="str">
        <x:v>evidence_detail</x:v>
      </x:c>
      <x:c r="C35" s="24" t="str">
        <x:v>/evidence/[id]</x:v>
      </x:c>
      <x:c r="D35" s="24" t="str">
        <x:v>CLM-025</x:v>
      </x:c>
      <x:c r="E35" s="24"/>
      <x:c r="F35" s="28"/>
      <x:c r="G35" s="24"/>
      <x:c r="H35" s="28"/>
    </x:row>
    <x:row r="36">
      <x:c r="A36" s="24" t="str">
        <x:v>/evidence/CLM-026/</x:v>
      </x:c>
      <x:c r="B36" s="24" t="str">
        <x:v>evidence_detail</x:v>
      </x:c>
      <x:c r="C36" s="24" t="str">
        <x:v>/evidence/[id]</x:v>
      </x:c>
      <x:c r="D36" s="24" t="str">
        <x:v>CLM-026</x:v>
      </x:c>
      <x:c r="E36" s="24"/>
      <x:c r="F36" s="28"/>
      <x:c r="G36" s="24"/>
      <x:c r="H36" s="28"/>
    </x:row>
    <x:row r="37">
      <x:c r="A37" s="24" t="str">
        <x:v>/evidence/CLM-027/</x:v>
      </x:c>
      <x:c r="B37" s="24" t="str">
        <x:v>evidence_detail</x:v>
      </x:c>
      <x:c r="C37" s="24" t="str">
        <x:v>/evidence/[id]</x:v>
      </x:c>
      <x:c r="D37" s="24" t="str">
        <x:v>CLM-027</x:v>
      </x:c>
      <x:c r="E37" s="24"/>
      <x:c r="F37" s="28"/>
      <x:c r="G37" s="24"/>
      <x:c r="H37" s="28"/>
    </x:row>
    <x:row r="38">
      <x:c r="A38" s="24" t="str">
        <x:v>/evidence/CLM-028/</x:v>
      </x:c>
      <x:c r="B38" s="24" t="str">
        <x:v>evidence_detail</x:v>
      </x:c>
      <x:c r="C38" s="24" t="str">
        <x:v>/evidence/[id]</x:v>
      </x:c>
      <x:c r="D38" s="24" t="str">
        <x:v>CLM-028</x:v>
      </x:c>
      <x:c r="E38" s="24"/>
      <x:c r="F38" s="28"/>
      <x:c r="G38" s="24"/>
      <x:c r="H38" s="28"/>
    </x:row>
    <x:row r="39">
      <x:c r="A39" s="24" t="str">
        <x:v>/evidence/CLM-029/</x:v>
      </x:c>
      <x:c r="B39" s="24" t="str">
        <x:v>evidence_detail</x:v>
      </x:c>
      <x:c r="C39" s="24" t="str">
        <x:v>/evidence/[id]</x:v>
      </x:c>
      <x:c r="D39" s="24" t="str">
        <x:v>CLM-029</x:v>
      </x:c>
      <x:c r="E39" s="24"/>
      <x:c r="F39" s="28"/>
      <x:c r="G39" s="24"/>
      <x:c r="H39" s="28"/>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x:c r="H41" s="28"/>
    </x:row>
    <x:row r="42">
      <x:c r="A42" s="24" t="str">
        <x:v>/evidence/CLM-032/</x:v>
      </x:c>
      <x:c r="B42" s="24" t="str">
        <x:v>evidence_detail</x:v>
      </x:c>
      <x:c r="C42" s="24" t="str">
        <x:v>/evidence/[id]</x:v>
      </x:c>
      <x:c r="D42" s="24" t="str">
        <x:v>CLM-032</x:v>
      </x:c>
      <x:c r="E42" s="24"/>
      <x:c r="F42" s="28"/>
      <x:c r="G42" s="24"/>
      <x:c r="H42" s="28"/>
    </x:row>
    <x:row r="43">
      <x:c r="A43" s="24" t="str">
        <x:v>/evidence/CLM-033/</x:v>
      </x:c>
      <x:c r="B43" s="24" t="str">
        <x:v>evidence_detail</x:v>
      </x:c>
      <x:c r="C43" s="24" t="str">
        <x:v>/evidence/[id]</x:v>
      </x:c>
      <x:c r="D43" s="24" t="str">
        <x:v>CLM-033</x:v>
      </x:c>
      <x:c r="E43" s="24"/>
      <x:c r="F43" s="28"/>
      <x:c r="G43" s="24"/>
      <x:c r="H43" s="28"/>
    </x:row>
    <x:row r="44">
      <x:c r="A44" s="24" t="str">
        <x:v>/evidence/CLM-034/</x:v>
      </x:c>
      <x:c r="B44" s="24" t="str">
        <x:v>evidence_detail</x:v>
      </x:c>
      <x:c r="C44" s="24" t="str">
        <x:v>/evidence/[id]</x:v>
      </x:c>
      <x:c r="D44" s="24" t="str">
        <x:v>CLM-034</x:v>
      </x:c>
      <x:c r="E44" s="24"/>
      <x:c r="F44" s="28"/>
      <x:c r="G44" s="24"/>
      <x:c r="H44" s="28"/>
    </x:row>
    <x:row r="45">
      <x:c r="A45" s="24" t="str">
        <x:v>/evidence/CLM-035/</x:v>
      </x:c>
      <x:c r="B45" s="24" t="str">
        <x:v>evidence_detail</x:v>
      </x:c>
      <x:c r="C45" s="24" t="str">
        <x:v>/evidence/[id]</x:v>
      </x:c>
      <x:c r="D45" s="24" t="str">
        <x:v>CLM-035</x:v>
      </x:c>
      <x:c r="E45" s="24"/>
      <x:c r="F45" s="28"/>
      <x:c r="G45" s="24"/>
      <x:c r="H45" s="28"/>
    </x:row>
    <x:row r="46">
      <x:c r="A46" s="24" t="str">
        <x:v>/evidence/CLM-036/</x:v>
      </x:c>
      <x:c r="B46" s="24" t="str">
        <x:v>evidence_detail</x:v>
      </x:c>
      <x:c r="C46" s="24" t="str">
        <x:v>/evidence/[id]</x:v>
      </x:c>
      <x:c r="D46" s="24" t="str">
        <x:v>CLM-036</x:v>
      </x:c>
      <x:c r="E46" s="24"/>
      <x:c r="F46" s="28"/>
      <x:c r="G46" s="24"/>
      <x:c r="H46" s="28"/>
    </x:row>
    <x:row r="47">
      <x:c r="A47" s="24" t="str">
        <x:v>/evidence/CLM-037/</x:v>
      </x:c>
      <x:c r="B47" s="24" t="str">
        <x:v>evidence_detail</x:v>
      </x:c>
      <x:c r="C47" s="24" t="str">
        <x:v>/evidence/[id]</x:v>
      </x:c>
      <x:c r="D47" s="24" t="str">
        <x:v>CLM-037</x:v>
      </x:c>
      <x:c r="E47" s="24"/>
      <x:c r="F47" s="28"/>
      <x:c r="G47" s="24"/>
      <x:c r="H47" s="28"/>
    </x:row>
    <x:row r="48">
      <x:c r="A48" s="24" t="str">
        <x:v>/evidence/CLM-038/</x:v>
      </x:c>
      <x:c r="B48" s="24" t="str">
        <x:v>evidence_detail</x:v>
      </x:c>
      <x:c r="C48" s="24" t="str">
        <x:v>/evidence/[id]</x:v>
      </x:c>
      <x:c r="D48" s="24" t="str">
        <x:v>CLM-038</x:v>
      </x:c>
      <x:c r="E48" s="24"/>
      <x:c r="F48" s="28"/>
      <x:c r="G48" s="24"/>
      <x:c r="H48" s="28"/>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x:c r="H50" s="28"/>
    </x:row>
    <x:row r="51">
      <x:c r="A51" s="24" t="str">
        <x:v>/evidence/CLM-041/</x:v>
      </x:c>
      <x:c r="B51" s="24" t="str">
        <x:v>evidence_detail</x:v>
      </x:c>
      <x:c r="C51" s="24" t="str">
        <x:v>/evidence/[id]</x:v>
      </x:c>
      <x:c r="D51" s="24" t="str">
        <x:v>CLM-041</x:v>
      </x:c>
      <x:c r="E51" s="24"/>
      <x:c r="F51" s="28"/>
      <x:c r="G51" s="24"/>
      <x:c r="H51" s="28"/>
    </x:row>
    <x:row r="52">
      <x:c r="A52" s="24" t="str">
        <x:v>/evidence/CLM-042/</x:v>
      </x:c>
      <x:c r="B52" s="24" t="str">
        <x:v>evidence_detail</x:v>
      </x:c>
      <x:c r="C52" s="24" t="str">
        <x:v>/evidence/[id]</x:v>
      </x:c>
      <x:c r="D52" s="24" t="str">
        <x:v>CLM-042</x:v>
      </x:c>
      <x:c r="E52" s="24"/>
      <x:c r="F52" s="28"/>
      <x:c r="G52" s="24"/>
      <x:c r="H52" s="28"/>
    </x:row>
    <x:row r="53">
      <x:c r="A53" s="24" t="str">
        <x:v>/evidence/CLM-043/</x:v>
      </x:c>
      <x:c r="B53" s="24" t="str">
        <x:v>evidence_detail</x:v>
      </x:c>
      <x:c r="C53" s="24" t="str">
        <x:v>/evidence/[id]</x:v>
      </x:c>
      <x:c r="D53" s="24" t="str">
        <x:v>CLM-043</x:v>
      </x:c>
      <x:c r="E53" s="24"/>
      <x:c r="F53" s="28"/>
      <x:c r="G53" s="24"/>
      <x:c r="H53" s="28"/>
    </x:row>
    <x:row r="54">
      <x:c r="A54" s="24" t="str">
        <x:v>/evidence/CLM-044/</x:v>
      </x:c>
      <x:c r="B54" s="24" t="str">
        <x:v>evidence_detail</x:v>
      </x:c>
      <x:c r="C54" s="24" t="str">
        <x:v>/evidence/[id]</x:v>
      </x:c>
      <x:c r="D54" s="24" t="str">
        <x:v>CLM-044</x:v>
      </x:c>
      <x:c r="E54" s="24"/>
      <x:c r="F54" s="28"/>
      <x:c r="G54" s="24"/>
      <x:c r="H54" s="28"/>
    </x:row>
    <x:row r="55">
      <x:c r="A55" s="24" t="str">
        <x:v>/evidence/CLM-045/</x:v>
      </x:c>
      <x:c r="B55" s="24" t="str">
        <x:v>evidence_detail</x:v>
      </x:c>
      <x:c r="C55" s="24" t="str">
        <x:v>/evidence/[id]</x:v>
      </x:c>
      <x:c r="D55" s="24" t="str">
        <x:v>CLM-045</x:v>
      </x:c>
      <x:c r="E55" s="24"/>
      <x:c r="F55" s="28"/>
      <x:c r="G55" s="24"/>
      <x:c r="H55" s="28"/>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x:c r="H57" s="28"/>
    </x:row>
    <x:row r="58">
      <x:c r="A58" s="24" t="str">
        <x:v>/evidence/CLM-048/</x:v>
      </x:c>
      <x:c r="B58" s="24" t="str">
        <x:v>evidence_detail</x:v>
      </x:c>
      <x:c r="C58" s="24" t="str">
        <x:v>/evidence/[id]</x:v>
      </x:c>
      <x:c r="D58" s="24" t="str">
        <x:v>CLM-048</x:v>
      </x:c>
      <x:c r="E58" s="24"/>
      <x:c r="F58" s="28"/>
      <x:c r="G58" s="24"/>
      <x:c r="H58" s="28"/>
    </x:row>
    <x:row r="59">
      <x:c r="A59" s="24" t="str">
        <x:v>/evidence/CLM-049/</x:v>
      </x:c>
      <x:c r="B59" s="24" t="str">
        <x:v>evidence_detail</x:v>
      </x:c>
      <x:c r="C59" s="24" t="str">
        <x:v>/evidence/[id]</x:v>
      </x:c>
      <x:c r="D59" s="24" t="str">
        <x:v>CLM-049</x:v>
      </x:c>
      <x:c r="E59" s="24"/>
      <x:c r="F59" s="28"/>
      <x:c r="G59" s="24"/>
      <x:c r="H59" s="28"/>
    </x:row>
    <x:row r="60">
      <x:c r="A60" s="24" t="str">
        <x:v>/evidence/CLM-050/</x:v>
      </x:c>
      <x:c r="B60" s="24" t="str">
        <x:v>evidence_detail</x:v>
      </x:c>
      <x:c r="C60" s="24" t="str">
        <x:v>/evidence/[id]</x:v>
      </x:c>
      <x:c r="D60" s="24" t="str">
        <x:v>CLM-050</x:v>
      </x:c>
      <x:c r="E60" s="24"/>
      <x:c r="F60" s="28"/>
      <x:c r="G60" s="24"/>
      <x:c r="H60" s="28"/>
    </x:row>
    <x:row r="61">
      <x:c r="A61" s="24" t="str">
        <x:v>/evidence/CLM-051/</x:v>
      </x:c>
      <x:c r="B61" s="24" t="str">
        <x:v>evidence_detail</x:v>
      </x:c>
      <x:c r="C61" s="24" t="str">
        <x:v>/evidence/[id]</x:v>
      </x:c>
      <x:c r="D61" s="24" t="str">
        <x:v>CLM-051</x:v>
      </x:c>
      <x:c r="E61" s="24"/>
      <x:c r="F61" s="28"/>
      <x:c r="G61" s="24"/>
      <x:c r="H61" s="28"/>
    </x:row>
    <x:row r="62">
      <x:c r="A62" s="24" t="str">
        <x:v>/evidence/CLM-052/</x:v>
      </x:c>
      <x:c r="B62" s="24" t="str">
        <x:v>evidence_detail</x:v>
      </x:c>
      <x:c r="C62" s="24" t="str">
        <x:v>/evidence/[id]</x:v>
      </x:c>
      <x:c r="D62" s="24" t="str">
        <x:v>CLM-052</x:v>
      </x:c>
      <x:c r="E62" s="24"/>
      <x:c r="F62" s="28"/>
      <x:c r="G62" s="24"/>
      <x:c r="H62" s="28"/>
    </x:row>
    <x:row r="63">
      <x:c r="A63" s="24" t="str">
        <x:v>/evidence/CLM-053/</x:v>
      </x:c>
      <x:c r="B63" s="24" t="str">
        <x:v>evidence_detail</x:v>
      </x:c>
      <x:c r="C63" s="24" t="str">
        <x:v>/evidence/[id]</x:v>
      </x:c>
      <x:c r="D63" s="24" t="str">
        <x:v>CLM-053</x:v>
      </x:c>
      <x:c r="E63" s="24"/>
      <x:c r="F63" s="28"/>
      <x:c r="G63" s="24"/>
      <x:c r="H63" s="28"/>
    </x:row>
    <x:row r="64">
      <x:c r="A64" s="24" t="str">
        <x:v>/evidence/CLM-054/</x:v>
      </x:c>
      <x:c r="B64" s="24" t="str">
        <x:v>evidence_detail</x:v>
      </x:c>
      <x:c r="C64" s="24" t="str">
        <x:v>/evidence/[id]</x:v>
      </x:c>
      <x:c r="D64" s="24" t="str">
        <x:v>CLM-054</x:v>
      </x:c>
      <x:c r="E64" s="24"/>
      <x:c r="F64" s="28"/>
      <x:c r="G64" s="24"/>
      <x:c r="H64" s="28"/>
    </x:row>
    <x:row r="65">
      <x:c r="A65" s="24" t="str">
        <x:v>/evidence/CLM-055/</x:v>
      </x:c>
      <x:c r="B65" s="24" t="str">
        <x:v>evidence_detail</x:v>
      </x:c>
      <x:c r="C65" s="24" t="str">
        <x:v>/evidence/[id]</x:v>
      </x:c>
      <x:c r="D65" s="24" t="str">
        <x:v>CLM-055</x:v>
      </x:c>
      <x:c r="E65" s="24"/>
      <x:c r="F65" s="28"/>
      <x:c r="G65" s="24"/>
      <x:c r="H65" s="28"/>
    </x:row>
    <x:row r="66">
      <x:c r="A66" s="24" t="str">
        <x:v>/evidence/CLM-056/</x:v>
      </x:c>
      <x:c r="B66" s="24" t="str">
        <x:v>evidence_detail</x:v>
      </x:c>
      <x:c r="C66" s="24" t="str">
        <x:v>/evidence/[id]</x:v>
      </x:c>
      <x:c r="D66" s="24" t="str">
        <x:v>CLM-056</x:v>
      </x:c>
      <x:c r="E66" s="24"/>
      <x:c r="F66" s="28"/>
      <x:c r="G66" s="24"/>
      <x:c r="H66" s="28"/>
    </x:row>
    <x:row r="67">
      <x:c r="A67" s="24" t="str">
        <x:v>/evidence/CLM-057/</x:v>
      </x:c>
      <x:c r="B67" s="24" t="str">
        <x:v>evidence_detail</x:v>
      </x:c>
      <x:c r="C67" s="24" t="str">
        <x:v>/evidence/[id]</x:v>
      </x:c>
      <x:c r="D67" s="24" t="str">
        <x:v>CLM-057</x:v>
      </x:c>
      <x:c r="E67" s="24"/>
      <x:c r="F67" s="28"/>
      <x:c r="G67" s="24"/>
      <x:c r="H67" s="28"/>
    </x:row>
    <x:row r="68">
      <x:c r="A68" s="24" t="str">
        <x:v>/evidence/CLM-058/</x:v>
      </x:c>
      <x:c r="B68" s="24" t="str">
        <x:v>evidence_detail</x:v>
      </x:c>
      <x:c r="C68" s="24" t="str">
        <x:v>/evidence/[id]</x:v>
      </x:c>
      <x:c r="D68" s="24" t="str">
        <x:v>CLM-058</x:v>
      </x:c>
      <x:c r="E68" s="24"/>
      <x:c r="F68" s="28"/>
      <x:c r="G68" s="24"/>
      <x:c r="H68" s="28"/>
    </x:row>
    <x:row r="69">
      <x:c r="A69" s="24" t="str">
        <x:v>/evidence/CLM-059/</x:v>
      </x:c>
      <x:c r="B69" s="24" t="str">
        <x:v>evidence_detail</x:v>
      </x:c>
      <x:c r="C69" s="24" t="str">
        <x:v>/evidence/[id]</x:v>
      </x:c>
      <x:c r="D69" s="24" t="str">
        <x:v>CLM-059</x:v>
      </x:c>
      <x:c r="E69" s="24"/>
      <x:c r="F69" s="28"/>
      <x:c r="G69" s="24"/>
      <x:c r="H69" s="28"/>
    </x:row>
    <x:row r="70">
      <x:c r="A70" s="24" t="str">
        <x:v>/evidence/CLM-060/</x:v>
      </x:c>
      <x:c r="B70" s="24" t="str">
        <x:v>evidence_detail</x:v>
      </x:c>
      <x:c r="C70" s="24" t="str">
        <x:v>/evidence/[id]</x:v>
      </x:c>
      <x:c r="D70" s="24" t="str">
        <x:v>CLM-060</x:v>
      </x:c>
      <x:c r="E70" s="24"/>
      <x:c r="F70" s="28"/>
      <x:c r="G70" s="24"/>
      <x:c r="H70" s="28"/>
    </x:row>
    <x:row r="71">
      <x:c r="A71" s="24" t="str">
        <x:v>/evidence/DS-DEMAND-VINTAGE-LENS/</x:v>
      </x:c>
      <x:c r="B71" s="24" t="str">
        <x:v>evidence_detail</x:v>
      </x:c>
      <x:c r="C71" s="24" t="str">
        <x:v>/evidence/[id]</x:v>
      </x:c>
      <x:c r="D71" s="24" t="str">
        <x:v>DS-DEMAND-VINTAGE-LENS</x:v>
      </x:c>
      <x:c r="E71" s="24"/>
      <x:c r="F71" s="28"/>
      <x:c r="G71" s="24"/>
      <x:c r="H71" s="28"/>
    </x:row>
    <x:row r="72">
      <x:c r="A72" s="24" t="str">
        <x:v>/evidence/DS-FCP-ARCH/</x:v>
      </x:c>
      <x:c r="B72" s="24" t="str">
        <x:v>evidence_detail</x:v>
      </x:c>
      <x:c r="C72" s="24" t="str">
        <x:v>/evidence/[id]</x:v>
      </x:c>
      <x:c r="D72" s="24" t="str">
        <x:v>DS-FCP-ARCH</x:v>
      </x:c>
      <x:c r="E72" s="24"/>
      <x:c r="F72" s="28"/>
      <x:c r="G72" s="24"/>
      <x:c r="H72" s="28"/>
    </x:row>
    <x:row r="73">
      <x:c r="A73" s="24" t="str">
        <x:v>/evidence/DS-FINDEX-HISTORY-CROSSWALK/</x:v>
      </x:c>
      <x:c r="B73" s="24" t="str">
        <x:v>evidence_detail</x:v>
      </x:c>
      <x:c r="C73" s="24" t="str">
        <x:v>/evidence/[id]</x:v>
      </x:c>
      <x:c r="D73" s="24" t="str">
        <x:v>DS-FINDEX-HISTORY-CROSSWALK</x:v>
      </x:c>
      <x:c r="E73" s="24"/>
      <x:c r="F73" s="28"/>
      <x:c r="G73" s="24"/>
      <x:c r="H73" s="28"/>
    </x:row>
    <x:row r="74">
      <x:c r="A74" s="24" t="str">
        <x:v>/evidence/DS-FINDEX-PUBLIC-HISTORY/</x:v>
      </x:c>
      <x:c r="B74" s="24" t="str">
        <x:v>evidence_detail</x:v>
      </x:c>
      <x:c r="C74" s="24" t="str">
        <x:v>/evidence/[id]</x:v>
      </x:c>
      <x:c r="D74" s="24" t="str">
        <x:v>DS-FINDEX-PUBLIC-HISTORY</x:v>
      </x:c>
      <x:c r="E74" s="24"/>
      <x:c r="F74" s="28"/>
      <x:c r="G74" s="24"/>
      <x:c r="H74" s="28"/>
    </x:row>
    <x:row r="75">
      <x:c r="A75" s="24" t="str">
        <x:v>/evidence/DS-QUAL-EVIDENCE/</x:v>
      </x:c>
      <x:c r="B75" s="24" t="str">
        <x:v>evidence_detail</x:v>
      </x:c>
      <x:c r="C75" s="24" t="str">
        <x:v>/evidence/[id]</x:v>
      </x:c>
      <x:c r="D75" s="24" t="str">
        <x:v>DS-QUAL-EVIDENCE</x:v>
      </x:c>
      <x:c r="E75" s="24"/>
      <x:c r="F75" s="28"/>
      <x:c r="G75" s="24"/>
      <x:c r="H75" s="28"/>
    </x:row>
    <x:row r="76">
      <x:c r="A76" s="24" t="str">
        <x:v>/evidence/MF-ORIG-001+002/</x:v>
      </x:c>
      <x:c r="B76" s="24" t="str">
        <x:v>evidence_detail</x:v>
      </x:c>
      <x:c r="C76" s="24" t="str">
        <x:v>/evidence/[id]</x:v>
      </x:c>
      <x:c r="D76" s="24" t="str">
        <x:v>MF-ORIG-001+002</x:v>
      </x:c>
      <x:c r="E76" s="24"/>
      <x:c r="F76" s="28"/>
      <x:c r="G76" s="24"/>
      <x:c r="H76" s="28"/>
    </x:row>
    <x:row r="77">
      <x:c r="A77" s="24" t="str">
        <x:v>/evidence/MFI-SPINE-2015-Q4/</x:v>
      </x:c>
      <x:c r="B77" s="24" t="str">
        <x:v>evidence_detail</x:v>
      </x:c>
      <x:c r="C77" s="24" t="str">
        <x:v>/evidence/[id]</x:v>
      </x:c>
      <x:c r="D77" s="24" t="str">
        <x:v>MFI-SPINE-2015-Q4</x:v>
      </x:c>
      <x:c r="E77" s="24"/>
      <x:c r="F77" s="28"/>
      <x:c r="G77" s="24"/>
      <x:c r="H77" s="28"/>
    </x:row>
    <x:row r="78">
      <x:c r="A78" s="24" t="str">
        <x:v>/evidence/NEG-EW-011/</x:v>
      </x:c>
      <x:c r="B78" s="24" t="str">
        <x:v>evidence_detail</x:v>
      </x:c>
      <x:c r="C78" s="24" t="str">
        <x:v>/evidence/[id]</x:v>
      </x:c>
      <x:c r="D78" s="24" t="str">
        <x:v>NEG-EW-011</x:v>
      </x:c>
      <x:c r="E78" s="24"/>
      <x:c r="F78" s="28"/>
      <x:c r="G78" s="24"/>
      <x:c r="H78" s="28"/>
    </x:row>
    <x:row r="79">
      <x:c r="A79" s="24" t="str">
        <x:v>/evidence/PSE-011/</x:v>
      </x:c>
      <x:c r="B79" s="24" t="str">
        <x:v>evidence_detail</x:v>
      </x:c>
      <x:c r="C79" s="24" t="str">
        <x:v>/evidence/[id]</x:v>
      </x:c>
      <x:c r="D79" s="24" t="str">
        <x:v>PSE-011</x:v>
      </x:c>
      <x:c r="E79" s="24"/>
      <x:c r="F79" s="28"/>
      <x:c r="G79" s="24"/>
      <x:c r="H79" s="28"/>
    </x:row>
    <x:row r="80">
      <x:c r="A80" s="24" t="str">
        <x:v>/evidence/QUAL-001/</x:v>
      </x:c>
      <x:c r="B80" s="24" t="str">
        <x:v>evidence_detail</x:v>
      </x:c>
      <x:c r="C80" s="24" t="str">
        <x:v>/evidence/[id]</x:v>
      </x:c>
      <x:c r="D80" s="24" t="str">
        <x:v>QUAL-001</x:v>
      </x:c>
      <x:c r="E80" s="24"/>
      <x:c r="F80" s="28"/>
      <x:c r="G80" s="24"/>
      <x:c r="H80" s="28"/>
    </x:row>
    <x:row r="81">
      <x:c r="A81" s="24" t="str">
        <x:v>/evidence/VIS-BORROWING-SOURCES-2014/</x:v>
      </x:c>
      <x:c r="B81" s="24" t="str">
        <x:v>evidence_detail</x:v>
      </x:c>
      <x:c r="C81" s="24" t="str">
        <x:v>/evidence/[id]</x:v>
      </x:c>
      <x:c r="D81" s="24" t="str">
        <x:v>VIS-BORROWING-SOURCES-2014</x:v>
      </x:c>
      <x:c r="E81" s="24"/>
      <x:c r="F81" s="28"/>
      <x:c r="G81" s="24"/>
      <x:c r="H81" s="28"/>
    </x:row>
    <x:row r="82">
      <x:c r="A82" s="24" t="str">
        <x:v>/evidence/VIS-CAPITAL-CONTEXT/</x:v>
      </x:c>
      <x:c r="B82" s="24" t="str">
        <x:v>evidence_detail</x:v>
      </x:c>
      <x:c r="C82" s="24" t="str">
        <x:v>/evidence/[id]</x:v>
      </x:c>
      <x:c r="D82" s="24" t="str">
        <x:v>VIS-CAPITAL-CONTEXT</x:v>
      </x:c>
      <x:c r="E82" s="24"/>
      <x:c r="F82" s="28"/>
      <x:c r="G82" s="24"/>
      <x:c r="H82" s="28"/>
    </x:row>
    <x:row r="83">
      <x:c r="A83" s="24" t="str">
        <x:v>/evidence/VIS-DEMAND-VINTAGE-LADDER/</x:v>
      </x:c>
      <x:c r="B83" s="24" t="str">
        <x:v>evidence_detail</x:v>
      </x:c>
      <x:c r="C83" s="24" t="str">
        <x:v>/evidence/[id]</x:v>
      </x:c>
      <x:c r="D83" s="24" t="str">
        <x:v>VIS-DEMAND-VINTAGE-LADDER</x:v>
      </x:c>
      <x:c r="E83" s="24"/>
      <x:c r="F83" s="28"/>
      <x:c r="G83" s="24"/>
      <x:c r="H83" s="28"/>
    </x:row>
    <x:row r="84">
      <x:c r="A84" s="24" t="str">
        <x:v>/evidence/VIS-DOMESTIC-REMITTANCE-PATH-2014/</x:v>
      </x:c>
      <x:c r="B84" s="24" t="str">
        <x:v>evidence_detail</x:v>
      </x:c>
      <x:c r="C84" s="24" t="str">
        <x:v>/evidence/[id]</x:v>
      </x:c>
      <x:c r="D84" s="24" t="str">
        <x:v>VIS-DOMESTIC-REMITTANCE-PATH-2014</x:v>
      </x:c>
      <x:c r="E84" s="24"/>
      <x:c r="F84" s="28"/>
      <x:c r="G84" s="24"/>
      <x:c r="H84" s="28"/>
    </x:row>
    <x:row r="85">
      <x:c r="A85" s="24" t="str">
        <x:v>/evidence/VIS-E-MONEY-RULE-STACK/</x:v>
      </x:c>
      <x:c r="B85" s="24" t="str">
        <x:v>evidence_detail</x:v>
      </x:c>
      <x:c r="C85" s="24" t="str">
        <x:v>/evidence/[id]</x:v>
      </x:c>
      <x:c r="D85" s="24" t="str">
        <x:v>VIS-E-MONEY-RULE-STACK</x:v>
      </x:c>
      <x:c r="E85" s="24"/>
      <x:c r="F85" s="28"/>
      <x:c r="G85" s="24"/>
      <x:c r="H85" s="28"/>
    </x:row>
    <x:row r="86">
      <x:c r="A86" s="24" t="str">
        <x:v>/evidence/VIS-EVIDENCE-CLASS-LADDER/</x:v>
      </x:c>
      <x:c r="B86" s="24" t="str">
        <x:v>evidence_detail</x:v>
      </x:c>
      <x:c r="C86" s="24" t="str">
        <x:v>/evidence/[id]</x:v>
      </x:c>
      <x:c r="D86" s="24" t="str">
        <x:v>VIS-EVIDENCE-CLASS-LADDER</x:v>
      </x:c>
      <x:c r="E86" s="24"/>
      <x:c r="F86" s="28"/>
      <x:c r="G86" s="24"/>
      <x:c r="H86" s="28"/>
    </x:row>
    <x:row r="87">
      <x:c r="A87" s="24" t="str">
        <x:v>/evidence/VIS-EVIDENCE-FRESHNESS/</x:v>
      </x:c>
      <x:c r="B87" s="24" t="str">
        <x:v>evidence_detail</x:v>
      </x:c>
      <x:c r="C87" s="24" t="str">
        <x:v>/evidence/[id]</x:v>
      </x:c>
      <x:c r="D87" s="24" t="str">
        <x:v>VIS-EVIDENCE-FRESHNESS</x:v>
      </x:c>
      <x:c r="E87" s="24"/>
      <x:c r="F87" s="28"/>
      <x:c r="G87" s="24"/>
      <x:c r="H87" s="28"/>
    </x:row>
    <x:row r="88">
      <x:c r="A88" s="24" t="str">
        <x:v>/evidence/VIS-EVIDENCE-GAPS/</x:v>
      </x:c>
      <x:c r="B88" s="24" t="str">
        <x:v>evidence_detail</x:v>
      </x:c>
      <x:c r="C88" s="24" t="str">
        <x:v>/evidence/[id]</x:v>
      </x:c>
      <x:c r="D88" s="24" t="str">
        <x:v>VIS-EVIDENCE-GAPS</x:v>
      </x:c>
      <x:c r="E88" s="24"/>
      <x:c r="F88" s="28"/>
      <x:c r="G88" s="24"/>
      <x:c r="H88" s="28"/>
    </x:row>
    <x:row r="89">
      <x:c r="A89" s="24" t="str">
        <x:v>/evidence/VIS-FCP-REDRESS-PATH/</x:v>
      </x:c>
      <x:c r="B89" s="24" t="str">
        <x:v>evidence_detail</x:v>
      </x:c>
      <x:c r="C89" s="24" t="str">
        <x:v>/evidence/[id]</x:v>
      </x:c>
      <x:c r="D89" s="24" t="str">
        <x:v>VIS-FCP-REDRESS-PATH</x:v>
      </x:c>
      <x:c r="E89" s="24"/>
      <x:c r="F89" s="28"/>
      <x:c r="G89" s="24"/>
      <x:c r="H89" s="28"/>
    </x:row>
    <x:row r="90">
      <x:c r="A90" s="24" t="str">
        <x:v>/evidence/VIS-FINDEX-ACCESS-USE/</x:v>
      </x:c>
      <x:c r="B90" s="24" t="str">
        <x:v>evidence_detail</x:v>
      </x:c>
      <x:c r="C90" s="24" t="str">
        <x:v>/evidence/[id]</x:v>
      </x:c>
      <x:c r="D90" s="24" t="str">
        <x:v>VIS-FINDEX-ACCESS-USE</x:v>
      </x:c>
      <x:c r="E90" s="24"/>
      <x:c r="F90" s="28"/>
      <x:c r="G90" s="24"/>
      <x:c r="H90" s="28"/>
    </x:row>
    <x:row r="91">
      <x:c r="A91" s="24" t="str">
        <x:v>/evidence/VIS-FINDEX-BARRIERS/</x:v>
      </x:c>
      <x:c r="B91" s="24" t="str">
        <x:v>evidence_detail</x:v>
      </x:c>
      <x:c r="C91" s="24" t="str">
        <x:v>/evidence/[id]</x:v>
      </x:c>
      <x:c r="D91" s="24" t="str">
        <x:v>VIS-FINDEX-BARRIERS</x:v>
      </x:c>
      <x:c r="E91" s="24"/>
      <x:c r="F91" s="28"/>
      <x:c r="G91" s="24"/>
      <x:c r="H91" s="28"/>
    </x:row>
    <x:row r="92">
      <x:c r="A92" s="24" t="str">
        <x:v>/evidence/VIS-FINDEX-FLOW-CHANNELS/</x:v>
      </x:c>
      <x:c r="B92" s="24" t="str">
        <x:v>evidence_detail</x:v>
      </x:c>
      <x:c r="C92" s="24" t="str">
        <x:v>/evidence/[id]</x:v>
      </x:c>
      <x:c r="D92" s="24" t="str">
        <x:v>VIS-FINDEX-FLOW-CHANNELS</x:v>
      </x:c>
      <x:c r="E92" s="24"/>
      <x:c r="F92" s="28"/>
      <x:c r="G92" s="24"/>
      <x:c r="H92" s="28"/>
    </x:row>
    <x:row r="93">
      <x:c r="A93" s="24" t="str">
        <x:v>/evidence/VIS-FINDEX-GAPS/</x:v>
      </x:c>
      <x:c r="B93" s="24" t="str">
        <x:v>evidence_detail</x:v>
      </x:c>
      <x:c r="C93" s="24" t="str">
        <x:v>/evidence/[id]</x:v>
      </x:c>
      <x:c r="D93" s="24" t="str">
        <x:v>VIS-FINDEX-GAPS</x:v>
      </x:c>
      <x:c r="E93" s="24"/>
      <x:c r="F93" s="28"/>
      <x:c r="G93" s="24"/>
      <x:c r="H93" s="28"/>
    </x:row>
    <x:row r="94">
      <x:c r="A94" s="24" t="str">
        <x:v>/evidence/VIS-FINDEX-OBSERVED-WAVES/</x:v>
      </x:c>
      <x:c r="B94" s="24" t="str">
        <x:v>evidence_detail</x:v>
      </x:c>
      <x:c r="C94" s="24" t="str">
        <x:v>/evidence/[id]</x:v>
      </x:c>
      <x:c r="D94" s="24" t="str">
        <x:v>VIS-FINDEX-OBSERVED-WAVES</x:v>
      </x:c>
      <x:c r="E94" s="24"/>
      <x:c r="F94" s="28"/>
      <x:c r="G94" s="24"/>
      <x:c r="H94" s="28"/>
    </x:row>
    <x:row r="95">
      <x:c r="A95" s="24" t="str">
        <x:v>/evidence/VIS-FINDEX-RESILIENCE/</x:v>
      </x:c>
      <x:c r="B95" s="24" t="str">
        <x:v>evidence_detail</x:v>
      </x:c>
      <x:c r="C95" s="24" t="str">
        <x:v>/evidence/[id]</x:v>
      </x:c>
      <x:c r="D95" s="24" t="str">
        <x:v>VIS-FINDEX-RESILIENCE</x:v>
      </x:c>
      <x:c r="E95" s="24"/>
      <x:c r="F95" s="28"/>
      <x:c r="G95" s="24"/>
      <x:c r="H95" s="28"/>
    </x:row>
    <x:row r="96">
      <x:c r="A96" s="24" t="str">
        <x:v>/evidence/VIS-FINDEX-SAMPLE-SUPPORT/</x:v>
      </x:c>
      <x:c r="B96" s="24" t="str">
        <x:v>evidence_detail</x:v>
      </x:c>
      <x:c r="C96" s="24" t="str">
        <x:v>/evidence/[id]</x:v>
      </x:c>
      <x:c r="D96" s="24" t="str">
        <x:v>VIS-FINDEX-SAMPLE-SUPPORT</x:v>
      </x:c>
      <x:c r="E96" s="24"/>
      <x:c r="F96" s="28"/>
      <x:c r="G96" s="24"/>
      <x:c r="H96" s="28"/>
    </x:row>
    <x:row r="97">
      <x:c r="A97" s="24" t="str">
        <x:v>/evidence/VIS-FIRM-CONSTRAINTS/</x:v>
      </x:c>
      <x:c r="B97" s="24" t="str">
        <x:v>evidence_detail</x:v>
      </x:c>
      <x:c r="C97" s="24" t="str">
        <x:v>/evidence/[id]</x:v>
      </x:c>
      <x:c r="D97" s="24" t="str">
        <x:v>VIS-FIRM-CONSTRAINTS</x:v>
      </x:c>
      <x:c r="E97" s="24"/>
      <x:c r="F97" s="28"/>
      <x:c r="G97" s="24"/>
      <x:c r="H97" s="28"/>
    </x:row>
    <x:row r="98">
      <x:c r="A98" s="24" t="str">
        <x:v>/evidence/VIS-FIRM-FINANCE-PATH/</x:v>
      </x:c>
      <x:c r="B98" s="24" t="str">
        <x:v>evidence_detail</x:v>
      </x:c>
      <x:c r="C98" s="24" t="str">
        <x:v>/evidence/[id]</x:v>
      </x:c>
      <x:c r="D98" s="24" t="str">
        <x:v>VIS-FIRM-FINANCE-PATH</x:v>
      </x:c>
      <x:c r="E98" s="24"/>
      <x:c r="F98" s="28"/>
      <x:c r="G98" s="24"/>
      <x:c r="H98" s="28"/>
    </x:row>
    <x:row r="99">
      <x:c r="A99" s="24" t="str">
        <x:v>/evidence/VIS-FIRM-FINANCE-SEVERITY/</x:v>
      </x:c>
      <x:c r="B99" s="24" t="str">
        <x:v>evidence_detail</x:v>
      </x:c>
      <x:c r="C99" s="24" t="str">
        <x:v>/evidence/[id]</x:v>
      </x:c>
      <x:c r="D99" s="24" t="str">
        <x:v>VIS-FIRM-FINANCE-SEVERITY</x:v>
      </x:c>
      <x:c r="E99" s="24"/>
      <x:c r="F99" s="28"/>
      <x:c r="G99" s="24"/>
      <x:c r="H99" s="28"/>
    </x:row>
    <x:row r="100">
      <x:c r="A100" s="24" t="str">
        <x:v>/evidence/VIS-FL-EVIDENCE-LADDER/</x:v>
      </x:c>
      <x:c r="B100" s="24" t="str">
        <x:v>evidence_detail</x:v>
      </x:c>
      <x:c r="C100" s="24" t="str">
        <x:v>/evidence/[id]</x:v>
      </x:c>
      <x:c r="D100" s="24" t="str">
        <x:v>VIS-FL-EVIDENCE-LADDER</x:v>
      </x:c>
      <x:c r="E100" s="24"/>
      <x:c r="F100" s="28"/>
      <x:c r="G100" s="24"/>
      <x:c r="H100" s="28"/>
    </x:row>
    <x:row r="101">
      <x:c r="A101" s="24" t="str">
        <x:v>/evidence/VIS-INCLUSION-TRANSMISSION/</x:v>
      </x:c>
      <x:c r="B101" s="24" t="str">
        <x:v>evidence_detail</x:v>
      </x:c>
      <x:c r="C101" s="24" t="str">
        <x:v>/evidence/[id]</x:v>
      </x:c>
      <x:c r="D101" s="24" t="str">
        <x:v>VIS-INCLUSION-TRANSMISSION</x:v>
      </x:c>
      <x:c r="E101" s="24"/>
      <x:c r="F101" s="28"/>
      <x:c r="G101" s="24"/>
      <x:c r="H101" s="28"/>
    </x:row>
    <x:row r="102">
      <x:c r="A102" s="24" t="str">
        <x:v>/evidence/VIS-MECHANISM-METRIC-BRIDGE/</x:v>
      </x:c>
      <x:c r="B102" s="24" t="str">
        <x:v>evidence_detail</x:v>
      </x:c>
      <x:c r="C102" s="24" t="str">
        <x:v>/evidence/[id]</x:v>
      </x:c>
      <x:c r="D102" s="24" t="str">
        <x:v>VIS-MECHANISM-METRIC-BRIDGE</x:v>
      </x:c>
      <x:c r="E102" s="24"/>
      <x:c r="F102" s="28"/>
      <x:c r="G102" s="24"/>
      <x:c r="H102" s="28"/>
    </x:row>
    <x:row r="103">
      <x:c r="A103" s="24" t="str">
        <x:v>/evidence/VIS-MFI-2014-PANEL/</x:v>
      </x:c>
      <x:c r="B103" s="24" t="str">
        <x:v>evidence_detail</x:v>
      </x:c>
      <x:c r="C103" s="24" t="str">
        <x:v>/evidence/[id]</x:v>
      </x:c>
      <x:c r="D103" s="24" t="str">
        <x:v>VIS-MFI-2014-PANEL</x:v>
      </x:c>
      <x:c r="E103" s="24"/>
      <x:c r="F103" s="28"/>
      <x:c r="G103" s="24"/>
      <x:c r="H103" s="28"/>
    </x:row>
    <x:row r="104">
      <x:c r="A104" s="24" t="str">
        <x:v>/evidence/VIS-MFI-RUPTURE-LENS/</x:v>
      </x:c>
      <x:c r="B104" s="24" t="str">
        <x:v>evidence_detail</x:v>
      </x:c>
      <x:c r="C104" s="24" t="str">
        <x:v>/evidence/[id]</x:v>
      </x:c>
      <x:c r="D104" s="24" t="str">
        <x:v>VIS-MFI-RUPTURE-LENS</x:v>
      </x:c>
      <x:c r="E104" s="24"/>
      <x:c r="F104" s="28"/>
      <x:c r="G104" s="24"/>
      <x:c r="H104" s="28"/>
    </x:row>
    <x:row r="105">
      <x:c r="A105" s="24" t="str">
        <x:v>/evidence/VIS-MFI-SPINE/</x:v>
      </x:c>
      <x:c r="B105" s="24" t="str">
        <x:v>evidence_detail</x:v>
      </x:c>
      <x:c r="C105" s="24" t="str">
        <x:v>/evidence/[id]</x:v>
      </x:c>
      <x:c r="D105" s="24" t="str">
        <x:v>VIS-MFI-SPINE</x:v>
      </x:c>
      <x:c r="E105" s="24"/>
      <x:c r="F105" s="28"/>
      <x:c r="G105" s="24"/>
      <x:c r="H105" s="28"/>
    </x:row>
    <x:row r="106">
      <x:c r="A106" s="24" t="str">
        <x:v>/evidence/VIS-OECD-FCP-TIMELINE/</x:v>
      </x:c>
      <x:c r="B106" s="24" t="str">
        <x:v>evidence_detail</x:v>
      </x:c>
      <x:c r="C106" s="24" t="str">
        <x:v>/evidence/[id]</x:v>
      </x:c>
      <x:c r="D106" s="24" t="str">
        <x:v>VIS-OECD-FCP-TIMELINE</x:v>
      </x:c>
      <x:c r="E106" s="24"/>
      <x:c r="F106" s="28"/>
      <x:c r="G106" s="24"/>
      <x:c r="H106" s="28"/>
    </x:row>
    <x:row r="107">
      <x:c r="A107" s="24" t="str">
        <x:v>/evidence/VIS-PAYMENT-ANATOMY/</x:v>
      </x:c>
      <x:c r="B107" s="24" t="str">
        <x:v>evidence_detail</x:v>
      </x:c>
      <x:c r="C107" s="24" t="str">
        <x:v>/evidence/[id]</x:v>
      </x:c>
      <x:c r="D107" s="24" t="str">
        <x:v>VIS-PAYMENT-ANATOMY</x:v>
      </x:c>
      <x:c r="E107" s="24"/>
      <x:c r="F107" s="28"/>
      <x:c r="G107" s="24"/>
      <x:c r="H107" s="28"/>
    </x:row>
    <x:row r="108">
      <x:c r="A108" s="24" t="str">
        <x:v>/evidence/VIS-PAYMENT-RAILS/</x:v>
      </x:c>
      <x:c r="B108" s="24" t="str">
        <x:v>evidence_detail</x:v>
      </x:c>
      <x:c r="C108" s="24" t="str">
        <x:v>/evidence/[id]</x:v>
      </x:c>
      <x:c r="D108" s="24" t="str">
        <x:v>VIS-PAYMENT-RAILS</x:v>
      </x:c>
      <x:c r="E108" s="24"/>
      <x:c r="F108" s="28"/>
      <x:c r="G108" s="24"/>
      <x:c r="H108" s="28"/>
    </x:row>
    <x:row r="109">
      <x:c r="A109" s="24" t="str">
        <x:v>/evidence/VIS-POS-TERMINALS/</x:v>
      </x:c>
      <x:c r="B109" s="24" t="str">
        <x:v>evidence_detail</x:v>
      </x:c>
      <x:c r="C109" s="24" t="str">
        <x:v>/evidence/[id]</x:v>
      </x:c>
      <x:c r="D109" s="24" t="str">
        <x:v>VIS-POS-TERMINALS</x:v>
      </x:c>
      <x:c r="E109" s="24"/>
      <x:c r="F109" s="28"/>
      <x:c r="G109" s="24"/>
      <x:c r="H109" s="28"/>
    </x:row>
    <x:row r="110">
      <x:c r="A110" s="24" t="str">
        <x:v>/evidence/VIS-POS-TRANSACTIONS/</x:v>
      </x:c>
      <x:c r="B110" s="24" t="str">
        <x:v>evidence_detail</x:v>
      </x:c>
      <x:c r="C110" s="24" t="str">
        <x:v>/evidence/[id]</x:v>
      </x:c>
      <x:c r="D110" s="24" t="str">
        <x:v>VIS-POS-TRANSACTIONS</x:v>
      </x:c>
      <x:c r="E110" s="24"/>
      <x:c r="F110" s="28"/>
      <x:c r="G110" s="24"/>
      <x:c r="H110" s="28"/>
    </x:row>
    <x:row r="111">
      <x:c r="A111" s="24" t="str">
        <x:v>/evidence/VIS-POS-VALUE/</x:v>
      </x:c>
      <x:c r="B111" s="24" t="str">
        <x:v>evidence_detail</x:v>
      </x:c>
      <x:c r="C111" s="24" t="str">
        <x:v>/evidence/[id]</x:v>
      </x:c>
      <x:c r="D111" s="24" t="str">
        <x:v>VIS-POS-VALUE</x:v>
      </x:c>
      <x:c r="E111" s="24"/>
      <x:c r="F111" s="28"/>
      <x:c r="G111" s="24"/>
      <x:c r="H111" s="28"/>
    </x:row>
    <x:row r="112">
      <x:c r="A112" s="24" t="str">
        <x:v>/evidence/VIS-PROVIDER-OBSERVABILITY/</x:v>
      </x:c>
      <x:c r="B112" s="24" t="str">
        <x:v>evidence_detail</x:v>
      </x:c>
      <x:c r="C112" s="24" t="str">
        <x:v>/evidence/[id]</x:v>
      </x:c>
      <x:c r="D112" s="24" t="str">
        <x:v>VIS-PROVIDER-OBSERVABILITY</x:v>
      </x:c>
      <x:c r="E112" s="24"/>
      <x:c r="F112" s="28"/>
      <x:c r="G112" s="24"/>
      <x:c r="H112" s="28"/>
    </x:row>
    <x:row r="113">
      <x:c r="A113" s="24" t="str">
        <x:v>/evidence/VIS-PROVIDER-TIME/</x:v>
      </x:c>
      <x:c r="B113" s="24" t="str">
        <x:v>evidence_detail</x:v>
      </x:c>
      <x:c r="C113" s="24" t="str">
        <x:v>/evidence/[id]</x:v>
      </x:c>
      <x:c r="D113" s="24" t="str">
        <x:v>VIS-PROVIDER-TIME</x:v>
      </x:c>
      <x:c r="E113" s="24"/>
      <x:c r="F113" s="28"/>
      <x:c r="G113" s="24"/>
      <x:c r="H113" s="28"/>
    </x:row>
    <x:row r="114">
      <x:c r="A114" s="24" t="str">
        <x:v>/evidence/VIS-REMITTANCE-COST/</x:v>
      </x:c>
      <x:c r="B114" s="24" t="str">
        <x:v>evidence_detail</x:v>
      </x:c>
      <x:c r="C114" s="24" t="str">
        <x:v>/evidence/[id]</x:v>
      </x:c>
      <x:c r="D114" s="24" t="str">
        <x:v>VIS-REMITTANCE-COST</x:v>
      </x:c>
      <x:c r="E114" s="24"/>
      <x:c r="F114" s="28"/>
      <x:c r="G114" s="24"/>
      <x:c r="H114" s="28"/>
    </x:row>
    <x:row r="115">
      <x:c r="A115" s="24" t="str">
        <x:v>/evidence/VIS-REMITTANCE-MACRO/</x:v>
      </x:c>
      <x:c r="B115" s="24" t="str">
        <x:v>evidence_detail</x:v>
      </x:c>
      <x:c r="C115" s="24" t="str">
        <x:v>/evidence/[id]</x:v>
      </x:c>
      <x:c r="D115" s="24" t="str">
        <x:v>VIS-REMITTANCE-MACRO</x:v>
      </x:c>
      <x:c r="E115" s="24"/>
      <x:c r="F115" s="28"/>
      <x:c r="G115" s="24"/>
      <x:c r="H115" s="28"/>
    </x:row>
    <x:row r="116">
      <x:c r="A116" s="24" t="str">
        <x:v>/evidence/VIS-SOURCE-COMPARISON/</x:v>
      </x:c>
      <x:c r="B116" s="24" t="str">
        <x:v>evidence_detail</x:v>
      </x:c>
      <x:c r="C116" s="24" t="str">
        <x:v>/evidence/[id]</x:v>
      </x:c>
      <x:c r="D116" s="24" t="str">
        <x:v>VIS-SOURCE-COMPARISON</x:v>
      </x:c>
      <x:c r="E116" s="24"/>
      <x:c r="F116" s="28"/>
      <x:c r="G116" s="24"/>
      <x:c r="H116" s="28"/>
    </x:row>
    <x:row r="117">
      <x:c r="A117" s="24" t="str">
        <x:v>/evidence/VIS-TARGET-RESULT-STATE/</x:v>
      </x:c>
      <x:c r="B117" s="24" t="str">
        <x:v>evidence_detail</x:v>
      </x:c>
      <x:c r="C117" s="24" t="str">
        <x:v>/evidence/[id]</x:v>
      </x:c>
      <x:c r="D117" s="24" t="str">
        <x:v>VIS-TARGET-RESULT-STATE</x:v>
      </x:c>
      <x:c r="E117" s="24"/>
      <x:c r="F117" s="28"/>
      <x:c r="G117" s="24"/>
      <x:c r="H117" s="28"/>
    </x:row>
    <x:row r="118">
      <x:c r="A118" s="24" t="str">
        <x:v>/evidence/XW-FMIIP-005/</x:v>
      </x:c>
      <x:c r="B118" s="24" t="str">
        <x:v>evidence_detail</x:v>
      </x:c>
      <x:c r="C118" s="24" t="str">
        <x:v>/evidence/[id]</x:v>
      </x:c>
      <x:c r="D118" s="24" t="str">
        <x:v>XW-FMIIP-005</x:v>
      </x:c>
      <x:c r="E118" s="24"/>
      <x:c r="F118" s="28"/>
      <x:c r="G118" s="24"/>
      <x:c r="H118" s="28"/>
    </x:row>
    <x:row r="119">
      <x:c r="A119" s="24" t="str">
        <x:v>/evidence/compare/</x:v>
      </x:c>
      <x:c r="B119" s="24" t="str">
        <x:v>static</x:v>
      </x:c>
      <x:c r="C119" s="24" t="str">
        <x:v>/evidence/compare</x:v>
      </x:c>
      <x:c r="D119" s="24"/>
      <x:c r="E119" s="24" t="str">
        <x:v>Compare evidence without forcing unlike measures onto one scale</x:v>
      </x:c>
      <x:c r="F119" s="28" t="str">
        <x:v>قارن الأدلة من دون وضع ما لا يتماثل على مقياس واحد</x:v>
      </x:c>
      <x:c r="G119" s="24"/>
      <x:c r="H119" s="28"/>
    </x:row>
    <x:row r="120">
      <x:c r="A120" s="24" t="str">
        <x:v>/evidence/</x:v>
      </x:c>
      <x:c r="B120" s="24" t="str">
        <x:v>static</x:v>
      </x:c>
      <x:c r="C120" s="24" t="str">
        <x:v>/evidence</x:v>
      </x:c>
      <x:c r="D120" s="24"/>
      <x:c r="E120" s="24" t="str">
        <x:v>Inspect the evidence behind the answer</x:v>
      </x:c>
      <x:c r="F120" s="28" t="str">
        <x:v>افحص الدليل الذي تستند إليه الإجابة</x:v>
      </x:c>
      <x:c r="G120" s="24"/>
      <x:c r="H120" s="28"/>
    </x:row>
    <x:row r="121">
      <x:c r="A121" s="24" t="str">
        <x:v>/explore/</x:v>
      </x:c>
      <x:c r="B121" s="24" t="str">
        <x:v>static</x:v>
      </x:c>
      <x:c r="C121" s="24" t="str">
        <x:v>/explore</x:v>
      </x:c>
      <x:c r="D121" s="24"/>
      <x:c r="E121" s="24" t="str">
        <x:v>Start with the question, not the dataset.</x:v>
      </x:c>
      <x:c r="F121" s="28" t="str">
        <x:v>ابدأ بالسؤال، لا بالبيانات.</x:v>
      </x:c>
      <x:c r="G121" s="24"/>
      <x:c r="H121" s="28"/>
    </x:row>
    <x:row r="122">
      <x:c r="A122" s="24" t="str">
        <x:v>/finance/</x:v>
      </x:c>
      <x:c r="B122" s="24" t="str">
        <x:v>static</x:v>
      </x:c>
      <x:c r="C122" s="24" t="str">
        <x:v>/finance</x:v>
      </x:c>
      <x:c r="D122" s="24"/>
      <x:c r="E122" s="24" t="str">
        <x:v>Finance: borrower, saver and balance figures measure different things</x:v>
      </x:c>
      <x:c r="F122" s="28" t="str">
        <x:v>التمويل: أرقام المقترضين والمدخرين والأرصدة تقيس أشياء مختلفة</x:v>
      </x:c>
      <x:c r="G122" s="24"/>
      <x:c r="H122" s="28"/>
    </x:row>
    <x:row r="123">
      <x:c r="A123" s="24" t="str">
        <x:v>/firms/</x:v>
      </x:c>
      <x:c r="B123" s="24" t="str">
        <x:v>static</x:v>
      </x:c>
      <x:c r="C123" s="24" t="str">
        <x:v>/firms</x:v>
      </x:c>
      <x:c r="D123" s="24"/>
      <x:c r="E123" s="24" t="str">
        <x:v>Firms: how much finance matters depends on the question and the firms asked</x:v>
      </x:c>
      <x:c r="F123" s="28" t="str">
        <x:v>المنشآت: مدى أهمية التمويل يتوقف على السؤال وعلى المنشآت التي سُئلت</x:v>
      </x:c>
      <x:c r="G123" s="24"/>
      <x:c r="H123" s="28"/>
    </x:row>
    <x:row r="124">
      <x:c r="A124" s="24" t="str">
        <x:v>/</x:v>
      </x:c>
      <x:c r="B124" s="24" t="str">
        <x:v>static</x:v>
      </x:c>
      <x:c r="C124" s="24" t="str">
        <x:v>/</x:v>
      </x:c>
      <x:c r="D124" s="24"/>
      <x:c r="E124" s="24" t="str">
        <x:v>Financial inclusion in Yemen is not one number.</x:v>
      </x:c>
      <x:c r="F124" s="28" t="str">
        <x:v>الشمول المالي في اليمن ليس رقمًا واحدًا.</x:v>
      </x:c>
      <x:c r="G124" s="24"/>
      <x:c r="H124" s="28"/>
    </x:row>
    <x:row r="125">
      <x:c r="A125" s="24" t="str">
        <x:v>/measurement/</x:v>
      </x:c>
      <x:c r="B125" s="24" t="str">
        <x:v>static</x:v>
      </x:c>
      <x:c r="C125" s="24" t="str">
        <x:v>/measurement</x:v>
      </x:c>
      <x:c r="D125" s="24"/>
      <x:c r="E125" s="24" t="str">
        <x:v>Missing evidence matters when it could change a decision.</x:v>
      </x:c>
      <x:c r="F125" s="28" t="str">
        <x:v>تكتسب فجوة الدليل أهميتها عندما يمكن أن تغيّر قرارًا.</x:v>
      </x:c>
      <x:c r="G125" s="24"/>
      <x:c r="H125" s="28"/>
    </x:row>
    <x:row r="126">
      <x:c r="A126" s="24" t="str">
        <x:v>/methodology/</x:v>
      </x:c>
      <x:c r="B126" s="24" t="str">
        <x:v>static</x:v>
      </x:c>
      <x:c r="C126" s="24" t="str">
        <x:v>/methodology</x:v>
      </x:c>
      <x:c r="D126" s="24"/>
      <x:c r="E126" s="24" t="str">
        <x:v>Preserve the meaning of the evidence before comparing the numbers.</x:v>
      </x:c>
      <x:c r="F126" s="28" t="str">
        <x:v>حافظ على معنى الدليل قبل أن تقارن الأرقام.</x:v>
      </x:c>
      <x:c r="G126" s="24"/>
      <x:c r="H126" s="28"/>
    </x:row>
    <x:row r="127">
      <x:c r="A127" s="24" t="str">
        <x:v>/payments/</x:v>
      </x:c>
      <x:c r="B127" s="24" t="str">
        <x:v>static</x:v>
      </x:c>
      <x:c r="C127" s="24" t="str">
        <x:v>/payments</x:v>
      </x:c>
      <x:c r="D127" s="24"/>
      <x:c r="E127" s="24" t="str">
        <x:v>Payments: POS terminals reported by the Central Bank of Yemen – Aden rose from 561 to 1,473 between March 2025 and January 2026; how many people use them is not measured</x:v>
      </x:c>
      <x:c r="F127" s="28" t="str">
        <x:v>المدفوعات: ارتفع عدد أجهزة نقاط البيع التي يُبلغ عنها البنك المركزي اليمني – عدن من 561 إلى 1,473 بين مارس 2025 ويناير 2026؛ أما عدد من يستخدمونها فغير مقيس</x:v>
      </x:c>
      <x:c r="G127" s="24"/>
      <x:c r="H127" s="28"/>
    </x:row>
    <x:row r="128">
      <x:c r="A128" s="24" t="str">
        <x:v>/people/</x:v>
      </x:c>
      <x:c r="B128" s="24" t="str">
        <x:v>static</x:v>
      </x:c>
      <x:c r="C128" s="24" t="str">
        <x:v>/people</x:v>
      </x:c>
      <x:c r="D128" s="24"/>
      <x:c r="E128" s="24" t="str">
        <x:v>People: one population, evidence from different dates</x:v>
      </x:c>
      <x:c r="F128" s="28" t="str">
        <x:v>الأفراد: مجتمع سكاني واحد، وأدلة من تواريخ مختلفة</x:v>
      </x:c>
      <x:c r="G128" s="24"/>
      <x:c r="H128" s="28"/>
    </x:row>
    <x:row r="129">
      <x:c r="A129" s="24" t="str">
        <x:v>/privacy/</x:v>
      </x:c>
      <x:c r="B129" s="24" t="str">
        <x:v>operational</x:v>
      </x:c>
      <x:c r="C129" s="24" t="str">
        <x:v>/privacy</x:v>
      </x:c>
      <x:c r="D129" s="24"/>
      <x:c r="E129" s="24" t="str">
        <x:v>Privacy</x:v>
      </x:c>
      <x:c r="F129" s="28" t="str">
        <x:v>الخصوصية</x:v>
      </x:c>
      <x:c r="G129" s="24"/>
      <x:c r="H129" s="28"/>
    </x:row>
    <x:row r="130">
      <x:c r="A130" s="24" t="str">
        <x:v>/providers/</x:v>
      </x:c>
      <x:c r="B130" s="24" t="str">
        <x:v>static</x:v>
      </x:c>
      <x:c r="C130" s="24" t="str">
        <x:v>/providers</x:v>
      </x:c>
      <x:c r="D130" s="24"/>
      <x:c r="E130" s="24" t="str">
        <x:v>Providers: official lists show formal status on a date; operation needs other evidence</x:v>
      </x:c>
      <x:c r="F130" s="28" t="str">
        <x:v>قائمة مقدمي الخدمات تثبت وضعًا رسميًا في تاريخ محدد، لكنها لا تثبت التشغيل بذاتها.</x:v>
      </x:c>
      <x:c r="G130" s="24"/>
      <x:c r="H130" s="28"/>
    </x:row>
    <x:row r="131">
      <x:c r="A131" s="24" t="str">
        <x:v>/readings/after-transfer-persistence/</x:v>
      </x:c>
      <x:c r="B131" s="24" t="str">
        <x:v>reading_detail</x:v>
      </x:c>
      <x:c r="C131" s="24" t="str">
        <x:v>/readings/[reading_id]</x:v>
      </x:c>
      <x:c r="D131" s="24" t="str">
        <x:v>after-transfer-persistence</x:v>
      </x:c>
      <x:c r="E131" s="24"/>
      <x:c r="F131" s="28"/>
      <x:c r="G131" s="24"/>
      <x:c r="H131" s="28"/>
    </x:row>
    <x:row r="132">
      <x:c r="A132" s="24" t="str">
        <x:v>/readings/banking-jump-measurement-basis/</x:v>
      </x:c>
      <x:c r="B132" s="24" t="str">
        <x:v>reading_detail</x:v>
      </x:c>
      <x:c r="C132" s="24" t="str">
        <x:v>/readings/[reading_id]</x:v>
      </x:c>
      <x:c r="D132" s="24" t="str">
        <x:v>banking-jump-measurement-basis</x:v>
      </x:c>
      <x:c r="E132" s="24"/>
      <x:c r="F132" s="28"/>
      <x:c r="G132" s="24"/>
      <x:c r="H132" s="28"/>
    </x:row>
    <x:row r="133">
      <x:c r="A133" s="24" t="str">
        <x:v>/readings/define-what-you-count/</x:v>
      </x:c>
      <x:c r="B133" s="24" t="str">
        <x:v>reading_detail</x:v>
      </x:c>
      <x:c r="C133" s="24" t="str">
        <x:v>/readings/[reading_id]</x:v>
      </x:c>
      <x:c r="D133" s="24" t="str">
        <x:v>define-what-you-count</x:v>
      </x:c>
      <x:c r="E133" s="24"/>
      <x:c r="F133" s="28"/>
      <x:c r="G133" s="24"/>
      <x:c r="H133" s="28"/>
    </x:row>
    <x:row r="134">
      <x:c r="A134" s="24" t="str">
        <x:v>/readings/digital-workaround-not-yet-durable-inclusion/</x:v>
      </x:c>
      <x:c r="B134" s="24" t="str">
        <x:v>reading_detail</x:v>
      </x:c>
      <x:c r="C134" s="24" t="str">
        <x:v>/readings/[reading_id]</x:v>
      </x:c>
      <x:c r="D134" s="24" t="str">
        <x:v>digital-workaround-not-yet-durable-inclusion</x:v>
      </x:c>
      <x:c r="E134" s="24"/>
      <x:c r="F134" s="28"/>
      <x:c r="G134" s="24"/>
      <x:c r="H134" s="28"/>
    </x:row>
    <x:row r="135">
      <x:c r="A135" s="24" t="str">
        <x:v>/readings/finance-constraint-different-questions/</x:v>
      </x:c>
      <x:c r="B135" s="24" t="str">
        <x:v>reading_detail</x:v>
      </x:c>
      <x:c r="C135" s="24" t="str">
        <x:v>/readings/[reading_id]</x:v>
      </x:c>
      <x:c r="D135" s="24" t="str">
        <x:v>finance-constraint-different-questions</x:v>
      </x:c>
      <x:c r="E135" s="24"/>
      <x:c r="F135" s="28"/>
      <x:c r="G135" s="24"/>
      <x:c r="H135" s="28"/>
    </x:row>
    <x:row r="136">
      <x:c r="A136" s="24" t="str">
        <x:v>/readings/from-rail-to-result-missing-middle/</x:v>
      </x:c>
      <x:c r="B136" s="24" t="str">
        <x:v>reading_detail</x:v>
      </x:c>
      <x:c r="C136" s="24" t="str">
        <x:v>/readings/[reading_id]</x:v>
      </x:c>
      <x:c r="D136" s="24" t="str">
        <x:v>from-rail-to-result-missing-middle</x:v>
      </x:c>
      <x:c r="E136" s="24"/>
      <x:c r="F136" s="28"/>
      <x:c r="G136" s="24"/>
      <x:c r="H136" s="28"/>
    </x:row>
    <x:row r="137">
      <x:c r="A137" s="24" t="str">
        <x:v>/readings/gender-gap-measured-causes-open/</x:v>
      </x:c>
      <x:c r="B137" s="24" t="str">
        <x:v>reading_detail</x:v>
      </x:c>
      <x:c r="C137" s="24" t="str">
        <x:v>/readings/[reading_id]</x:v>
      </x:c>
      <x:c r="D137" s="24" t="str">
        <x:v>gender-gap-measured-causes-open</x:v>
      </x:c>
      <x:c r="E137" s="24"/>
      <x:c r="F137" s="28"/>
      <x:c r="G137" s="24"/>
      <x:c r="H137" s="28"/>
    </x:row>
    <x:row r="138">
      <x:c r="A138" s="24" t="str">
        <x:v>/readings/</x:v>
      </x:c>
      <x:c r="B138" s="24" t="str">
        <x:v>static</x:v>
      </x:c>
      <x:c r="C138" s="24" t="str">
        <x:v>/readings</x:v>
      </x:c>
      <x:c r="D138" s="24"/>
      <x:c r="E138" s="24" t="str">
        <x:v>Evidence Readings</x:v>
      </x:c>
      <x:c r="F138" s="28" t="str">
        <x:v>قراءات الأدلة</x:v>
      </x:c>
      <x:c r="G138" s="24"/>
      <x:c r="H138" s="28"/>
    </x:row>
    <x:row r="139">
      <x:c r="A139" s="24" t="str">
        <x:v>/readings/microfinance-structural-divergence/</x:v>
      </x:c>
      <x:c r="B139" s="24" t="str">
        <x:v>reading_detail</x:v>
      </x:c>
      <x:c r="C139" s="24" t="str">
        <x:v>/readings/[reading_id]</x:v>
      </x:c>
      <x:c r="D139" s="24" t="str">
        <x:v>microfinance-structural-divergence</x:v>
      </x:c>
      <x:c r="E139" s="24"/>
      <x:c r="F139" s="28"/>
      <x:c r="G139" s="24"/>
      <x:c r="H139" s="28"/>
    </x:row>
    <x:row r="140">
      <x:c r="A140" s="24" t="str">
        <x:v>/readings/reforms-newer-than-people-evidence/</x:v>
      </x:c>
      <x:c r="B140" s="24" t="str">
        <x:v>reading_detail</x:v>
      </x:c>
      <x:c r="C140" s="24" t="str">
        <x:v>/readings/[reading_id]</x:v>
      </x:c>
      <x:c r="D140" s="24" t="str">
        <x:v>reforms-newer-than-people-evidence</x:v>
      </x:c>
      <x:c r="E140" s="24"/>
      <x:c r="F140" s="28"/>
      <x:c r="G140" s="24"/>
      <x:c r="H140" s="28"/>
    </x:row>
    <x:row r="141">
      <x:c r="A141" s="24" t="str">
        <x:v>/readings/same-year-different-number/</x:v>
      </x:c>
      <x:c r="B141" s="24" t="str">
        <x:v>reading_detail</x:v>
      </x:c>
      <x:c r="C141" s="24" t="str">
        <x:v>/readings/[reading_id]</x:v>
      </x:c>
      <x:c r="D141" s="24" t="str">
        <x:v>same-year-different-number</x:v>
      </x:c>
      <x:c r="E141" s="24"/>
      <x:c r="F141" s="28"/>
      <x:c r="G141" s="24"/>
      <x:c r="H141" s="28"/>
    </x:row>
    <x:row r="142">
      <x:c r="A142" s="24" t="str">
        <x:v>/reforms/</x:v>
      </x:c>
      <x:c r="B142" s="24" t="str">
        <x:v>static</x:v>
      </x:c>
      <x:c r="C142" s="24" t="str">
        <x:v>/reforms</x:v>
      </x:c>
      <x:c r="D142" s="24"/>
      <x:c r="E142" s="24" t="str">
        <x:v>A reform can be real before its outcome is known.</x:v>
      </x:c>
      <x:c r="F142" s="28" t="str">
        <x:v>قد يقع الإصلاح فعلًا وتبقى نتيجته مجهولة.</x:v>
      </x:c>
      <x:c r="G142" s="24"/>
      <x:c r="H142" s="28"/>
    </x:row>
    <x:row r="143">
      <x:c r="A143" s="24" t="str">
        <x:v>/remittances/</x:v>
      </x:c>
      <x:c r="B143" s="24" t="str">
        <x:v>static</x:v>
      </x:c>
      <x:c r="C143" s="24" t="str">
        <x:v>/remittances</x:v>
      </x:c>
      <x:c r="D143" s="24"/>
      <x:c r="E143" s="24" t="str">
        <x:v>Remittances: each figure depends on its source, concept and edition</x:v>
      </x:c>
      <x:c r="F143" s="28" t="str">
        <x:v>التحويلات: كل رقم يتوقف على مصدره ومفهومه والإصدار الذي نُشر فيه</x:v>
      </x:c>
      <x:c r="G143" s="24"/>
      <x:c r="H143" s="28"/>
    </x:row>
    <x:row r="144">
      <x:c r="A144" s="24" t="str">
        <x:v>/rights/</x:v>
      </x:c>
      <x:c r="B144" s="24" t="str">
        <x:v>operational</x:v>
      </x:c>
      <x:c r="C144" s="24" t="str">
        <x:v>/rights</x:v>
      </x:c>
      <x:c r="D144" s="24"/>
      <x:c r="E144" s="24" t="str">
        <x:v>Source and data rights</x:v>
      </x:c>
      <x:c r="F144" s="28" t="str">
        <x:v>حقوق المصادر والبيانات</x:v>
      </x:c>
      <x:c r="G144" s="24"/>
      <x:c r="H144" s="28"/>
    </x:row>
    <x:row r="145">
      <x:c r="A145" s="24" t="str">
        <x:v>/terms/</x:v>
      </x:c>
      <x:c r="B145" s="24" t="str">
        <x:v>operational</x:v>
      </x:c>
      <x:c r="C145" s="24" t="str">
        <x:v>/terms</x:v>
      </x:c>
      <x:c r="D145" s="24"/>
      <x:c r="E145" s="24" t="str">
        <x:v>Terms and responsible reuse</x:v>
      </x:c>
      <x:c r="F145" s="28" t="str">
        <x:v>الشروط وإعادة الاستخدام المسؤول</x:v>
      </x:c>
      <x:c r="G145" s="24"/>
      <x:c r="H145" s="28"/>
    </x:row>
    <x:row r="146">
      <x:c r="A146" s="24" t="str">
        <x:v>/evidence/CLM-062/</x:v>
      </x:c>
      <x:c r="B146" s="24" t="str">
        <x:v>evidence_detail</x:v>
      </x:c>
      <x:c r="C146" s="24" t="str">
        <x:v>/evidence/[id]</x:v>
      </x:c>
      <x:c r="D146" s="24" t="str">
        <x:v>CLM-062</x:v>
      </x:c>
      <x:c r="E146" s="24"/>
      <x:c r="F146" s="28"/>
      <x:c r="G146" s="24"/>
      <x:c r="H146" s="28"/>
    </x:row>
    <x:row r="147">
      <x:c r="A147" s="24" t="str">
        <x:v>/evidence/FMIIP-BASELINE-2025-01/</x:v>
      </x:c>
      <x:c r="B147" s="24" t="str">
        <x:v>evidence_detail</x:v>
      </x:c>
      <x:c r="C147" s="24" t="str">
        <x:v>/evidence/[id]</x:v>
      </x:c>
      <x:c r="D147" s="24" t="str">
        <x:v>FMIIP-BASELINE-2025-01</x:v>
      </x:c>
      <x:c r="E147" s="24"/>
      <x:c r="F147" s="28"/>
      <x:c r="G147" s="24"/>
      <x:c r="H147" s="28"/>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evidence resource that helps users understand, compare and verify evidence on financial inclusion in Yemen. It helps decision-making by making clear what the evidence establishes, what it does not, when and to whom it applies, and where it comes from. It does not make decisions for users or simulate policy outcomes. The evidence spans people, firms, providers, payments, money flows, rules and infrastructure, measured at different times and under different definitions. Start with the question you need to answer.</x:v>
      </x:c>
      <x:c r="F5" s="28"/>
      <x:c r="G5" s="28" t="str">
        <x:v>«أدلة الشمول المالي في اليمن» مورد عام ثنائي اللغة يساعد المستخدمين على فهم أدلة الشمول المالي في اليمن ومقارنتها والتحقق منها. ويدعم اتخاذ القرار من خلال توضيح ما الذي تسنده الأدلة، وما الذي لا تثبته، والفترة والمجتمع اللذين تغطيهما، ومصادرها. ولا يتخذ القرارات نيابة عن المستخدمين ولا يحاكي نتائج السياسات. وتشمل الأدلة الناس والمنشآت ومقدمي الخدمات والمدفوعات والتدفقات المالية والتنظيمات والبنية التحتية، وقد جُمعت في أوقات ووفق تعريفات مختلفة. ابدأ بالسؤال الذي تريد الإجابة عنه.</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 signals</x:v>
      </x:c>
      <x:c r="D8" s="24" t="str">
        <x:v>Three figures, three different things measured</x:v>
      </x:c>
      <x:c r="E8" s="24" t="str">
        <x:v>The latest representative population measure is the World Bank’s Global Findex 2021 survey of Yemen (fieldwork November 2022 to January 2023; World Bank data year 2022): 11.9% of adults aged 15 and over in the areas surveyed had an account at a financial institution or with a mobile-money provider. Areas holding about 23% of the population were not surveyed. In the same survey, 18.35% of men and 5.44% of women had an account, a gap of 12.91 percentage points. Separately, POS terminals reported by the Central Bank of Yemen – Aden (CBY-Aden) rose from 561 in March 2025 to 1,473 in January 2026, within CBY-Aden’s reporting scope. These are different measures: people, a disparity within one survey, and infrastructure. None substitutes for another.</x:v>
      </x:c>
      <x:c r="F8" s="28"/>
      <x:c r="G8" s="28"/>
    </x:row>
    <x:row r="9">
      <x:c r="A9" s="24" t="str">
        <x:v>/</x:v>
      </x:c>
      <x:c r="B9" s="24" t="n">
        <x:v>3</x:v>
      </x:c>
      <x:c r="C9" s="24" t="str">
        <x:v>إشارات من الأدلة</x:v>
      </x:c>
      <x:c r="D9" s="24"/>
      <x:c r="E9" s="24"/>
      <x:c r="F9" s="28" t="str">
        <x:v>ثلاثة أرقام تقيس ثلاثة أشياء مختلفة</x:v>
      </x:c>
      <x:c r="G9" s="28" t="str">
        <x:v>أحدث قياس سكاني ممثل هو مسح المؤشر العالمي للشمول المالي (Global Findex) لعام 2021 في اليمن، الصادر عن البنك الدولي (نُفذ العمل الميداني من نوفمبر 2022 إلى يناير 2023؛ وسنة البيانات لدى البنك الدولي 2022): كان لدى 11.9% من البالغين بعمر 15 سنة فأكثر في المناطق التي شملها المسح حساب لدى مؤسسة مالية أو لدى مقدم خدمة أموال عبر الهاتف المحمول. ولم يشمل المسح مناطق يسكنها نحو 23% من السكان. وفي المسح نفسه، كان لدى 18.35% من الرجال و5.44% من النساء حساب، بفارق 12.91 نقطة مئوية. وبصورة منفصلة، ارتفع عدد أجهزة نقاط البيع التي يُبلغ عنها البنك المركزي اليمني – عدن من 561 في مارس 2025 إلى 1,473 في يناير 2026، ضمن نطاق الإبلاغ لديه.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you need to resolve.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ابدأ بالسؤال الأقرب إلى القرار أو المسألة التي تريد حسمها.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من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1,473 POS terminals in January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1,473 جهاز نقاط بيع أبلغ عنه في يناير 2026 ضمن نطاق الإبلاغ لديه،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الإبلاغ لديه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1,473 in January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1,473 جهازًا في يناير 2026، ضمن نطاق الإبلاغ لديه.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x:v>
      </x:c>
      <x:c r="F61" s="28"/>
      <x:c r="G61" s="28" t="str">
        <x:v>التصحيحات الجوهرية للأدلة المنشورة والسجلات المستبدلة، وكيف تُسجَّل.</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26 September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26 سبتمبر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Compare definition, period, population or calculation base, geography, unit and method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قارن التعريف والفترة ومجتمع القياس أو قاعدة الاحتساب والنطاق الجغرافي والوحدة والطريقة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you need to resolve.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تريد حسمها. ويقودك كل سؤال إلى الإجابة ذات الصلة وحدودها وطريق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والمحفظة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المحفظة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والمحفظة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اسمية تقارب 44 مليار ريال في 2023. أما النقاط المرجعية الموثقة لعام 2020 فهي 1,611,206 من المدخرين/المودعين ومحفظة قدرها 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المحفظة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والمحفظة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CBY-Aden bank list,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1,473 between March 2025 and January 2026, transaction counts from 8,015 to 24,026 (after a high of 27,187 in July 2025) and nominal transaction value from YER 320 million to YER 1,262 million. This page keeps these three measures separate. A terminal is infrastructure, a transaction is an event and transaction value is a nominal monetary amount; none equals a person.</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ويناير 2026 العدد المنشور لأجهزة نقاط البيع من 561 إلى 1,473 جهازًا، وعدد المعاملات من 8,015 إلى 24,026 (بعد ذروة بلغت 27,187 معاملة في يوليو 2025)، والقيمة الاسمية للمعاملات من 320 مليون ريال إلى 1,262 مليون ريال. وتُبقي هذه الصفحة المقاييس الثلاثة منفصلة: الجهاز بنية تحتية، والمعاملة حدث، وقيمة المعاملة مبلغ مالي اسمي؛ ولا يساوي أي منها شخصًا.</x:v>
      </x:c>
    </x:row>
    <x:row r="177">
      <x:c r="A177" s="24" t="str">
        <x:v>/payments/</x:v>
      </x:c>
      <x:c r="B177" s="24" t="n">
        <x:v>3</x:v>
      </x:c>
      <x:c r="C177" s="24" t="str">
        <x:v>Evidence</x:v>
      </x:c>
      <x:c r="D177" s="24" t="str">
        <x:v>January 2026 was the latest monthly POS release on the CBY-Aden payments page as checked on 26 September 2026</x:v>
      </x:c>
      <x:c r="E177" s="24" t="str">
        <x:v>The payments page of the Central Bank of Yemen – Aden (CBY-Aden), as checked on 26 September 2026, publishes monthly POS releases from March 2025 through January 2026. This resource therefore stops the monthly series at January 2026. That does not mean activity stopped; it means no later monthly release had been published on that page when it was checked.</x:v>
      </x:c>
      <x:c r="F177" s="28"/>
      <x:c r="G177" s="28"/>
    </x:row>
    <x:row r="178">
      <x:c r="A178" s="24" t="str">
        <x:v>/payments/</x:v>
      </x:c>
      <x:c r="B178" s="24" t="n">
        <x:v>3</x:v>
      </x:c>
      <x:c r="C178" s="24" t="str">
        <x:v>الدليل</x:v>
      </x:c>
      <x:c r="D178" s="24"/>
      <x:c r="E178" s="24"/>
      <x:c r="F178" s="28" t="str">
        <x:v>يناير 2026 هو أحدث إصدار شهري لنقاط البيع في صفحة البنك المركزي اليمني – عدن، كما اطُّلع عليها في 26 سبتمبر 2026</x:v>
      </x:c>
      <x:c r="G178" s="28" t="str">
        <x:v>تعرض صفحة المدفوعات لدى البنك المركزي اليمني – عدن، كما اطُّلع عليها في 26 سبتمبر 2026، إصدارات شهرية لنقاط البيع من مارس 2025 حتى يناير 2026. لذلك تنتهي السلسلة الشهرية عند يناير 2026. ولا يعني ذلك أن النشاط توقف؛ بل يعني أن الصفحة المصدر،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دفع 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rails, with frequency, recency, transaction purpose, failed/abandoned attempts and clear active-use definitions. It also lacks the downstream usage series needed to measure adoption after major payment-rail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(Yemen fieldwork November 2022 to January 2023), found that 11.9% of adults aged 15 and over in the areas surveyed had an account: 5.44% of women and 18.35%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التي نُفذ عملها الميداني في اليمن بين نوفمبر 2022 ويناير 2023 — أن 11.9% من البالغين بعمر 15 سنة فأكثر في المناطق التي شملها المسح يملكون حسابًا، بواقع 5.44% بين النساء و18.35%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The latest representative account-ownership measure available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أحدث قياس سكاني متاح لامتلاك الحساب</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5.44% of women and 18.35% of men have an account — a difference of 12.91 percentage points. Adults in the richest 60% by household income (15.5%) and in the poorest 40% (6.5%) differ by about 9.0 percentage points. Among adults with primary education or less, 6.98% have an account, compared with 19.53% of adults with secondary education or more: a gap of 12.55 percentage points. Adults aged 15–24 (5.01%) and adults aged 25 and over (16.11%) differ by 11.10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5.44% من النساء و18.35% من الرجال حسابًا، بفارق 12.91 نقطة مئوية. ويبلغ الفارق بين البالغين في أغنى 60% بحسب دخل الأسرة (15.5%) وفي أفقر 40% (6.5%) نحو 9.0 نقاط مئوية. وتبلغ نسبة امتلاك الحساب 6.98% بين البالغين الذين لم يتجاوز تعليمهم المرحلة الابتدائية، مقابل 19.53% بين الحاصلين على تعليم ثانوي فأعلى، أي بفارق 12.55 نقطة مئوية. ويبلغ الفارق بين الشباب بعمر 15–24 سنة (5.01%) والبالغين بعمر 25 سنة فأكثر (16.11%) 11.10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12.91-point gender difference, the 9.0-point income difference, the 12.55-point education difference and the 11.10-point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12.91 نقطة بين الرجال والنساء وفارق 9.0 نقاط بين فئتي الدخل وفارق 12.55 نقطة بين فئتي التعليم وفارق 11.10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latest wave does not cover all geography</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between 7 November 2022 and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لأحدث موجة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بين 7 نوفمبر 2022 و9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The hosting service may keep limited technical logs needed to deliver, secure and diagnose the site. Which fields are kept, for how long and by which service providers will be stated here once the hosting arrangements are confirmed.</x:v>
      </x:c>
      <x:c r="F212" s="28" t="str">
        <x:v>سجلات الاستضافة والأمن</x:v>
      </x:c>
      <x:c r="G212" s="28" t="str">
        <x:v>قد تحتفظ خدمة الاستضافة بقدر محدود من السجلات التقنية اللازمة لتقديم الموقع وتأمينه وتشخيص أعطاله. وستُذكر هنا الحقول التي تُحفظ ومدة الاحتفاظ بها ومقدمو الخدمة المعنيون بمجرد تأكيد ترتيبات الاستضافة.</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7 September 2026, names 26 banks, and its 2026 exchange and remittance roster lists 98 exchange companies, 225 individual exchange establishments and 106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رُوجعت في 7 سبتمبر 2026، 26 بنكًا، وتضم قائمته لعام 2026 لشركات الصرافة والحوالات 98 شركة صرافة و225 منشأة صرافة فردية و106 وكلاء 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7 September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payment-rail participation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98 exchange companies, 225 individual exchange establishments and 106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98 شركة صرافة و225 منشأة صرافة فردية و106 وكلاء 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named entities and belong on each provider's status history.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مسماة وتُسجَّل ضمن سجل الوضع الخاص بكل جهة.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تحويلة أو كلها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1,473 between March 2025 and January 2026”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في سن 15 عامًا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1,473 بين مارس 2025 ويناير 2026»: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a 2022 custom survey covering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مخصص أُجري عام 2022 وشمل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standard Enterprise Survey “biggest obstacle” indicator,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المعياري في مسوح المنشآت،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1,473 in January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1,473 جهازًا في يناير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الفوري ونظامَ التسوية الإجمالية الفورية على أنهما غير عاملين بعد في يناير 2025،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18.35% of men and 5.44% of women aged 15 and over in the areas surveyed had an account, a gap of 12.91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18.35% من الرجال و5.44% من النساء في سن 15 عامًا فأكثر، في المناطق التي شملها المسح، يملكون حسابًا، بفجوة قدرها 12.91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12.91-point gap among them.
The same survey records a gap of about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الـ12.91 نقطة بين هذه الآليات.
ويسجل المسح نفسه فجوة تقارب 9.0 نقاط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ملايين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ملايين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المحفظة الاسمية بُعد ثالث</x:v>
      </x:c>
      <x:c r="G277" t="str">
        <x:v>يُظهر السجل المتحقق منه لعام 2020 محفظة قائمة بنحو 33.379 مليار ريال، وتورد ورقة 2024 محفظة اسمية تقارب 44 مليار ريال لعام 2023. ولا يثبت كبر المحفظة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المحفظة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7 September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رُوجعت في 7 سبتمبر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المحفظة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المحفظة،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والمحافظ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between 7 November 2022 and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January 2026 count of POS terminals is current evidence of reported acceptance infrastructure. Neither is a 2026 population estimate.</x:v>
      </x:c>
      <x:c r="F281"/>
      <x:c r="G281" t="str">
        <x:v>يبقى أحدث قياس ممثل لامتلاك الحساب في اليمن عند 11.9% من البالغين في سن 15 عامًا فأكثر في المناطق التي شملها المسح، وفق العمل الميداني لمسح Findex العالمي الذي نُفذ بين 7 نوفمبر 2022 و9 يناير 2023.
لكن المنظومة المالية المحيطة بهذا القياس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يناير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1,473 in January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1,473 في يناير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سكاني ممثل جديد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2025 mobile e-money amendment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الذي وُقِّع في 2025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فعالية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rail use,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الأخطاء والسهو</x:v>
      </x:c>
      <x:c r="G325" t="str">
        <x:v>في التقرير السنوي 2025 للبنك المركزي اليمني – عدن يفوق صافي الأخطاء والسهو بندَ التحويلات المنشور في كل سنة من 2021 إلى 2025؛ وفي 2025 بلغ المتبقي نحو 7.117 مليار دولار مقابل 3.614 مليار دولار للتحويلات، أي قرابة 1.97 مرة. وصافي الأخطاء والسهو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How source rights affect what this resource shows and what you may republish.</x:v>
      </x:c>
      <x:c r="F330"/>
      <x:c r="G330" t="str">
        <x:v>كيف تؤثر حقوق كل مصدر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Where CauseWay’s processing, calculation or synthesis materially shapes the result, cite the relevant evidence record or analytical reading as well.</x:v>
      </x:c>
      <x:c r="F339" t="str">
        <x:v>الاستشهاد</x:v>
      </x:c>
      <x:c r="G339" t="str">
        <x:v>استشهد بالمصدر الأصلي. وعندما تكون معالجة CauseWay أو طريقة الاحتساب أو التجميع جزءًا جوهريًا من النتيجة، استشهد أيضًا بسجل الدليل أو القراءة التحليلية ذات الصلة.</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7 September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7 سبتمبر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7 September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7 سبتمبر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under CBY-Aden lists, bank credit and other monetary statistics, and remittance prices in two corridors. Most people-side topics rest on the latest representative survey wave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مسح ممثلة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98 exchange companies, 225 individual exchange establishments and 106 remittance agents — three source categories, not a deduplicated count of firms — and the CBY-Aden list of licensed banks, as checked on 7 September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98 شركة صرافة و225 منشأة صرافة فردية و106 وكلاء حوالات — وهي ثلاث فئات يحددها المصدر، لا عددًا لمنشآت فريدة بعد إزالة الازدواج — كما تضم قائمته للبنوك المرخصة، كما اطُّلع عليها في 7 سبتمبر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informal competitors</x:v>
      </x:c>
      <x:c r="C175" s="24" t="str">
        <x:v>ممارسات المنافسين غير الرسميين</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starts</x:v>
      </x:c>
      <x:c r="C180" s="24" t="str">
        <x:v>بدء مشروع FMIIP</x:v>
      </x:c>
      <x:c r="D180" s="24" t="str">
        <x:v>Pre-Tranche-C P4 (V-D5). Chart label: event value 'FMIIP starts'.</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support for developing a Fast Payment System</x:v>
      </x:c>
      <x:c r="C182" s="24" t="str">
        <x:v>مكوّن في مشروع FMIIP: دعم تطوير نظام الدفع السريع</x:v>
      </x:c>
      <x:c r="D182" s="24" t="str">
        <x:v>Pre-Tranche-C P4 (V-D5). Chart label: event value 'Fast Payment System'.</x:v>
      </x:c>
    </x:row>
    <x:row r="183">
      <x:c r="A183" s="24" t="str">
        <x:v>UI-VIS-CAT-EVT-RTGS-CORE</x:v>
      </x:c>
      <x:c r="B183" s="24" t="str">
        <x:v>FMIIP component: support for establishing a real-time gross settlement (RTGS) system and upgrading CBY-Aden core banking</x:v>
      </x:c>
      <x:c r="C183" s="24" t="str">
        <x:v>مكوّن في مشروع FMIIP: دعم إنشاء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access-point database</x:v>
      </x:c>
      <x:c r="C184" s="24" t="str">
        <x:v>مكوّن في مشروع FMIIP: قاعدة بيانات لنقاط الوصول</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'SOURCE_LISTED_ROWS__98_COMPANIES__225_ESTABLISHMENTS__106_REMITTANCE_AGENTS'.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429 is the arithmetic sum of rows listed in the source across three classes, not a count of unique providers or of operating providers.</x:v>
      </x:c>
      <x:c r="C209" s="24" t="str">
        <x:v>الرقم 429 مجموع حسابي لصفوف مدرجة في المصدر عبر ثلاث فئات، وليس عددًا لمقدمي خدمات فريدين ولا لمقدمي خدمات عاملين.</x:v>
      </x:c>
      <x:c r="D209" s="24" t="str">
        <x:v>Pre-Tranche-C P4 (V-D5). Chart label: provider_limit value '429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(2025-09-10) and more than 9 event participants (2026-01-22).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(2025-09-10)، وأكثر من 9 مشاركين في فعالية (2026-01-22).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منشآت شركة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مؤشر،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26 September 2026</x:v>
      </x:c>
      <x:c r="C256" s="24" t="str">
        <x:v>إصدار 26 سبتمبر 2026</x:v>
      </x:c>
      <x:c r="D256" s="24" t="str">
        <x:v>Tranche C TC-F (VER-07/TOOL-14). Content version cited with every record; changes only with a governed release.</x:v>
      </x:c>
    </x:row>
    <x:row r="257">
      <x:c r="A257" s="24" t="str">
        <x:v>UI-NOSCRIPT-NOTE</x:v>
      </x:c>
      <x:c r="B257" s="24" t="str">
        <x:v>Search, Compare and the copy buttons need JavaScript. Every page of evidence remains readable without it.</x:v>
      </x:c>
      <x:c r="C257" s="24" t="str">
        <x:v>يحتاج البحث والمقارنة وأزرار النسخ إلى JavaScript، وتبقى كل صفحات الأدلة قابلة للقراءة من دونه.</x:v>
      </x:c>
      <x:c r="D257" s="24" t="str">
        <x:v>Tranche C TC-F (TOOL-17).</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presents the strongest defensible answer while keeping scope, limits and source visible.</x:v>
      </x:c>
      <x:c r="C362" s="24" t="str">
        <x:v>يعرض هذا المورد أقوى إجابة تسندها الأدلة، مع إبقاء النطاق والحدود والمصدر ظاهرة.</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Priority</x:v>
      </x:c>
      <x:c r="C383" s="24" t="str">
        <x:v>الأولوية</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x:v>
      </x:c>
      <x:c r="C505" s="24" t="str">
        <x:v>هذه هي الوثائق التنظيمية المتوفرة في قاعدة الأدلة هذه، وليست سجلًا كاملًا للتنظيم المالي في اليمن.</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3">
      <x:c r="A513" s="24" t="str">
        <x:v>Trust navigation</x:v>
      </x:c>
    </x:row>
    <x:row r="514">
      <x:c r="A514" s="24" t="str">
        <x:v>item_order</x:v>
      </x:c>
      <x:c r="B514" s="24" t="str">
        <x:v>label_en</x:v>
      </x:c>
      <x:c r="C514" s="24" t="str">
        <x:v>label_ar</x:v>
      </x:c>
      <x:c r="D514" s="24" t="str">
        <x:v>route</x:v>
      </x:c>
    </x:row>
    <x:row r="515">
      <x:c r="A515" s="24" t="n">
        <x:v>1</x:v>
      </x:c>
      <x:c r="B515" s="24" t="str">
        <x:v>About</x:v>
      </x:c>
      <x:c r="C515" s="24" t="str">
        <x:v>عن الموقع</x:v>
      </x:c>
      <x:c r="D515" s="24" t="str">
        <x:v>/about</x:v>
      </x:c>
    </x:row>
    <x:row r="516">
      <x:c r="A516" s="24" t="n">
        <x:v>2</x:v>
      </x:c>
      <x:c r="B516" s="24" t="str">
        <x:v>Corrections</x:v>
      </x:c>
      <x:c r="C516" s="24" t="str">
        <x:v>التصحيحات</x:v>
      </x:c>
      <x:c r="D516" s="24" t="str">
        <x:v>/corrections</x:v>
      </x:c>
    </x:row>
    <x:row r="517">
      <x:c r="A517" s="24" t="n">
        <x:v>3</x:v>
      </x:c>
      <x:c r="B517" s="24" t="str">
        <x:v>Rights &amp; reuse</x:v>
      </x:c>
      <x:c r="C517" s="24" t="str">
        <x:v>الحقوق وإعادة الاستخدام</x:v>
      </x:c>
      <x:c r="D517" s="24" t="str">
        <x:v>/rights</x:v>
      </x:c>
    </x:row>
    <x:row r="518">
      <x:c r="A518" s="24" t="n">
        <x:v>4</x:v>
      </x:c>
      <x:c r="B518" s="24" t="str">
        <x:v>Accessibility</x:v>
      </x:c>
      <x:c r="C518" s="24" t="str">
        <x:v>إتاحة الوصول</x:v>
      </x:c>
      <x:c r="D518" s="24" t="str">
        <x:v>/accessibility</x:v>
      </x:c>
    </x:row>
    <x:row r="519">
      <x:c r="A519" s="24" t="n">
        <x:v>5</x:v>
      </x:c>
      <x:c r="B519" s="24" t="str">
        <x:v>Privacy</x:v>
      </x:c>
      <x:c r="C519" s="24" t="str">
        <x:v>الخصوصية</x:v>
      </x:c>
      <x:c r="D519" s="24" t="str">
        <x:v>/privacy</x:v>
      </x:c>
    </x:row>
    <x:row r="520">
      <x:c r="A520" s="24" t="n">
        <x:v>6</x:v>
      </x:c>
      <x:c r="B520" s="24" t="str">
        <x:v>Terms</x:v>
      </x:c>
      <x:c r="C520" s="24" t="str">
        <x:v>شروط الاستخدام</x:v>
      </x:c>
      <x:c r="D520" s="24" t="str">
        <x:v>/terms</x:v>
      </x:c>
    </x:row>
    <x:row r="521">
      <x:c r="A521" s="24" t="n">
        <x:v>7</x:v>
      </x:c>
      <x:c r="B521" s="24" t="str">
        <x:v>Contact</x:v>
      </x:c>
      <x:c r="C521" s="24" t="str">
        <x:v>التواصل</x:v>
      </x:c>
      <x:c r="D521" s="24" t="str">
        <x:v>/contact</x:v>
      </x:c>
    </x:row>
    <x:row r="523">
      <x:c r="A523" s="24" t="str">
        <x:v>Search aliases</x:v>
      </x:c>
    </x:row>
    <x:row r="524">
      <x:c r="A524" s="24" t="str">
        <x:v>alias_id</x:v>
      </x:c>
      <x:c r="B524" s="24" t="str">
        <x:v>terms_en</x:v>
      </x:c>
      <x:c r="C524" s="24" t="str">
        <x:v>terms_ar</x:v>
      </x:c>
      <x:c r="D524" s="24" t="str">
        <x:v>targets</x:v>
      </x:c>
      <x:c r="E524" s="24" t="str">
        <x:v>boundary_note_en</x:v>
      </x:c>
      <x:c r="F524" s="38" t="str">
        <x:v>boundary_note_ar</x:v>
      </x:c>
    </x:row>
    <x:row r="525">
      <x:c r="A525" s="24" t="str">
        <x:v>SEARCH-ALIAS-001</x:v>
      </x:c>
      <x:c r="B525" s="24" t="str">
        <x:v>law; laws</x:v>
      </x:c>
      <x:c r="C525" s="24" t="str">
        <x:v>قانون; قوانين</x:v>
      </x:c>
      <x:c r="D525" s="24" t="str">
        <x:v>document_type:law | route:/reforms/ | route:/data/</x:v>
      </x:c>
    </x:row>
    <x:row r="526">
      <x:c r="A526" s="24" t="str">
        <x:v>SEARCH-ALIAS-002</x:v>
      </x:c>
      <x:c r="B526" s="24" t="str">
        <x:v>decision; decisions</x:v>
      </x:c>
      <x:c r="C526" s="24" t="str">
        <x:v>قرار; قرارات</x:v>
      </x:c>
      <x:c r="D526" s="24" t="str">
        <x:v>document_type:decision/enforcement | route:/providers/ | route:/reforms/</x:v>
      </x:c>
    </x:row>
    <x:row r="527">
      <x:c r="A527" s="24" t="str">
        <x:v>SEARCH-ALIAS-003</x:v>
      </x:c>
      <x:c r="B527" s="24" t="str">
        <x:v>circular; circulars</x:v>
      </x:c>
      <x:c r="C527" s="24" t="str">
        <x:v>تعميم; تعاميم</x:v>
      </x:c>
      <x:c r="D527" s="24" t="str">
        <x:v>document_type:instruction/circular | route:/reforms/</x:v>
      </x:c>
    </x:row>
    <x:row r="528">
      <x:c r="A528" s="24" t="str">
        <x:v>SEARCH-ALIAS-004</x:v>
      </x:c>
      <x:c r="B528" s="24" t="str">
        <x:v>regulation; regulations; instructions</x:v>
      </x:c>
      <x:c r="C528" s="24" t="str">
        <x:v>لائحة; لوائح; تعليمات</x:v>
      </x:c>
      <x:c r="D528" s="24" t="str">
        <x:v>document_type:regulation | document_type:instruction/circular | route:/reforms/ | route:/data/</x:v>
      </x:c>
    </x:row>
    <x:row r="529">
      <x:c r="A529" s="24" t="str">
        <x:v>SEARCH-ALIAS-005</x:v>
      </x:c>
      <x:c r="B529" s="24" t="str">
        <x:v>remittance; remittances</x:v>
      </x:c>
      <x:c r="C529" s="24" t="str">
        <x:v>حوالة; حوالات; تحويلات</x:v>
      </x:c>
      <x:c r="D529" s="24" t="str">
        <x:v>route:/remittances/</x:v>
      </x:c>
    </x:row>
    <x:row r="530">
      <x:c r="A530" s="24" t="str">
        <x:v>SEARCH-ALIAS-006</x:v>
      </x:c>
      <x:c r="B530" s="24" t="str">
        <x:v>exchange company; exchange companies</x:v>
      </x:c>
      <x:c r="C530" s="24" t="str">
        <x:v>صرافة; شركات الصرافة; منشآت الصرافة</x:v>
      </x:c>
      <x:c r="D530" s="24" t="str">
        <x:v>route:/providers/</x:v>
      </x:c>
    </x:row>
    <x:row r="531">
      <x:c r="A531" s="24" t="str">
        <x:v>SEARCH-ALIAS-007</x:v>
      </x:c>
      <x:c r="B531" s="24" t="str">
        <x:v>wallet; e-wallet; e-wallets; electronic wallet</x:v>
      </x:c>
      <x:c r="C531" s="24" t="str">
        <x:v>محفظة; محافظ; المحافظ الإلكترونية; المحفظة الإلكترونية</x:v>
      </x:c>
      <x:c r="D531" s="24" t="str">
        <x:v>route:/payments/</x:v>
      </x:c>
    </x:row>
    <x:row r="532">
      <x:c r="A532" s="24" t="str">
        <x:v>SEARCH-ALIAS-008</x:v>
      </x:c>
      <x:c r="B532" s="24" t="str">
        <x:v>POS; point of sale; POS terminals</x:v>
      </x:c>
      <x:c r="C532" s="24" t="str">
        <x:v>نقاط البيع; نقطة بيع</x:v>
      </x:c>
      <x:c r="D532" s="24" t="str">
        <x:v>route:/payments/</x:v>
      </x:c>
    </x:row>
    <x:row r="533">
      <x:c r="A533" s="24" t="str">
        <x:v>SEARCH-ALIAS-009</x:v>
      </x:c>
      <x:c r="B533" s="24" t="str">
        <x:v>microfinance; MFB; MFI</x:v>
      </x:c>
      <x:c r="C533" s="24" t="str">
        <x:v>التمويل الأصغر; تمويل أصغر</x:v>
      </x:c>
      <x:c r="D533" s="24" t="str">
        <x:v>route:/finance/</x:v>
      </x:c>
    </x:row>
    <x:row r="534">
      <x:c r="A534" s="24" t="str">
        <x:v>SEARCH-ALIAS-010</x:v>
      </x:c>
      <x:c r="B534" s="24" t="str">
        <x:v>exchange rate</x:v>
      </x:c>
      <x:c r="C534" s="24" t="str">
        <x:v>سعر الصرف; أسعار الصرف</x:v>
      </x:c>
      <x:c r="D534" s="24" t="str">
        <x:v>route:/finance/</x:v>
      </x:c>
    </x:row>
    <x:row r="535">
      <x:c r="A535" s="24" t="str">
        <x:v>SEARCH-ALIAS-011</x:v>
      </x:c>
      <x:c r="B535" s="24" t="str">
        <x:v>measurement; measurement agenda; measurement priorities</x:v>
      </x:c>
      <x:c r="C535" s="24" t="str">
        <x:v>أولويات القياس; أجندة القياس; القياس</x:v>
      </x:c>
      <x:c r="D535" s="24" t="str">
        <x:v>route:/measurement/</x:v>
      </x:c>
    </x:row>
    <x:row r="536">
      <x:c r="A536" s="24" t="str">
        <x:v>SEARCH-ALIAS-012</x:v>
      </x:c>
      <x:c r="B536" s="24" t="str">
        <x:v>financial literacy; financial education</x:v>
      </x:c>
      <x:c r="C536" s="24" t="str">
        <x:v>الثقافة المالية; التثقيف المالي</x:v>
      </x:c>
      <x:c r="D536" s="24" t="str">
        <x:v>route:/people/ | route:/reforms/</x:v>
      </x:c>
      <x:c r="E536" s="24" t="str">
        <x:v>Discovery aid only: financial-education activity is not literacy, capability or behaviour.</x:v>
      </x:c>
      <x:c r="F536" s="38" t="str">
        <x:v>وسيلة للعثور على المحتوى فقط: النشاط التثقيفي المالي ليس ثقافة مالية ولا قدرة ولا سلوكًا.</x:v>
      </x:c>
    </x:row>
    <x:row r="537">
      <x:c r="A537" s="24" t="str">
        <x:v>SEARCH-ALIAS-013</x:v>
      </x:c>
      <x:c r="B537" s="24" t="str">
        <x:v>income; income gap</x:v>
      </x:c>
      <x:c r="C537" s="24" t="str">
        <x:v>الدخل; فجوة الدخل</x:v>
      </x:c>
      <x:c r="D537" s="24" t="str">
        <x:v>route:/people/</x:v>
      </x:c>
    </x:row>
    <x:row r="538">
      <x:c r="A538" s="24" t="str">
        <x:v>SEARCH-ALIAS-014</x:v>
      </x:c>
      <x:c r="B538" s="24" t="str">
        <x:v>credit; lending</x:v>
      </x:c>
      <x:c r="C538" s="24" t="str">
        <x:v>الائتمان; الإقراض</x:v>
      </x:c>
      <x:c r="D538" s="24" t="str">
        <x:v>route:/finance/ | route:/firms/</x:v>
      </x:c>
    </x:row>
    <x:row r="539">
      <x:c r="A539" s="24" t="str">
        <x:v>SEARCH-ALIAS-015</x:v>
      </x:c>
      <x:c r="B539" s="24" t="str">
        <x:v>licensed banks; licensed bank; bank list</x:v>
      </x:c>
      <x:c r="C539" s="24" t="str">
        <x:v>البنوك المرخصة; بنوك مرخصة; قائمة البنوك</x:v>
      </x:c>
      <x:c r="D539" s="24" t="str">
        <x:v>route:/providers/</x:v>
      </x:c>
    </x:row>
    <x:row r="540">
      <x:c r="A540" s="24" t="str">
        <x:v>SEARCH-ALIAS-016</x:v>
      </x:c>
      <x:c r="B540" s="24" t="str">
        <x:v>remittance cost; remittance prices; transfer cost</x:v>
      </x:c>
      <x:c r="C540" s="24" t="str">
        <x:v>تكلفة التحويل; تكلفة الحوالات; رسوم التحويل</x:v>
      </x:c>
      <x:c r="D540" s="24" t="str">
        <x:v>route:/remittances/</x:v>
      </x:c>
    </x:row>
    <x:row r="541">
      <x:c r="A541" s="24" t="str">
        <x:v>SEARCH-ALIAS-017</x:v>
      </x:c>
      <x:c r="B541" s="24" t="str">
        <x:v>Aden; CBY Aden; CBY-Aden</x:v>
      </x:c>
      <x:c r="C541" s="24" t="str">
        <x:v>عدن; البنك المركزي في عدن</x:v>
      </x:c>
      <x:c r="D541" s="24" t="str">
        <x:v>route:/providers/ | route:/data/</x:v>
      </x:c>
      <x:c r="E541" s="24" t="str">
        <x:v>Discovery aid only: CBY-Aden lists, decisions and statistics carry the scope of that authority; they do not describe all of Yemen.</x:v>
      </x:c>
      <x:c r="F541" s="38" t="str">
        <x:v>وسيلة للعثور على المحتوى فقط: قوائم البنك المركزي اليمني في عدن وقراراته وإحصاءاته تحمل نطاق تلك السلطة، ولا تصف اليمن كله.</x:v>
      </x:c>
    </x:row>
    <x:row r="542">
      <x:c r="A542" s="24" t="str">
        <x:v>SEARCH-ALIAS-018</x:v>
      </x:c>
      <x:c r="B542" s="24" t="str">
        <x:v>deposits; deposit; bank deposits</x:v>
      </x:c>
      <x:c r="C542" s="24" t="str">
        <x:v>الودائع; ودائع; الودائع المصرفية</x:v>
      </x:c>
      <x:c r="D542" s="24" t="str">
        <x:v>route:/finance/</x:v>
      </x:c>
    </x:row>
    <x:row r="543">
      <x:c r="A543" s="24" t="str">
        <x:v>SEARCH-ALIAS-019</x:v>
      </x:c>
      <x:c r="B543" s="24" t="str">
        <x:v>SME finance; SME; SMEs; MSME; MSMEs; MSME finance; small business finance</x:v>
      </x:c>
      <x:c r="C543" s="24" t="str">
        <x:v>المنشآت الصغيرة والمتوسطة; تمويل المنشآت الصغيرة والمتوسطة; المنشآت الأصغر والصغيرة والمتوسطة; المنشآت الصغرى والصغيرة والمتوسطة</x:v>
      </x:c>
      <x:c r="D543" s="24" t="str">
        <x:v>route:/firms/</x:v>
      </x:c>
    </x:row>
    <x:row r="544">
      <x:c r="A544" s="24" t="str">
        <x:v>SEARCH-ALIAS-020</x:v>
      </x:c>
      <x:c r="B544" s="24" t="str">
        <x:v>RTGS; real-time gross settlement; real time gross settlement</x:v>
      </x:c>
      <x:c r="C544" s="24" t="str">
        <x:v>التسوية الإجمالية الفورية; نظام التسوية الإجمالية الفورية</x:v>
      </x:c>
      <x:c r="D544" s="24" t="str">
        <x:v>route:/payments/ | route:/reforms/</x:v>
      </x:c>
    </x:row>
    <x:row r="545">
      <x:c r="A545" s="24" t="str">
        <x:v>SEARCH-ALIAS-021</x:v>
      </x:c>
      <x:c r="B545" s="24" t="str">
        <x:v>FPS; fast payment system; fast payments</x:v>
      </x:c>
      <x:c r="C545" s="24" t="str">
        <x:v>نظام الدفع السريع; الدفع السريع; المدفوعات السريعة</x:v>
      </x:c>
      <x:c r="D545" s="24" t="str">
        <x:v>route:/payments/ | route:/reforms/</x:v>
      </x:c>
    </x:row>
    <x:row r="546">
      <x:c r="A546" s="24" t="str">
        <x:v>SEARCH-ALIAS-022</x:v>
      </x:c>
      <x:c r="B546" s="24" t="str">
        <x:v>consumer protection; financial consumer protection</x:v>
      </x:c>
      <x:c r="C546" s="24" t="str">
        <x:v>حماية المستهلك; حماية المستهلك المالي</x:v>
      </x:c>
      <x:c r="D546" s="24" t="str">
        <x:v>route:/reforms/</x:v>
      </x:c>
    </x:row>
    <x:row r="547">
      <x:c r="A547" s="24" t="str">
        <x:v>SEARCH-ALIAS-023</x:v>
      </x:c>
      <x:c r="B547" s="24" t="str">
        <x:v>complaints; complaint; complaint handling; redress</x:v>
      </x:c>
      <x:c r="C547" s="24" t="str">
        <x:v>الشكاوى; شكوى; معالجة الشكاوى; التظلم</x:v>
      </x:c>
      <x:c r="D547" s="24" t="str">
        <x:v>route:/reforms/</x:v>
      </x:c>
      <x:c r="E547" s="24" t="str">
        <x:v>Discovery aid only: official guidance and instructions describe a complaint path and time limits, not how complaints are handled in practice.</x:v>
      </x:c>
      <x:c r="F547" s="38" t="str">
        <x:v>وسيلة للعثور على المحتوى فقط: تصف الإرشادات والتعليمات الرسمية مسار الشكوى ومهلها، لا طريقة معالجة الشكاوى فعليًا.</x:v>
      </x:c>
    </x:row>
    <x:row r="548">
      <x:c r="A548" s="24" t="str">
        <x:v>SEARCH-ALIAS-024</x:v>
      </x:c>
      <x:c r="B548" s="24" t="str">
        <x:v>FMIIP; Financial Market Infrastructure and Inclusion Project</x:v>
      </x:c>
      <x:c r="C548" s="24" t="str">
        <x:v>FMIIP; مشروع البنية التحتية للأسواق المالية والشمول المالي; مشروع البنية التحتية للأسواق والشمول المالي</x:v>
      </x:c>
      <x:c r="D548" s="24" t="str">
        <x:v>route:/reforms/ | route:/payments/</x:v>
      </x:c>
    </x:row>
    <x:row r="549">
      <x:c r="A549" s="24" t="str">
        <x:v>SEARCH-ALIAS-025</x:v>
      </x:c>
      <x:c r="B549" s="24" t="str">
        <x:v>women; woman; female; gender; gender gap</x:v>
      </x:c>
      <x:c r="C549" s="24" t="str">
        <x:v>المرأة; امرأة; النساء; نساء; الإناث; النوع الاجتماعي; فجوة النوع الاجتماعي; الفجوة بين الجنسين</x:v>
      </x:c>
      <x:c r="D549" s="24" t="str">
        <x:v>route:/people/</x:v>
      </x:c>
      <x:c r="E549" s="24" t="str">
        <x:v>Discovery aid only: the measured gap comes from one survey wave (the 2021 Findex wave; Yemen fieldwork 2022–23); it is not a 2026 figure and does not establish causes.</x:v>
      </x:c>
      <x:c r="F549"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550">
      <x:c r="A550" s="24" t="str">
        <x:v>SEARCH-ALIAS-026</x:v>
      </x:c>
      <x:c r="B550" s="24" t="str">
        <x:v>humanitarian; cash transfer; cash transfers; social protection; G2P</x:v>
      </x:c>
      <x:c r="C550" s="24" t="str">
        <x:v>إنساني; المساعدات الإنسانية; التحويلات النقدية; الحماية الاجتماعية; مدفوعات الحكومة للأفراد</x:v>
      </x:c>
      <x:c r="D550" s="24" t="str">
        <x:v>route:/readings/after-transfer-persistence/ | route:/payments/</x:v>
      </x:c>
    </x:row>
    <x:row r="551">
      <x:c r="A551" s="24" t="str">
        <x:v>SEARCH-ALIAS-027</x:v>
      </x:c>
      <x:c r="B551" s="24" t="str">
        <x:v>licence; license; licensing; suspension; closure</x:v>
      </x:c>
      <x:c r="C551" s="24" t="str">
        <x:v>ترخيص; تراخيص; إيقاف; تعليق; إغلاق</x:v>
      </x:c>
      <x:c r="D551" s="24" t="str">
        <x:v>route:/providers/ | document_type:decision/enforcement</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same-wave disparities and what the evidence cannot explain.</x:v>
      </x:c>
      <x:c r="G6" s="28" t="str">
        <x:v>القياسات السكانية، والفجوات داخل الموجة نفسها،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والمحفظة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والمحفظة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Latest representative account-ownership measure available</x:v>
      </x:c>
      <x:c r="E5" s="28" t="str">
        <x:v>أحدث قياس سكاني ممثل متاح لامتلاك الحساب</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November 2022 –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نوفمبر 2022 إلى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1,473 in January 2026, within CBY-Aden's reporting scope. The December 2025 total of 1,357 and the January 2026 total of 1,473 imply growth of 8.55%, while the January source graphic displays +11%; the POS terminals chart plots the published totals, the +11% is stated under 'How was it produced?' in this record, and the difference is recorded as an inconsistency within the source.</x:v>
      </x:c>
      <x:c r="G6" s="28" t="str">
        <x:v>ارتفع عدد أجهزة نقاط البيع التي يُبلغ عنها البنك المركزي اليمني – عدن من 561 جهازًا في مارس 2025 إلى 1,473 جهازًا في يناير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الرسم البياني لأجهزة نقاط البيع الإجماليات المنشورة، وتُذكر نسبة +11% تحت «كيف أُنتج؟» في هذا السجل، ويُسجَّل الفرق بوصفه تعارضًا داخل المصدر نفسه.</x:v>
      </x:c>
      <x:c r="H6" s="24" t="str">
        <x:v>The monthly number of point-of-sale (POS) terminals reported by the Central Bank of Yemen – Aden (CBY-Aden) within its reporting scope, March 2025 to January 2026.</x:v>
      </x:c>
      <x:c r="I6" s="28" t="str">
        <x:v>العدد الشهري لأجهزة نقاط البيع التي يُبلغ عنها البنك المركزي اليمني – عدن ضمن نطاق الإبلاغ لديه، من مارس 2025 إلى يناير 2026.</x:v>
      </x:c>
      <x:c r="J6" s="24" t="str">
        <x:v>Mar-2025–Jan-2026</x:v>
      </x:c>
      <x:c r="K6" s="28" t="str">
        <x:v>مارس 2025 – يناير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release shows material discrepancies between its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 يناير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98 exchange companies, 225 individual exchange establishments and 106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are matched with the roster entity by entity, because a decision may or may not already be reflected in it.</x:v>
      </x:c>
      <x:c r="G7" s="28" t="str">
        <x:v>تضم القائمة الرسمية لعام 2026 لمقدمي خدمات الصرافة والحوالات، الصادرة عن البنك المركزي اليمني – عدن، كلًّا من 98 شركة صرافة و225 منشأة صرافة فردية و106 وكلاء 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تُطابَق قرارات البنك المركزي في عدن الصادرة خلال 2026 (بين يناير وسبتمبر 2026) بتعليق تراخيص جهات مسماة أو سحبها أو بإغلاق مقارها مع القائمة جهةً جهة، إذ قد يكون أثر القرار منعكسًا فيها وقد لا يكون.</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11-page roster of the Central Bank of Yemen – Aden (CBY-Aden) by reading the document visually, using its own class headings and serial numbering; the numbering in the three classes ends at 98, 225 and 106.</x:v>
      </x:c>
      <x:c r="O7" s="28" t="str">
        <x:v>عُدّت القيود من القائمة الرسمية للبنك المركزي اليمني – عدن المكونة من 11 صفحة بقراءة الوثيقة بصريًا، وباستخدام عناوين الفئات وترقيمها التسلسلي كما وردت فيها؛ وينتهي الترقيم في الفئات الثلاث عند 98 و225 و106.</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x:v>
      </x:c>
      <x:c r="Y10" s="24" t="str">
        <x:v>[]</x:v>
      </x:c>
      <x:c r="Z10" t="str">
        <x:v>BOUND_EXACT</x:v>
      </x:c>
      <x:c r="AB10" t="str">
        <x:v>SRC-CBY-UNLICENSED-EWALLET-2024-001=status event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درجة واحدة</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rails, flows, rules, enabling constraints</x:v>
      </x:c>
      <x:c r="M11" s="28" t="str">
        <x:v>الأشخاص والمنشآت ومقدمو الخدمات وبنية المدفوعات والتدفقات والقواعد التنظيمية والقيود المُمكِّنة أو المعطلة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26 September 2026.</x:v>
      </x:c>
      <x:c r="I12" s="28" t="str">
        <x:v>تواريخ الرصد أو النشر وأنواع الأدلة لسجلات الأدلة في كل مجال، كما وردت في إصدار هذا المورد المؤرخ في 26 سبتمبر 2026.</x:v>
      </x:c>
      <x:c r="J12" s="24" t="str">
        <x:v>Edition of this resource dated 26 September 2026; each item keeps the period its source gives</x:v>
      </x:c>
      <x:c r="K12" s="28" t="str">
        <x:v>إصدار هذا المورد المؤرخ في 26 سبتمبر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26 September 2026 and changes whenever a newer record is added; each item keeps the date its source gives.</x:v>
      </x:c>
      <x:c r="S12" s="28" t="str">
        <x:v>تعكس هذه المقارنة الأدلة الواردة في إصدار هذا المورد المؤرخ في 26 سبتمبر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summarises other evidence records, which are not yet linked individually here. Before reusing a figure, open the evidence record that reports it and check that record against its own source.</x:v>
      </x:c>
      <x:c r="W12" s="28" t="str">
        <x:v>يلخص هذا العرض سجلات أدلة أخرى لم تُربط بعدُ هنا كلٌّ على حدة. وقبل إعادة استخدام أي رقم، افتح سجل الدليل الذي يورده وطابِقه مع مصدره.</x:v>
      </x:c>
      <x:c r="X12" s="24"/>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98 exchange companies, 225 individual exchange establishments and 106 remittance agents. Selected decisions of the CBY-Aden Governor dated January to September 2026 suspend or withdraw the licences of named entities or close their premises; they are kept separate from the roster and matched to it entity by entity, because the roster's issue date is not stated. Listing or licensing is not evidence of current operation.</x:v>
      </x:c>
      <x:c r="G14" s="28" t="str">
        <x:v>تضم القائمة الرسمية لعام 2026 للصرافة والحوالات، الصادرة عن البنك المركزي اليمني – عدن، كلًّا من 98 شركة صرافة و225 منشأة صرافة فردية و106 وكلاء 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وتُطابَق معها جهةً جهة، لأن القائمة لا تذكر تاريخ صدورها.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The 2026 decisions are matched to named entities one by one, without assuming whether the roster already reflects them, because the roster does not state its issue date;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وتُطابَق قرارات 2026 مع الجهات المسماة جهةً جهة، من دون افتراض أن القائمة تعكسها أو لا تعكسها، لأن القائمة لا تذكر تاريخ صدورها؛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7 September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7 سبتمبر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POS release listed by CBY-Aden: January 2026 (page checked 26 September 2026)</x:v>
      </x:c>
      <x:c r="E22" s="28" t="str">
        <x:v>أحدث إصدار شهري لنقاط البيع لدى البنك المركزي اليمني – عدن: يناير 2026 (اطُّلع على الصفحة في 26 سبتمبر 2026)</x:v>
      </x:c>
      <x:c r="F22" s="24" t="str">
        <x:v>The payments page of the Central Bank of Yemen – Aden (CBY-Aden) lists monthly POS releases from March 2025 to January 2026. When the page was checked on 26 September 2026, January 2026 was the latest release listed; no later month is inferred.</x:v>
      </x:c>
      <x:c r="G22" s="28" t="str">
        <x:v>تعرض صفحة المدفوعات لدى البنك المركزي اليمني – عدن إصدارات شهرية لنقاط البيع من مارس 2025 إلى يناير 2026. وعند الاطلاع على الصفحة في 26 سبتمبر 2026 كان إصدار يناير 2026 أحدث إصدار مدرج، من دون استنتاج أي شهر لاحق.</x:v>
      </x:c>
      <x:c r="H22" s="24" t="str">
        <x:v>The most recent month covered by a monthly point-of-sale (POS) release on the payments page of the Central Bank of Yemen – Aden (CBY-Aden), as checked on 26 September 2026.</x:v>
      </x:c>
      <x:c r="I22" s="28" t="str">
        <x:v>أحدث شهر يغطيه إصدار شهري لنقاط البيع في صفحة المدفوعات لدى البنك المركزي اليمني – عدن، كما اطُّلع عليها في 26 سبتمبر 2026.</x:v>
      </x:c>
      <x:c r="J22" s="24" t="str">
        <x:v>Monthly releases for March 2025 to January 2026; page checked on 26 September 2026</x:v>
      </x:c>
      <x:c r="K22" s="28" t="str">
        <x:v>إصدارات شهرية من مارس 2025 إلى يناير 2026؛ واطُّلع على الصفحة في 26 سبتمبر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الإبلاغ لديه</x:v>
      </x:c>
      <x:c r="N22" s="24" t="str">
        <x:v>The list of monthly POS releases on the payments page of the Central Bank of Yemen – Aden (CBY-Aden) was checked on 26 September 2026; the latest release listed was January 2026. Values are taken as published, and arithmetic discrepancies within the releases are kept.</x:v>
      </x:c>
      <x:c r="O22" s="28" t="str">
        <x:v>اطُّلع في 26 سبتمبر 2026 على قائمة الإصدارات الشهرية لنقاط البيع في صفحة المدفوعات لدى البنك المركزي اليمني – عدن، وكان آخر إصدار مدرج هو إصدار يناير 2026. وتُؤخذ القيم كما نُشرت، مع الإبقاء على الفروق الحسابية الواردة في الإصدارات.</x:v>
      </x:c>
      <x:c r="P22" s="24" t="str">
        <x:v>It does not show that POS activity stopped after January 2026; it identifies only the latest monthly release listed on the payments page of the Central Bank of Yemen – Aden (CBY-Aden) when checked on 26 September 2026.</x:v>
      </x:c>
      <x:c r="Q22" s="28" t="str">
        <x:v>لا يعني ذلك توقف نشاط نقاط البيع بعد يناير 2026؛ بل يحدد فقط أحدث إصدار شهري مدرج في صفحة المدفوعات لدى البنك المركزي اليمني – عدن كما اطُّلع عليها في 26 سبتمبر 2026.</x:v>
      </x:c>
      <x:c r="R22" s="24" t="str">
        <x:v>January 2026 was the latest monthly POS release on the payments page of the Central Bank of Yemen – Aden (CBY-Aden) when checked on 26 September 2026. A later release, once listed, would replace it as the latest observation.</x:v>
      </x:c>
      <x:c r="S22" s="28" t="str">
        <x:v>كان يناير 2026 أحدث إصدار شهري لنقاط البيع في صفحة المدفوعات لدى البنك المركزي اليمني – عدن كما اطُّلع عليها في 26 سبتمبر 2026.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SRC-CBY-POS-2026-01; SRC-CBY-POS-PUBLICATION-PAGE-2026-001</x:v>
      </x:c>
      <x:c r="Y22" s="24" t="str">
        <x:v>[{"source_id":"SRC-CBY-POS-2026-01","url":"https://www.cby-ye.com/files/69b058d4bc306.pdf","audit_state":"PASS_AUTHORITY_OR_PROVIDER_LOCATOR"}]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matched with it entity by entity and are not subtracted from it to produce a count of providers operating now.</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تُطابَق معها جهةً جهة، ولا تُطرح منها لاستخراج عدد لمقدمي الخدمات العاملين حاليًا.</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(for Decision No. 18, the named entities have not yet been transcribed); not the full set of exchange and remittance providers</x:v>
      </x:c>
      <x:c r="M24" s="28" t="str">
        <x:v>الجهات المسماة في القرارات التي يشملها هذا السجل فقط (ولم تُنقل بعد أسماء الجهات الواردة في القرار رقم 18)؛ ولا تمثل المجموعة الكاملة لمقدمي خدمات الصرافة والحوالات.</x:v>
      </x:c>
      <x:c r="N24" s="24" t="str">
        <x:v>Each decision is taken from its official publication by the Central Bank of Yemen – Aden (CBY-Aden) and recorded by date, action and the entity or class of entity it names. The entities named in Decision No. 18 of 24 September 2026 have not yet been transcribed.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ونوع الإجراء والجهة أو فئة الجهات المسماة فيه. ولم تُنقل بعد أسماء الجهات الواردة في القرار رقم 18 المؤرخ في 24 سبتمبر 2026.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decision is matched to named entities one by one, without assuming whether the roster already reflects it.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يُطابَق كل قرار مع الجهات المسماة جهةً جهة، من دون افتراض أن القائمة تعكسه أو لا تعكسه.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والمحفظة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المحفظة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المحفظة في نهاية 2015 متعارضة داخل المصدر نفسه، فلا تُعتمد قيمة واحدة لمحفظة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gaps and breaks shown</x:v>
      </x:c>
      <x:c r="E27" s="28" t="str">
        <x:v>مشاهدات التمويل الأصغر بحسب التاريخ، مع إظهار الفجوات والانقطاعات</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المحفظة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المحفظة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 9 January 2023; World Bank data year 2022), 18.35% of men and 5.44% of women aged 15 and over in the areas the survey covered had an account, a difference of 12.91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18.35% بين الرجال و5.44% بين النساء بعمر 15 سنة فأكثر في المناطق التي شملها المسح، بفارق 12.91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Yemen fieldwork 2022-11-07 to 2023-01-09</x:v>
      </x:c>
      <x:c r="K28" s="28" t="str">
        <x:v>موجة Findex 2021؛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18.35% minus women 5.44% (World Bank series FX.OWN.TOTL.MA.ZS minus FX.OWN.TOTL.FE.ZS, data year 2022).</x:v>
      </x:c>
      <x:c r="O28" s="28" t="str">
        <x:v>احتسبه هذا المورد بوصفه الفارق بين تقديرين موزونين نشرهما البنك الدولي للموجة نفسها: 18.35% للرجال ناقص 5.44%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shows materially higher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تُظهر القيم التاريخية الواردة في تقرير خبراء صندوق النقد الدولي لمشاورات المادة الرابعة لعام 2025 أن التحويلات الواردة في ميزان المدفوعات كانت في 2024 أعلى بصورة جوهرية منها في 2018 (والقيمتان من الوثيقة نفسها)، أما تقدير 2025 وتوقعات 2026–2030 فمصدرها ملحق لاحق، وهي نوع دليل مختلف.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NEG-EW-011</x:v>
      </x:c>
      <x:c r="B34" s="24" t="str">
        <x:v>NEGATIVE_AUTHORITY_OBJECT</x:v>
      </x:c>
      <x:c r="C34" s="24" t="str">
        <x:v>/providers/ | /payments/</x:v>
      </x:c>
      <x:c r="D34" s="24" t="str">
        <x:v>Wallet service named in a June 2024 CBY-Aden list of unlicensed services</x:v>
      </x:c>
      <x:c r="E34" s="28" t="str">
        <x:v>خدمة محفظة وردت في قائمة البنك المركزي اليمني – عدن للخدمات غير المرخصة (يونيو 2024)</x:v>
      </x:c>
      <x:c r="F34" s="24" t="str">
        <x:v>We Cash electronic payment services is one of 12 names in a 26 June 2024 circular of the Central Bank of Yemen – Aden (CBY-Aden) listing services that CBY-Aden considered unlicensed on that date and with which banks and exchange businesses were told not to deal. Its status under any other authority, and its status after that date, are not established here.</x:v>
      </x:c>
      <x:c r="G34" s="28" t="str">
        <x:v>ترد خدمة وي كاش للدفع الإلكتروني ضمن 12 اسمًا في تعميم للبنك المركزي اليمني – عدن بتاريخ 26 يونيو 2024 يسرد خدمات اعتبرها غير مرخصة في ذلك التاريخ، ويوجّه البنوك وشركات الصرافة إلى عدم التعامل معها. ولا يثبت هذا الدليل وضعها لدى أي سلطة أخرى، ولا وضعها بعد ذلك التاريخ.</x:v>
      </x:c>
      <x:c r="H34" s="24" t="str">
        <x:v>One service named as unlicensed in a circular of the Central Bank of Yemen – Aden (CBY-Aden) dated 26 June 2024.</x:v>
      </x:c>
      <x:c r="I34" s="28" t="str">
        <x:v>خدمة واحدة سمّاها تعميم البنك المركزي اليمني – عدن المؤرخ في 26 يونيو 2024 بوصفها غير مرخصة.</x:v>
      </x:c>
      <x:c r="J34" s="24" t="str">
        <x:v>26 June 2024</x:v>
      </x:c>
      <x:c r="K34" s="28" t="str">
        <x:v>26 يونيو 2024</x:v>
      </x:c>
      <x:c r="L34" s="24" t="str">
        <x:v>Only this one of the 12 names listed in the circular.</x:v>
      </x:c>
      <x:c r="M34" s="28" t="str">
        <x:v>هذا الاسم وحده من بين الأسماء الـ12 الواردة في التعميم.</x:v>
      </x:c>
      <x:c r="N34" s="24" t="str">
        <x:v>Taken from the text of the circular of the Central Bank of Yemen – Aden (CBY-Aden) dated 26 June 2024, which names 12 wallets, entities or services.</x:v>
      </x:c>
      <x:c r="O34" s="28" t="str">
        <x:v>مأخوذ من نص تعميم البنك المركزي اليمني – عدن المؤرخ في 26 يونيو 2024، الذي يسمّي 12 محفظة أو جهة أو خدمة.</x:v>
      </x:c>
      <x:c r="P34" s="24" t="str">
        <x:v>The unlicensed status applies to 26 June 2024 and is not a 2026 status; later status, including any licensing, is not tracked here. A list of unlicensed names does not identify which services are licensed, and the circular does not establish the service's status under any other authority.</x:v>
      </x:c>
      <x:c r="Q34" s="28" t="str">
        <x:v>يخص وصف عدم الترخيص تاريخ 26 يونيو 2024، ولا يمثل وضعًا لعام 2026؛ ولا يتتبع هذا السجل الوضع اللاحق، بما في ذلك أي ترخيص. ولا تحدد قائمة الأسماء غير المرخصة الخدمات المرخصة، ولا يثبت التعميم وضع الخدمة لدى أي سلطة أخرى.</x:v>
      </x:c>
      <x:c r="R34" s="24" t="str">
        <x:v>The circular is dated 26 June 2024. It does not describe the service's status after that date.</x:v>
      </x:c>
      <x:c r="S34" s="28" t="str">
        <x:v>التعميم مؤرخ في 26 يونيو 2024، ولا يصف وضع الخدمة بعد ذلك التاريخ.</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SRC-CBY-UNLICENSED-EWALLET-2024-001</x:v>
      </x:c>
      <x:c r="Y34" s="24" t="str">
        <x:v>[{"source_id":"SRC-CBY-UNLICENSED-EWALLET-2024-001","url":"https://cby-ye.com/files/667c32dabd223.pdf","audit_state":"PASS_AUTHORITY_OR_PROVIDER_LOCATOR"}]</x:v>
      </x:c>
      <x:c r="Z34" t="str">
        <x:v>BOUND_EXACT</x:v>
      </x:c>
      <x:c r="AB34" t="str">
        <x:v>SRC-CBY-UNLICENSED-EWALLET-2024-001=status event</x:v>
      </x:c>
    </x:row>
    <x:row r="35">
      <x:c r="A35" s="24" t="str">
        <x:v>MFI-SPINE-2015-Q4</x:v>
      </x:c>
      <x:c r="B35" s="24" t="str">
        <x:v>TEMPORAL_OBSERVATION</x:v>
      </x:c>
      <x:c r="C35" s="24" t="str">
        <x:v>/finance/</x:v>
      </x:c>
      <x:c r="D35" s="24" t="str">
        <x:v>2015 Q4 microfinance observation with a portfolio contradiction</x:v>
      </x:c>
      <x:c r="E35" s="28" t="str">
        <x:v>مشاهدة التمويل الأصغر للربع الرابع 2015 مع تعارض في قيمة المحفظة</x:v>
      </x:c>
      <x:c r="F35"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5"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المحفظة فمتعارضة داخل المصدر: يورد الجدول 6.741 مليار ريال، ويشير النص السردي إلى قيمة تقارب 9 مليارات ريال.</x:v>
      </x:c>
      <x:c r="H35" s="24" t="str">
        <x:v>Active borrowers, savers and outstanding loan portfolio (nominal Yemeni rials) reported for SFD-supported microfinance programmes at 31 December 2015.</x:v>
      </x:c>
      <x:c r="I35"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5" s="24" t="str">
        <x:v>31 December 2015</x:v>
      </x:c>
      <x:c r="K35" s="28" t="str">
        <x:v>31 ديسمبر 2015</x:v>
      </x:c>
      <x:c r="L35" s="24" t="str">
        <x:v>SFD-supported reporting programmes.</x:v>
      </x:c>
      <x:c r="M35" s="28" t="str">
        <x:v>برامج التمويل الأصغر المدعومة من الصندوق الاجتماعي للتنمية ضمن نطاق الإبلاغ.</x:v>
      </x:c>
      <x:c r="N35" s="24" t="str">
        <x:v>Figures taken from the end-2015 publication of the Social Fund for Development (SFD), which contains a provider table and narrative text; where the two disagree, on the portfolio, both values are recorded and neither is adopted.</x:v>
      </x:c>
      <x:c r="O35" s="28" t="str">
        <x:v>أرقام مأخوذة من إصدار الصندوق الاجتماعي للتنمية لنهاية 2015، الذي يتضمن جدولًا لمقدمي الخدمة ونصًا سرديًا؛ وحيث يختلفان، أي في قيمة المحفظة، تُسجَّل القيمتان ولا تُعتمد أي منهما.</x:v>
      </x:c>
      <x:c r="P35" s="24" t="str">
        <x:v>It does not establish the 2015 Q4 portfolio value: the source's table (YER 6.741 billion) and its narrative (near YER 9 billion) disagree, so neither value is adopted and the series is not smoothed.</x:v>
      </x:c>
      <x:c r="Q35" s="28" t="str">
        <x:v>لا يثبت هذا الدليل قيمة المحفظة في الربع الرابع من 2015: فجدول المصدر (6.741 مليار ريال) وسرده (نحو 9 مليارات ريال) متعارضان، ولذلك لا تُعتمد أي من القيمتين ولا تُنعَّم السلسلة.</x:v>
      </x:c>
      <x:c r="R35" s="24" t="str">
        <x:v>The observation in this record is dated 31 December 2015. It should not be read as describing a later period.</x:v>
      </x:c>
      <x:c r="S35" s="28" t="str">
        <x:v>تعود المشاهدة في هذا السجل إلى 31 ديسمبر 2015، ولا تُقرأ على أنها تصف فترة لاحقة.</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SRC-SFD-Q4-2015-001</x:v>
      </x:c>
      <x:c r="Y35" s="24" t="str">
        <x:v>[{"source_id":"SRC-SFD-Q4-2015-001","url":"https://www.sfd-yemen.org/uploads/issues/72E%282%29-20170212-184036.pdf","audit_state":"PASS_AUTHORITY_OR_PROVIDER_LOCATOR"}]</x:v>
      </x:c>
      <x:c r="Z35" t="str">
        <x:v>BOUND_EXACT</x:v>
      </x:c>
    </x:row>
    <x:row r="36">
      <x:c r="A36" s="24" t="str">
        <x:v>MF-ORIG-001+002</x:v>
      </x:c>
      <x:c r="B36" s="24" t="str">
        <x:v>PAIRED_CHRONOLOGY</x:v>
      </x:c>
      <x:c r="C36" s="24" t="str">
        <x:v>/finance/</x:v>
      </x:c>
      <x:c r="D36" s="24" t="str">
        <x:v>1997 institutional origin and 1998 operational programme start</x:v>
      </x:c>
      <x:c r="E36" s="28" t="str">
        <x:v>الأصل المؤسسي في 1997 وبداية البرنامج التشغيلي في 1998</x:v>
      </x:c>
      <x:c r="F36" s="24" t="str">
        <x:v>History hosted by the Social Fund for Development (SFD) supports two distinct milestones: 1997 as the institutional origin and start of microfinance, and 1998 as the start of active programme involvement. The two dates answer different historical questions.</x:v>
      </x:c>
      <x:c r="G36"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6"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6"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6" s="24" t="str">
        <x:v>1997 / 1998</x:v>
      </x:c>
      <x:c r="K36" s="28" t="str">
        <x:v>1997 / 1998</x:v>
      </x:c>
      <x:c r="L36" s="24" t="str">
        <x:v>SFD institutional and programme history.</x:v>
      </x:c>
      <x:c r="M36" s="28" t="str">
        <x:v>التاريخ المؤسسي والبرنامجي للصندوق الاجتماعي للتنمية.</x:v>
      </x:c>
      <x:c r="N36" s="24" t="str">
        <x:v>Dates taken from SFD's own historical material, a 2012 document hosted by SFD and a 2004 SFD newsletter, and ordered by date; each date is kept at the layer its source describes, and the two are not forced into agreement.</x:v>
      </x:c>
      <x:c r="O36"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6" s="24" t="str">
        <x:v>It does not establish one start date for Yemeni microfinance as a whole.</x:v>
      </x:c>
      <x:c r="Q36" s="28" t="str">
        <x:v>لا يثبت هذا الدليل تاريخًا واحدًا لنشأة التمويل الأصغر في اليمن ككل.</x:v>
      </x:c>
      <x:c r="R36" s="24" t="str">
        <x:v>This record describes historical milestones in 1997 and 1998. It holds no later observation and does not describe the sector today.</x:v>
      </x:c>
      <x:c r="S36" s="28" t="str">
        <x:v>يصف هذا السجل محطتين تاريخيتين في عامي 1997 و1998، ولا يتضمن مشاهدة لاحقة، ولا يصف وضع القطاع اليوم.</x:v>
      </x:c>
      <x:c r="T36" s="24" t="str">
        <x:v>This record is updated when an authoritative source is revised or replaced, a newer comparable observation becomes available, the definition, population or method changes, or the conditions for public use change.</x:v>
      </x:c>
      <x:c r="U3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SRC-SFD-MF-HISTORY-TOR-2012-001; SRC-SFD-HIST-2004-Q3-001</x:v>
      </x:c>
      <x:c r="Y36" s="24" t="str">
        <x:v>[{"source_id":"SRC-SFD-MF-HISTORY-TOR-2012-001","url":"https://www.sfd-yemen.org/uploads/issues/Microfinance%20Islamic%20Products%20Study%28TOR%29-20130109-132034.pdf","audit_state":"PASS_AUTHORITY_OR_PROVIDER_LOCATOR"},{"source_id":"SRC-SFD-HIST-2004-Q3-001","url":"https://www.sfd-yemen.org/uploads/issues/Newsletter-2004-Q3-20120331-111302.pdf","audit_state":"PASS_AUTHORITY_OR_PROVIDER_LOCATOR"}]</x:v>
      </x:c>
      <x:c r="Z36" t="str">
        <x:v>BOUND_EXACT</x:v>
      </x:c>
    </x:row>
    <x:row r="37">
      <x:c r="A37" s="24" t="str">
        <x:v>CLM-013</x:v>
      </x:c>
      <x:c r="B37" s="24" t="str">
        <x:v>CLAIM</x:v>
      </x:c>
      <x:c r="C37" s="24" t="str">
        <x:v>/people/ | /reforms/</x:v>
      </x:c>
      <x:c r="D37" s="24" t="str">
        <x:v>Financial-literacy activity does not establish capability outcomes</x:v>
      </x:c>
      <x:c r="E37" s="28" t="str">
        <x:v>أنشطة الثقافة المالية لا تثبت نتائج في القدرات المالية</x:v>
      </x:c>
      <x:c r="F37"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7"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فعالية البرنامج.</x:v>
      </x:c>
      <x:c r="H37" s="24" t="str">
        <x:v>Two separate measures: the OECD/INFE 2023 financial-literacy and financial well-being scores (out of 100) for the Yemen sample, and records of Global Money Week financial-literacy activities from March 2023 to March 2025.</x:v>
      </x:c>
      <x:c r="I37"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7" s="24" t="str">
        <x:v>OECD/INFE 2023 survey; CBY-Aden programme activity, March 2023 to March 2025</x:v>
      </x:c>
      <x:c r="K37" s="28" t="str">
        <x:v>مسح OECD/INFE لعام 2023؛ وأنشطة البنك المركزي اليمني – عدن من مارس 2023 إلى مارس 2025</x:v>
      </x:c>
      <x:c r="L37" s="24" t="str">
        <x:v>Two separate evidence universes: the Yemen sample in the OECD/INFE 2023 adult financial-literacy survey, and source-stated Global Money Week audiences and participating bodies; not one combined population.</x:v>
      </x:c>
      <x:c r="M37"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7"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7"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7"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7" s="28" t="str">
        <x:v>لا تمثل نتيجتا مسح OECD/INFE، أي 15 من 100 في الرفاه المالي و42 من 100 في الثقافة المالية، نتاجًا لأنشطة الأسبوع العالمي للمال. ولا تثبت هذه الأدلة فعالية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7" s="24" t="str">
        <x:v>The capability scores are from the OECD/INFE 2023 survey; the programme-activity record currently extends through March 2025. Neither is a 2026 capability outcome.</x:v>
      </x:c>
      <x:c r="S37" s="28" t="str">
        <x:v>تعود نتائج القدرات إلى مسح OECD/INFE لعام 2023، وتمتد سجلات نشاط البرنامج المتاحة حاليًا حتى مارس 2025. ولا يمثل أي منهما نتيجة لقدرات السكان في 2026.</x:v>
      </x:c>
      <x:c r="T37" s="24" t="str">
        <x:v>This record is updated when a newer comparable population measure of financial capability, a programme evaluation or a correction to the source evidence is published.</x:v>
      </x:c>
      <x:c r="U37" s="28" t="str">
        <x:v>يُحدَّث هذا السجل عند توفر قياس سكاني أحدث قابل للمقارنة للقدرات، أو تقييم للبرنامج، أو تصحيح في أدلة المصدر.</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SRC-CBY-GMW-2023-001; SRC-CBY-GMW-2024-001; SRC-CBY-GMW-2025-001; SRC-OECD-INFE-2023</x:v>
      </x:c>
      <x:c r="Y37"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7" t="str">
        <x:v>BOUND_EXACT</x:v>
      </x:c>
    </x:row>
    <x:row r="38">
      <x:c r="A38" s="24" t="str">
        <x:v>CLM-023</x:v>
      </x:c>
      <x:c r="B38" s="24" t="str">
        <x:v>CLAIM</x:v>
      </x:c>
      <x:c r="C38" s="24" t="str">
        <x:v>/methodology/ | /people/</x:v>
      </x:c>
      <x:c r="D38" s="24" t="str">
        <x:v>What the Yemen Findex 2021 study contains</x:v>
      </x:c>
      <x:c r="E38" s="28" t="str">
        <x:v>ما تتضمنه دراسة Findex 2021 الخاصة باليمن</x:v>
      </x:c>
      <x:c r="F38" s="24" t="str">
        <x:v>The Yemen Global Findex 2021 study file has 1,000 respondents and 113 variables; Yemen fieldwork ran from 7 November 2022 to 9 January 2023 and all population estimates require survey weights.</x:v>
      </x:c>
      <x:c r="G38"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8" s="24" t="str">
        <x:v>This record describes the Yemen Findex 2021 study file (1,000 respondents, 113 variables, survey weights, documented coverage and fieldwork from 7 November 2022 to 9 January 2023); it reports no population value.</x:v>
      </x:c>
      <x:c r="I38"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8" s="24" t="str">
        <x:v>Global Findex 2021 wave; Yemen fieldwork 7 November 2022 to 9 January 2023.</x:v>
      </x:c>
      <x:c r="K38" s="28" t="str">
        <x:v>موجة Global Findex 2021؛ ونُفذ العمل الميداني في اليمن من 7 نوفمبر 2022 إلى 9 يناير 2023.</x:v>
      </x:c>
      <x:c r="L38" s="24" t="str">
        <x:v>The Yemen Findex study file contains 1,000 respondents and 113 variables; population inference applies only through the survey design, weights and documented coverage.</x:v>
      </x:c>
      <x:c r="M38" s="28" t="str">
        <x:v>يضم ملف دراسة Findex لليمن 1,000 مستجيب و113 متغيرًا؛ ولا تُستنتج نتائج سكانية إلا باستخدام تصميم المسح وأوزانه وتغطيته الموثقة.</x:v>
      </x:c>
      <x:c r="N38" s="24" t="str">
        <x:v>Taken from the World Bank study metadata for the Yemen Findex 2021 file, including its variable documentation. Population estimates are produced only with the survey weights; raw case percentages are not population estimates.</x:v>
      </x:c>
      <x:c r="O38"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8" s="24" t="str">
        <x:v>Raw case percentages in the study documentation are not population estimates.</x:v>
      </x:c>
      <x:c r="Q38" s="28" t="str">
        <x:v>نسب الحالات الخام الواردة في توثيق الدراسة ليست تقديرات سكانية.</x:v>
      </x:c>
      <x:c r="R38" s="24" t="str">
        <x:v>This description applies to the Findex 2021 study of Yemen, with fieldwork from 7 November 2022 to 9 January 2023. It changes only if the World Bank revises the study documentation or file, or a newer Yemen wave is published.</x:v>
      </x:c>
      <x:c r="S38"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[{"source_id":"SRC-WB-FINDEX-001","url":"https://microdata.worldbank.org/catalog/5862","audit_state":"PASS_AUTHORITY_OR_PROVIDER_LOCATOR"}]</x:v>
      </x:c>
      <x:c r="Z38" t="str">
        <x:v>BOUND_EXACT</x:v>
      </x:c>
    </x:row>
    <x:row r="39">
      <x:c r="A39" s="24" t="str">
        <x:v>CLM-024</x:v>
      </x:c>
      <x:c r="B39" s="24" t="str">
        <x:v>CLAIM</x:v>
      </x:c>
      <x:c r="C39" s="24" t="str">
        <x:v>/methodology/ | /evidence/</x:v>
      </x:c>
      <x:c r="D39" s="24" t="str">
        <x:v>Raw case shares are not population estimates</x:v>
      </x:c>
      <x:c r="E39" s="28" t="str">
        <x:v>نسب الحالات الخام ليست تقديرات للسكان</x:v>
      </x:c>
      <x:c r="F39" s="24" t="str">
        <x:v>World Bank variable pages expose raw sample case counts and percentages for the Yemen Findex file, but explicitly warn that those figures cannot be interpreted as summary statistics of the population of interest.</x:v>
      </x:c>
      <x:c r="G39"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9" s="24" t="str">
        <x:v>This record sets out a measurement rule for the Yemen Findex 2021 file: the unweighted counts and percentages of respondents shown on World Bank variable pages describe the sample, not the adult population; it reports no value.</x:v>
      </x:c>
      <x:c r="I39"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9" s="24" t="str">
        <x:v>World Bank variable pages for the Global Findex 2021 Yemen microdata; Yemen fieldwork 2022–2023.</x:v>
      </x:c>
      <x:c r="K39" s="28" t="str">
        <x:v>صفحات المتغيرات لدى البنك الدولي لملف البيانات الجزئية Findex 2021 الخاص باليمن؛ والعمل الميداني في 2022–2023.</x:v>
      </x:c>
      <x:c r="L39" s="24" t="str">
        <x:v>Raw respondent cases displayed on World Bank variable pages; these are unweighted sample cases, not the population of Yemen.</x:v>
      </x:c>
      <x:c r="M39" s="28" t="str">
        <x:v>الحالات الخام للمستجيبين كما تظهر في صفحات المتغيرات لدى البنك الدولي؛ وهي حالات عينة غير موزونة وليست سكان اليمن.</x:v>
      </x:c>
      <x:c r="N39"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9"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9" s="24" t="str">
        <x:v>The raw, unweighted case percentages shown on the World Bank variable pages are not estimates for Yemen's adult population and are not reported in this resource.</x:v>
      </x:c>
      <x:c r="Q39" s="28" t="str">
        <x:v>نسب الحالات الخام غير الموزونة الظاهرة في صفحات المتغيرات لدى البنك الدولي ليست تقديرات لسكان اليمن البالغين، ولا تُعرض في هذا المورد.</x:v>
      </x:c>
      <x:c r="R39" s="24" t="str">
        <x:v>This rule applies to the World Bank variable pages for the Yemen Findex 2021 file as currently published, and holds until a revised file version or weighted population estimates are published.</x:v>
      </x:c>
      <x:c r="S39"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x:v>
      </x:c>
      <x:c r="Z39" t="str">
        <x:v>BOUND_EXACT</x:v>
      </x:c>
    </x:row>
    <x:row r="40">
      <x:c r="A40" s="24" t="str">
        <x:v>CLM-025</x:v>
      </x:c>
      <x:c r="B40" s="24" t="str">
        <x:v>CLAIM</x:v>
      </x:c>
      <x:c r="C40" s="24" t="str">
        <x:v>/people/ | /methodology/</x:v>
      </x:c>
      <x:c r="D40" s="24" t="str">
        <x:v>Geographic coverage limits of the latest Findex wave</x:v>
      </x:c>
      <x:c r="E40" s="28" t="str">
        <x:v>حدود التغطية الجغرافية لأحدث موجة من Findex</x:v>
      </x:c>
      <x:c r="F40"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40"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40" s="24" t="str">
        <x:v>A documented limitation on the geographic coverage of the latest Yemen Findex observation.</x:v>
      </x:c>
      <x:c r="I40" s="28" t="str">
        <x:v>قيد موثق على التغطية الجغرافية لأحدث مشاهدة متاحة لليمن في Findex.</x:v>
      </x:c>
      <x:c r="J40" s="24" t="str">
        <x:v>2021 Findex wave; Yemen fieldwork 2022-11-07 to 2023-01-09</x:v>
      </x:c>
      <x:c r="K40" s="28" t="str">
        <x:v>موجة Findex 2021؛ العمل الميداني في اليمن من 2022-11-07 إلى 2023-01-09</x:v>
      </x:c>
      <x:c r="L40" s="24" t="str">
        <x:v>The population of Yemen and the survey frame of the Findex 2021 study</x:v>
      </x:c>
      <x:c r="M40" s="28" t="str">
        <x:v>سكان اليمن وإطار المعاينة في دراسة Findex 2021</x:v>
      </x:c>
      <x:c r="N40" s="24" t="str">
        <x:v>World Bank study metadata for the Yemen Findex 2021 file</x:v>
      </x:c>
      <x:c r="O40" s="28" t="str">
        <x:v>البيانات الوصفية للدراسة لدى البنك الدولي لملف Findex 2021 الخاص باليمن</x:v>
      </x:c>
      <x:c r="P40" s="24" t="str">
        <x:v>The wave does not cover all of Yemen, and its results cannot be used to map financial inclusion by governorate. | The survey frame excludes areas holding about 23% of the population, and more than a quarter of primary sampling units were replaced.</x:v>
      </x:c>
      <x:c r="Q40"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40" s="24" t="str">
        <x:v>These coverage limits apply to the 2021 Findex wave, with Yemen fieldwork from 7 November 2022 to 9 January 2023, the latest wave available for Yemen. They describe that survey only, not any later one.</x:v>
      </x:c>
      <x:c r="S40"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x:v>
      </x:c>
      <x:c r="Y40" s="24" t="str">
        <x:v>[{"source_id":"SRC-WB-FINDEX-001","url":"https://microdata.worldbank.org/catalog/5862","audit_state":"PASS_AUTHORITY_OR_PROVIDER_LOCATOR"}]</x:v>
      </x:c>
      <x:c r="Z40" t="str">
        <x:v>BOUND_EXACT</x:v>
      </x:c>
    </x:row>
    <x:row r="41">
      <x:c r="A41" s="24" t="str">
        <x:v>CLM-026</x:v>
      </x:c>
      <x:c r="B41" s="24" t="str">
        <x:v>CLAIM</x:v>
      </x:c>
      <x:c r="C41" s="24" t="str">
        <x:v>/people/ | /methodology/</x:v>
      </x:c>
      <x:c r="D41" s="24" t="str">
        <x:v>Demand-side measures defined; custom estimates not yet published</x:v>
      </x:c>
      <x:c r="E41" s="28" t="str">
        <x:v>مقاييس جانب الطلب محددة، والتقديرات المخصصة لم تُنشر بعد</x:v>
      </x:c>
      <x:c r="F41"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1"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1" s="24" t="str">
        <x:v>This record describes a set of 32 defined people-side measures for the Yemen Findex 2021 study whose weighted estimates have not yet been produced; it reports no value.</x:v>
      </x:c>
      <x:c r="I41" s="28" t="str">
        <x:v>يصف هذا السجل مجموعة من 32 مقياسًا محددًا على جانب الأفراد لدراسة Findex 2021 الخاصة باليمن، لم تُنتج بعد تقديراتها الموزونة، ولا يعرض أي قيمة.</x:v>
      </x:c>
      <x:c r="J41" s="24" t="str">
        <x:v>Current demand-side specification for the Yemen Findex 2021 study; custom weighted estimates are not yet public.</x:v>
      </x:c>
      <x:c r="K41" s="28" t="str">
        <x:v>المواصفة الحالية لمقاييس جانب الطلب في دراسة اليمن ضمن Findex 2021؛ ولم تُنشر بعد التقديرات الموزونة المخصصة.</x:v>
      </x:c>
      <x:c r="L41" s="24" t="str">
        <x:v>A pre-specified 32-metric panel to be estimated from authorized respondent-level data using the survey weights; metric definitions exist, while the custom estimates still require computation and validation.</x:v>
      </x:c>
      <x:c r="M41"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1" s="24" t="str">
        <x:v>The variables, definitions and derivations were specified in advance. Numeric estimates are published only after authorized respondent-level data are available, the correct survey weights are applied and the official benchmark values are reproduced.</x:v>
      </x:c>
      <x:c r="O41"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1" s="24" t="str">
        <x:v>The 32 specified measures are planned, not measured: none is yet a published indicator, because the weighted estimates have not been reproduced and checked against official benchmarks.</x:v>
      </x:c>
      <x:c r="Q41"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1" s="24" t="str">
        <x:v>The panel specification applies to the Yemen Findex 2021 study. Numeric estimates remain unpublished until the weighted calculations are reproduced and validated; a newer wave would require an updated panel.</x:v>
      </x:c>
      <x:c r="S41"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 SRC-WB-FINDEX-AGG-2022</x:v>
      </x:c>
      <x:c r="Y41" s="24" t="str">
        <x:v>[]</x:v>
      </x:c>
      <x:c r="Z41" t="str">
        <x:v>BOUND_EXACT</x:v>
      </x:c>
    </x:row>
    <x:row r="42">
      <x:c r="A42" s="24" t="str">
        <x:v>VIS-FINDEX-SAMPLE-SUPPORT</x:v>
      </x:c>
      <x:c r="B42" s="24" t="str">
        <x:v>VISUAL</x:v>
      </x:c>
      <x:c r="C42" s="24" t="str">
        <x:v>/methodology/ | /evidence/</x:v>
      </x:c>
      <x:c r="D42" s="24" t="str">
        <x:v>How many respondents answered each Findex question</x:v>
      </x:c>
      <x:c r="E42" s="28" t="str">
        <x:v>عدد المستجيبين عن كل سؤال في مسح Findex</x:v>
      </x:c>
      <x:c r="F42"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2"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2" s="24" t="str">
        <x:v>Counts of respondents in the Yemen Findex 2021 sample who gave valid, missing or invalid answers to each question, and the sub-group each question applies to; these describe the sample, not the adult population.</x:v>
      </x:c>
      <x:c r="I42"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2" s="24" t="str">
        <x:v>2021 Findex wave; Yemen fieldwork November 2022 to January 2023</x:v>
      </x:c>
      <x:c r="K42" s="28" t="str">
        <x:v>موجة Findex 2021؛ العمل الميداني في اليمن من نوفمبر 2022 إلى يناير 2023</x:v>
      </x:c>
      <x:c r="L42" s="24" t="str">
        <x:v>Valid, missing or invalid responses and the sub-group asked each question in the Findex data examined; information describing the sample, not population estimates.</x:v>
      </x:c>
      <x:c r="M42"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2" s="24" t="str">
        <x:v>Counts come from the World Bank study metadata for the Yemen Findex 2021 file (1,000 respondents), which records valid and missing or invalid cases for each variable and the sub-group asked each question.</x:v>
      </x:c>
      <x:c r="O42"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2" s="24" t="str">
        <x:v>Raw case percentages are not population prevalence rates, and indicators are not ranked by them.</x:v>
      </x:c>
      <x:c r="Q42" s="28" t="str">
        <x:v>نسب الحالات الخام ليست معدلات انتشار بين السكان، ولا تُرتَّب المؤشرات بحسبها.</x:v>
      </x:c>
      <x:c r="R42" s="24" t="str">
        <x:v>No values are shown yet. When they are produced, they will refer to the 2021 Findex wave, with Yemen fieldwork from November 2022 to January 2023, the latest wave available for Yemen.</x:v>
      </x:c>
      <x:c r="S42" s="28" t="str">
        <x:v>لا تُعرض أي قيم بعد. وعند إنتاجها ستعود إلى موجة Findex 2021، التي نُفذ عملها الميداني في اليمن من نوفمبر 2022 إلى يناير 2023، وهي أحدث موجة متاحة لليمن.</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VIS-FINDEX-ACCESS-USE</x:v>
      </x:c>
      <x:c r="B43" s="24" t="str">
        <x:v>VISUAL</x:v>
      </x:c>
      <x:c r="C43" s="24" t="str">
        <x:v>/people/</x:v>
      </x:c>
      <x:c r="D43" s="24" t="str">
        <x:v>Account ownership, account use and digital use: three separate measures</x:v>
      </x:c>
      <x:c r="E43" s="28" t="str">
        <x:v>امتلاك الحساب واستخدامه والاستخدام الرقمي: ثلاثة مقاييس منفصلة</x:v>
      </x:c>
      <x:c r="F43" s="24" t="str">
        <x:v>In the 2021 Global Findex wave for Yemen (fieldwork November 2022 –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3" s="28" t="str">
        <x:v>في موجة 2021 من المؤشر العالمي للشمول المالي (Global Findex) الخاصة باليمن (العمل الميداني من نوفمبر 2022 إلى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3" s="24" t="str">
        <x:v>Three separate Findex measures for adults aged 15 and over in the areas the survey covered in the 2021 wave: account ownership, account use and digital use, each with its own population base; only account ownership has a published value.</x:v>
      </x:c>
      <x:c r="I43"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3" s="24" t="str">
        <x:v>2021 wave / Yemen fieldwork 2022-11 to 2023-01</x:v>
      </x:c>
      <x:c r="K43" s="28" t="str">
        <x:v>موجة 2021 / العمل الميداني في اليمن من 2022-11 إلى 2023-01</x:v>
      </x:c>
      <x:c r="L43" s="24" t="str">
        <x:v>Findex account-ownership, account-use and digital-use indicators, each indicator with its own population and measurement base.</x:v>
      </x:c>
      <x:c r="M43" s="28" t="str">
        <x:v>مؤشرات امتلاك الحساب واستخدامه والاستخدام الرقمي في Findex، مع مجتمع وقاعدة قياس منفصلين لكل مؤشر.</x:v>
      </x:c>
      <x:c r="N43" s="24" t="str">
        <x:v>Account ownership is the weighted estimate published by the World Bank for the 2021 wave (data year 2022). Account-use and digital-use estimates require weighted calculation from the respondent-level data, which has not yet been completed.</x:v>
      </x:c>
      <x:c r="O43"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3"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3"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3" s="24" t="str">
        <x:v>The ownership value refers to the 2021 Findex wave, reported by the World Bank for 2022, with Yemen fieldwork from November 2022 to January 2023; the Global Findex 2025 edition adds no newer Yemen observation. Account-use and digital-use values have not yet been produced.</x:v>
      </x:c>
      <x:c r="S43" s="28" t="str">
        <x:v>تعود قيمة امتلاك الحساب إلى موجة Findex 2021، التي نشر البنك الدولي قيمتها لسنة 2022، ونُفذ عملها الميداني في اليمن من نوفمبر 2022 إلى يناير 2023، ولا تضيف نسخة Global Findex 2025 مشاهدة أحدث لليمن. أما قيم استخدام الحساب والاستخدام الرقمي فلم تُنتج بعد.</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VIS-FINDEX-BARRIERS</x:v>
      </x:c>
      <x:c r="B44" s="24" t="str">
        <x:v>VISUAL</x:v>
      </x:c>
      <x:c r="C44" s="24" t="str">
        <x:v>/people/</x:v>
      </x:c>
      <x:c r="D44" s="24" t="str">
        <x:v>Reasons adults give for not having an account</x:v>
      </x:c>
      <x:c r="E44" s="28" t="str">
        <x:v>الأسباب التي يذكرها البالغون لعدم امتلاك حساب</x:v>
      </x:c>
      <x:c r="F44"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4"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4" s="24" t="str">
        <x:v>The reasons that adults aged 15 and over without an account, in the areas the survey covered, give for not having one, as asked in the Yemen Findex 2021 survey; no weighted values have yet been produced.</x:v>
      </x:c>
      <x:c r="I44"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Adults without an account, within the measurement base of the Findex barrier indicators.</x:v>
      </x:c>
      <x:c r="M44" s="28" t="str">
        <x:v>البالغون الذين لا يملكون حسابًا ضمن قاعدة الاحتساب الخاصة بمؤشرات العوائق في Findex.</x:v>
      </x:c>
      <x:c r="N44" s="24" t="str">
        <x:v>The estimates require weighted calculation from the respondent-level Findex 2021 data, with adults who do not have an account as the base; that calculation has not yet been completed.</x:v>
      </x:c>
      <x:c r="O44" s="28" t="str">
        <x:v>تتطلب التقديرات احتسابًا موزونًا من بيانات المستجيبين في مسح Findex 2021، على أساس البالغين الذين لا يملكون حسابًا؛ ولم يُستكمل هذا الاحتساب بعد.</x:v>
      </x:c>
      <x:c r="P44" s="24" t="str">
        <x:v>Raw case percentages from the study documentation describe the sample, not the weighted population. A reason that adults give for not having an account does not establish that it is what keeps them without one.</x:v>
      </x:c>
      <x:c r="Q44"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4" s="24" t="str">
        <x:v>No values are shown yet. When they are produced, they will refer to the 2021 Findex wave, with Yemen fieldwork from November 2022 to January 2023, the latest wave available for Yemen.</x:v>
      </x:c>
      <x:c r="S44" s="28" t="str">
        <x:v>لا تُعرض أي قيم بعد. وعند إنتاجها ستعود إلى موجة Findex 2021، التي نُفذ عملها الميداني في اليمن من نوفمبر 2022 إلى يناير 2023، وهي أحدث موجة متاحة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VIS-FINDEX-RESILIENCE</x:v>
      </x:c>
      <x:c r="B45" s="24" t="str">
        <x:v>VISUAL</x:v>
      </x:c>
      <x:c r="C45" s="24" t="str">
        <x:v>/people/</x:v>
      </x:c>
      <x:c r="D45" s="24" t="str">
        <x:v>Can an adult raise emergency funds — in 7 days versus 30?</x:v>
      </x:c>
      <x:c r="E45" s="28" t="str">
        <x:v>هل يستطيع البالغ تدبير أموال للطوارئ خلال 7 أيام مقارنة بـ30 يومًا؟</x:v>
      </x:c>
      <x:c r="F45"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5"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5" s="24" t="str">
        <x:v>Whether adults aged 15 and over in the areas the survey covered could raise emergency funds within 7 days or within 30 days, in the answer categories of the Yemen Findex 2021 survey; no weighted values have yet been produced.</x:v>
      </x:c>
      <x:c r="I45"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5" s="24" t="str">
        <x:v>2021 Findex wave; Yemen fieldwork November 2022 to January 2023</x:v>
      </x:c>
      <x:c r="K45" s="28" t="str">
        <x:v>موجة Findex 2021؛ العمل الميداني في اليمن من نوفمبر 2022 إلى يناير 2023</x:v>
      </x:c>
      <x:c r="L45" s="24" t="str">
        <x:v>The populations and categories defined by the Findex questions on raising money and financial resilience, with the measurement base and missing answers kept for each question.</x:v>
      </x:c>
      <x:c r="M45" s="28" t="str">
        <x:v>المجتمعات والفئات التي تعرفها أسئلة القدرة على تدبير المال والصمود المالي في Findex، مع الحفاظ على قاعدة الاحتساب والإجابات المفقودة لكل سؤال.</x:v>
      </x:c>
      <x:c r="N45" s="24" t="str">
        <x:v>The estimates require weighted calculation from the respondent-level Findex 2021 data, keeping the source's answer categories, the inability to raise money, the population base and missing answers; that calculation has not yet been completed.</x:v>
      </x:c>
      <x:c r="O45"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5" s="24" t="str">
        <x:v>The ordered answer categories do not form a resilience score, and no separately approved method for combining them is used here.</x:v>
      </x:c>
      <x:c r="Q45" s="28" t="str">
        <x:v>لا تشكل فئات الإجابة الترتيبية درجة مركبة للصمود، ولا تُستخدم هنا طريقة معتمدة مستقلة لدمجها.</x:v>
      </x:c>
      <x:c r="R45" s="24" t="str">
        <x:v>No values are shown yet. When they are produced, they will refer to the 2021 Findex wave, with Yemen fieldwork from November 2022 to January 2023, the latest wave available for Yemen.</x:v>
      </x:c>
      <x:c r="S45" s="28" t="str">
        <x:v>لا تُعرض أي قيم بعد. وعند إنتاجها ستعود إلى موجة Findex 2021، التي نُفذ عملها الميداني في اليمن من نوفمبر 2022 إلى يناير 2023، وهي أحدث موجة متاحة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VIS-FINDEX-FLOW-CHANNELS</x:v>
      </x:c>
      <x:c r="B46" s="24" t="str">
        <x:v>VISUAL</x:v>
      </x:c>
      <x:c r="C46" s="24" t="str">
        <x:v>/people/ | /remittances/</x:v>
      </x:c>
      <x:c r="D46" s="24" t="str">
        <x:v>How money reaches people — wages, government transfers, agricultural payments and domestic remittances</x:v>
      </x:c>
      <x:c r="E46" s="28" t="str">
        <x:v>كيف تصل الأموال إلى الأفراد: الأجور والتحويلات الحكومية والمدفوعات الزراعية والحوالات المحلية</x:v>
      </x:c>
      <x:c r="F46"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6" s="28" t="str">
        <x:v>لم تُنتج بعد تقديرات موزونة لموجة 2021 عن كيفية تلقي البالغين للأجور والتحويلات النقدية الحكومية ومدفوعات الزراعة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6"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6" s="28" t="str">
        <x:v>القنوات التي تلقى عبرها البالغون بعمر 15 سنة فأكثر، في المناطق التي شملها المسح، أجورهم أو تحويلاتهم النقدية الحكومية أو مدفوعاتهم الزراعية أو حوالاتهم المحلية، بين من تلقوا كلًّا منها، كما وردت في مسح Findex 2021 لليمن؛ ولم تُنتج بعد قيم موزونة لها.</x:v>
      </x:c>
      <x:c r="J46" s="24" t="str">
        <x:v>2021 wave / Yemen fieldwork 2022-23</x:v>
      </x:c>
      <x:c r="K46" s="28" t="str">
        <x:v>موجة 2021 / العمل الميداني في اليمن 2022–2023</x:v>
      </x:c>
      <x:c r="L46" s="24" t="str">
        <x:v>Adults who received wages, government transfers, agricultural payments or remittances, each group taken separately in Findex; not shares of all adults unless the source says so.</x:v>
      </x:c>
      <x:c r="M46"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x:v>
      </x:c>
      <x:c r="N46"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6"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6" s="24" t="str">
        <x:v>Channel shares among recipients are not shares of all adults, and they do not measure programme outcomes or remittance volumes for the economy as a whole.</x:v>
      </x:c>
      <x:c r="Q46" s="28" t="str">
        <x:v>حصص القنوات بين المتلقين ليست نسبًا من جميع البالغين، ولا تقيس نتائج البرامج ولا حجم التحويلات على المستوى الكلي.</x:v>
      </x:c>
      <x:c r="R46" s="24" t="str">
        <x:v>No values are shown yet. When they are produced, they will refer to the 2021 Findex wave, with Yemen fieldwork from November 2022 to January 2023, the latest wave available for Yemen.</x:v>
      </x:c>
      <x:c r="S46" s="28" t="str">
        <x:v>لا تُعرض أي قيم بعد. وعند إنتاجها ستعود إلى موجة Findex 2021، التي نُفذ عملها الميداني في اليمن من نوفمبر 2022 إلى يناير 2023، وهي أحدث موجة متاحة لليمن.</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SRC-WB-FINDEX-001</x:v>
      </x:c>
      <x:c r="Y46" s="24" t="str">
        <x:v>[]</x:v>
      </x:c>
      <x:c r="Z46" t="str">
        <x:v>BOUND_EXACT</x:v>
      </x:c>
      <x:c r="AA46" t="str">
        <x:v>NO_GOVERNED_CONTRACT__TABLE_ONLY</x:v>
      </x:c>
    </x:row>
    <x:row r="47">
      <x:c r="A47" s="24" t="str">
        <x:v>CLM-027</x:v>
      </x:c>
      <x:c r="B47" s="24" t="str">
        <x:v>CLAIM</x:v>
      </x:c>
      <x:c r="C47" s="24" t="str">
        <x:v>/people/</x:v>
      </x:c>
      <x:c r="D47" s="24" t="str">
        <x:v>Three observed survey waves, not an annual series</x:v>
      </x:c>
      <x:c r="E47" s="28" t="str">
        <x:v>ثلاث موجات مسحية مرصودة، لا سلسلة سنوية</x:v>
      </x:c>
      <x:c r="F47"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7"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7" s="24" t="str">
        <x:v>Account ownership among adults aged 15 and over in Yemen, as published by the World Bank for three separate survey waves (2011, 2014 and 2022); the three values do not form an annual series.</x:v>
      </x:c>
      <x:c r="I47"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7" s="24" t="str">
        <x:v>2011 / 2014 / 2022</x:v>
      </x:c>
      <x:c r="K47" s="28" t="str">
        <x:v>2011 / 2014 / 2022</x:v>
      </x:c>
      <x:c r="L47" s="24" t="str">
        <x:v>Adults 15+ under each source wave's survey coverage</x:v>
      </x:c>
      <x:c r="M47" s="28" t="str">
        <x:v>الأشخاص بعمر 15 سنة فأكثر ضمن التغطية الخاصة بكل موجة مسحية.</x:v>
      </x:c>
      <x:c r="N47" s="24" t="str">
        <x:v>Official weighted public aggregates; no annual interpolation</x:v>
      </x:c>
      <x:c r="O47" s="28" t="str">
        <x:v>إجماليات عامة موزونة ورسمية؛ من دون استيفاء سنوي بين الموجات.</x:v>
      </x:c>
      <x:c r="P47"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in November 2022 to January 2023 that excluded areas holding about 23% of the population.</x:v>
      </x:c>
      <x:c r="Q47"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بين نوفمبر 2022 ويناير 2023 واستبعد مناطق يقطنها نحو 23% من السكان.</x:v>
      </x:c>
      <x:c r="R47" s="24" t="str">
        <x:v>The latest of the three waves is the 2021 Findex wave, reported by the World Bank for 2022 (Yemen fieldwork November 2022 – January 2023); the Global Findex 2025 edition adds no newer Yemen observation. The series should not be read as describing any later year.</x:v>
      </x:c>
      <x:c r="S47" s="28" t="str">
        <x:v>أحدث الموجات الثلاث هي موجة Findex 2021، التي نشر البنك الدولي قيمتها لسنة 2022 (العمل الميداني في اليمن من نوفمبر 2022 إلى يناير 2023)، ولا تضيف نسخة Global Findex 2025 مشاهدة أحدث لليمن. ولا تُقرأ هذه القيم على أنها تصف أي سنة لاحقة.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 SRC-WB-FINDEX-AGG-2022</x:v>
      </x:c>
      <x:c r="Y47" s="24" t="str">
        <x:v>[]</x:v>
      </x:c>
      <x:c r="Z47" t="str">
        <x:v>BOUND_EXACT</x:v>
      </x:c>
    </x:row>
    <x:row r="48">
      <x:c r="A48" s="24" t="str">
        <x:v>CLM-028</x:v>
      </x:c>
      <x:c r="B48" s="24" t="str">
        <x:v>CLAIM</x:v>
      </x:c>
      <x:c r="C48" s="24" t="str">
        <x:v>/people/</x:v>
      </x:c>
      <x:c r="D48" s="24" t="str">
        <x:v>Historical borrowing patterns in 2014</x:v>
      </x:c>
      <x:c r="E48" s="28" t="str">
        <x:v>أنماط اقتراض تاريخية في 2014</x:v>
      </x:c>
      <x:c r="F48" s="24" t="str">
        <x:v>In the 2014 World Bank weighted country profile, 65.9% of adults reported borrowing any money, while 51.7% reported borrowing from family or friends, 15.0% from a private informal lender and 0.4% from a financial institution.</x:v>
      </x:c>
      <x:c r="G48"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8" s="24" t="str">
        <x:v>Shares of adults aged 15 and over who reported borrowing any money, or borrowing from particular sources, as published in the World Bank's 2014 weighted country profile for Yemen.</x:v>
      </x:c>
      <x:c r="I48"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8"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CLM-029</x:v>
      </x:c>
      <x:c r="B49" s="24" t="str">
        <x:v>CLAIM</x:v>
      </x:c>
      <x:c r="C49" s="24" t="str">
        <x:v>/people/</x:v>
      </x:c>
      <x:c r="D49" s="24" t="str">
        <x:v>Historical saving patterns in 2014</x:v>
      </x:c>
      <x:c r="E49" s="28" t="str">
        <x:v>أنماط ادخار تاريخية في 2014</x:v>
      </x:c>
      <x:c r="F49" s="24" t="str">
        <x:v>In the 2014 World Bank weighted country profile, 20.6% of adults reported saving any money, compared with 0.9% reporting saving at a financial institution and 4.5% using a savings club or person outside the family.</x:v>
      </x:c>
      <x:c r="G49"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9" s="24" t="str">
        <x:v>Shares of adults aged 15 and over who reported saving any money, or saving in particular ways, as published in the World Bank's 2014 weighted country profile for Yemen.</x:v>
      </x:c>
      <x:c r="I49"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9"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CLM-030</x:v>
      </x:c>
      <x:c r="B50" s="24" t="str">
        <x:v>CLAIM</x:v>
      </x:c>
      <x:c r="C50" s="24" t="str">
        <x:v>/people/ | /remittances/</x:v>
      </x:c>
      <x:c r="D50" s="24" t="str">
        <x:v>Domestic-remittance pathways in 2014</x:v>
      </x:c>
      <x:c r="E50" s="28" t="str">
        <x:v>مسارات الحوالات المحلية في 2014</x:v>
      </x:c>
      <x:c r="F50" s="24" t="str">
        <x:v>The 2014 World Bank weighted country profile reports 18.3% of adults receiving domestic remittances. Among recipients, 31.1% received via a money transfer operator, 2.0% via a financial institution and 0.0% via mobile phone in that source profile.</x:v>
      </x:c>
      <x:c r="G50"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50"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50"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50" s="24" t="str">
        <x:v>2014</x:v>
      </x:c>
      <x:c r="K50" s="28" t="str">
        <x:v>2014</x:v>
      </x:c>
      <x:c r="L50" s="24" t="str">
        <x:v>Civilian non-institutionalized population age 15+; some channel measures use sender, recipient or account-holder sub-groups</x:v>
      </x:c>
      <x:c r="M50" s="28" t="str">
        <x:v>السكان المدنيون بعمر 15 سنة فأكثر من غير نزلاء المؤسسات؛ وبعض مؤشرات القنوات تستخدم مجتمعات فرعية من المرسلين أو المستلمين أو أصحاب الحسابات.</x:v>
      </x:c>
      <x:c r="N50" s="24" t="str">
        <x:v>Official weighted public country-profile aggregates</x:v>
      </x:c>
      <x:c r="O50" s="28" t="str">
        <x:v>إجماليات موزونة منشورة رسميًا في ملف الدولة.</x:v>
      </x:c>
      <x:c r="P50"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50"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50"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0"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record is drawn from the source(s) listed on this page. Open a source record to reach the original document, and check that the definition, period, population and geography match what is stated here.</x:v>
      </x:c>
      <x:c r="W5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0" s="24" t="str">
        <x:v>SRC-WB-FINDEX-LDB-2015-001</x:v>
      </x:c>
      <x:c r="Y50" s="24" t="str">
        <x:v>[]</x:v>
      </x:c>
      <x:c r="Z50" t="str">
        <x:v>BOUND_EXACT</x:v>
      </x:c>
    </x:row>
    <x:row r="51">
      <x:c r="A51" s="24" t="str">
        <x:v>CLM-031</x:v>
      </x:c>
      <x:c r="B51" s="24" t="str">
        <x:v>CLAIM</x:v>
      </x:c>
      <x:c r="C51" s="24" t="str">
        <x:v>/people/ | /evidence/</x:v>
      </x:c>
      <x:c r="D51" s="24" t="str">
        <x:v>There is no single latest year for all people-side evidence</x:v>
      </x:c>
      <x:c r="E51" s="28" t="str">
        <x:v>لا توجد سنة واحدة هي الأحدث لكل أدلة الأفراد</x:v>
      </x:c>
      <x:c r="F51"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1"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1" s="24" t="str">
        <x:v>An evidence-timing comparison showing that different people-side measures have different latest observation dates.</x:v>
      </x:c>
      <x:c r="I51" s="28" t="str">
        <x:v>مقارنة في توقيت الأدلة توضح أن مقاييس جانب الأفراد لا تشترك جميعها في أحدث سنة قياس واحدة.</x:v>
      </x:c>
      <x:c r="J51" s="24" t="str">
        <x:v>Function-specific people-side evidence: weighted public evidence on financial behaviour centered on 2014, with the latest verified account-ownership value from the Findex 2021 wave and Yemen fieldwork in 2022–2023.</x:v>
      </x:c>
      <x:c r="K51"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1" s="24" t="str">
        <x:v>People-side evidence by financial function; each function keeps its own survey wave, population base, denominator and publication status.</x:v>
      </x:c>
      <x:c r="M51" s="28" t="str">
        <x:v>أدلة تخص الأشخاص بحسب الوظيفة المالية، مع احتفاظ كل وظيفة بموجة المسح ومجتمع القياس وقاعدة الاحتساب وحالة النشر الخاصة بها.</x:v>
      </x:c>
      <x:c r="N51"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1"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1" s="24" t="str">
        <x:v>The 2014 behaviour values do not describe current behaviour, and raw case percentages from the 2021 wave are not a substitute for weighted population estimates.</x:v>
      </x:c>
      <x:c r="Q51" s="28" t="str">
        <x:v>لا تصف قيم السلوك لعام 2014 السلوك الحالي، ولا تُعد نسب الحالات الخام في موجة 2021 بديلًا عن التقديرات السكانية الموزونة.</x:v>
      </x:c>
      <x:c r="R51" s="24" t="str">
        <x:v>Each function has its own latest observation: account ownership refers to the 2021 Findex wave, with Yemen fieldwork from November 2022 to January 2023; account use, saving, borrowing and domestic remittances refer to 2014. Each is updated separately when newer comparable evidence is published.</x:v>
      </x:c>
      <x:c r="S51" s="28" t="str">
        <x:v>لكل وظيفة أحدث مشاهدة خاصة بها: يعود امتلاك الحساب إلى موجة Findex 2021، التي نُفذ عملها الميداني في اليمن من نوفمبر 2022 إلى يناير 2023، ويعود استخدام الحساب والادخار والاقتراض والحوالات المحلية إلى 2014. ويُحدَّث كل منها على حدة عند نشر دليل أحدث قابل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view assembles other evidence records. Check each linked record against its own source.</x:v>
      </x:c>
      <x:c r="W51" s="28" t="str">
        <x:v>يجمع هذا العرض سجلات أدلة أخرى، فطابِق كل سجل مرتبط مع مصدره.</x:v>
      </x:c>
      <x:c r="X51" s="24" t="str">
        <x:v>CLM-001; CLM-027; CLM-028; CLM-029; CLM-030</x:v>
      </x:c>
      <x:c r="Y51" s="24" t="str">
        <x:v>[]</x:v>
      </x:c>
      <x:c r="Z51" t="str">
        <x:v>COMPOSITE_OF_OBJECTS</x:v>
      </x:c>
    </x:row>
    <x:row r="52">
      <x:c r="A52" s="24" t="str">
        <x:v>VIS-FINDEX-OBSERVED-WAVES</x:v>
      </x:c>
      <x:c r="B52" s="24" t="str">
        <x:v>VISUAL</x:v>
      </x:c>
      <x:c r="C52" s="24" t="str">
        <x:v>/people/</x:v>
      </x:c>
      <x:c r="D52" s="24" t="str">
        <x:v>Account ownership — observed waves, not an annual line</x:v>
      </x:c>
      <x:c r="E52" s="28" t="str">
        <x:v>امتلاك الحساب في موجات Findex المرصودة لليمن، لا سلسلة سنوية</x:v>
      </x:c>
      <x:c r="F52" s="24" t="str">
        <x:v>The World Bank has published three observations of account ownership for Yemen: 3.7% in 2011 (accounts at financial institutions only), 6.4% in 2014 and 11.9% in the 2021 Findex wave, reported for 2022 from fieldwork in November 2022 to January 2023 that excluded areas holding about 23% of the population. The years between these waves were not observed.</x:v>
      </x:c>
      <x:c r="G52"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بين نوفمبر 2022 ويناير 2023 واستبعد مناطق يقطنها نحو 23% من السكان. ولم تُرصد السنوات الواقعة بين هذه الموجات.</x:v>
      </x:c>
      <x:c r="H52" s="24" t="str">
        <x:v>Account ownership among adults aged 15 and over in Yemen at each observed Global Findex wave (2011, 2014 and 2022), in the areas each survey covered, as published by the World Bank.</x:v>
      </x:c>
      <x:c r="I52"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2" s="24" t="str">
        <x:v>2011 / 2014 / 2022</x:v>
      </x:c>
      <x:c r="K52" s="28" t="str">
        <x:v>2011 / 2014 / 2022</x:v>
      </x:c>
      <x:c r="L52" s="24" t="str">
        <x:v>Verified Yemen Findex wave points only, each with its scope, period and coverage.</x:v>
      </x:c>
      <x:c r="M52" s="28" t="str">
        <x:v>قيم موجات Findex الخاصة باليمن التي جرى التحقق منها فقط، مع نطاق كل موجة وفترتها وتغطيتها.</x:v>
      </x:c>
      <x:c r="N52" s="24" t="str">
        <x:v>Weighted aggregates published by the World Bank for each observed wave: 2011 and 2014 from The Little Data Book on Financial Inclusion 2015, and the 2021 wave from World Bank Data. No values are estimated for the years between waves.</x:v>
      </x:c>
      <x:c r="O52"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2" s="24" t="str">
        <x:v>It does not establish values for the years between waves, an average annual growth rate or the causes of the change, and it is not a 2026 value. There is no Yemen observation for 2017 or 2024.</x:v>
      </x:c>
      <x:c r="Q52"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2" s="24" t="str">
        <x:v>The latest observation is from the 2021 Findex wave, reported by the World Bank for 2022 (Yemen fieldwork November 2022 – January 2023); the Global Findex 2025 edition adds no newer Yemen observation. It should not be read as describing a later period unless a newer comparable observation is published.</x:v>
      </x:c>
      <x:c r="S52" s="28" t="str">
        <x:v>تعود أحدث مشاهدة إلى موجة Findex 2021، التي نشر البنك الدولي قيمتها لسنة 2022 (العمل الميداني في اليمن من نوفمبر 2022 إلى يناير 2023)، ولا تضيف نسخة Global Findex 2025 مشاهدة أحدث لليمن. ولا تُقرأ على أنها تصف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record is drawn from the source(s) listed on this page. Open a source record to reach the original document, and check that the definition, period, population and geography match what is stated here.</x:v>
      </x:c>
      <x:c r="W5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2" s="24" t="str">
        <x:v>SRC-WB-FINDEX-LDB-2015-001; SRC-WB-FINDEX-AGG-2022</x:v>
      </x:c>
      <x:c r="Y52" s="24" t="str">
        <x:v>[]</x:v>
      </x:c>
      <x:c r="Z52" t="str">
        <x:v>BOUND_EXACT</x:v>
      </x:c>
      <x:c r="AA52" t="str">
        <x:v>NO_GOVERNED_CONTRACT__TABLE_ONLY</x:v>
      </x:c>
    </x:row>
    <x:row r="53">
      <x:c r="A53" s="24" t="str">
        <x:v>VIS-DEMAND-VINTAGE-LADDER</x:v>
      </x:c>
      <x:c r="B53" s="24" t="str">
        <x:v>VISUAL</x:v>
      </x:c>
      <x:c r="C53" s="24" t="str">
        <x:v>/people/ | /evidence/</x:v>
      </x:c>
      <x:c r="D53" s="24" t="str">
        <x:v>Latest observation for each people-side financial function</x:v>
      </x:c>
      <x:c r="E53" s="28" t="str">
        <x:v>أحدث مشاهدة لكل وظيفة مالية على جانب الأفراد</x:v>
      </x:c>
      <x:c r="F53"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3"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3" s="24" t="str">
        <x:v>The latest observation period available for each people-side financial function (account ownership, saving, borrowing, domestic remittances, resilience and reasons for not having an account), drawn from the Global Findex evidence for Yemen.</x:v>
      </x:c>
      <x:c r="I53"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3" s="24" t="str">
        <x:v>2014 to 2022; no weighted values yet for some measures in the 2021 wave</x:v>
      </x:c>
      <x:c r="K53" s="28" t="str">
        <x:v>من 2014 إلى 2022؛ ولا توجد بعد قيم موزونة لبعض مقاييس موجة 2021</x:v>
      </x:c>
      <x:c r="L53" s="24" t="str">
        <x:v>The latest period with a supported numeric value for each people-side financial function, with account ownership, saving, borrowing, remittances, resilience and barriers kept separate.</x:v>
      </x:c>
      <x:c r="M53" s="28" t="str">
        <x:v>أحدث فترة تتوفر لها قيمة رقمية معتمدة لكل وظيفة مالية على جانب الأفراد، مع فصل امتلاك الحساب والادخار والاقتراض والحوالات والصمود والعوائق.</x:v>
      </x:c>
      <x:c r="N53" s="24" t="str">
        <x:v>Compiled from the evidence records listed on this page: each function is matched to its own latest weighted Findex evidence, and no value or date is carried from one function to another.</x:v>
      </x:c>
      <x:c r="O53" s="28" t="str">
        <x:v>مجمّع من سجلات الأدلة المدرجة في هذه الصفحة: تُربط كل وظيفة بأحدث دليل موزون خاص بها من مسح Findex، ولا تُنقل قيمة أو تاريخ من وظيفة إلى أخرى.</x:v>
      </x:c>
      <x:c r="P53" s="24" t="str">
        <x:v>It is not a composite inclusion score. There is no single latest year for people-side evidence, and a recent date for one function does not make the evidence for another function current.</x:v>
      </x:c>
      <x:c r="Q53" s="28" t="str">
        <x:v>ليس هذا درجة مركبة للشمول المالي. ولا توجد سنة واحدة هي الأحدث لأدلة جانب الأفراد، وحداثة تاريخ وظيفة ما لا تجعل أدلة وظيفة أخرى حديثة.</x:v>
      </x:c>
      <x:c r="R53" s="24" t="str">
        <x:v>The latest observations differ by function: 2022 for account ownership (2021 Findex wave, fieldwork November 2022 – January 2023) and 2014 for saving, borrowing and domestic remittances; resilience and reasons for not having an account have no weighted value yet. None of them describes a later period unless a newer comparable observation is published.</x:v>
      </x:c>
      <x:c r="S53" s="28" t="str">
        <x:v>تختلف أحدث المشاهدات بحسب الوظيفة: 2022 لامتلاك الحساب (موجة Findex 2021، والعمل الميداني من نوفمبر 2022 إلى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view assembles other evidence records. Check each linked record against its own source.</x:v>
      </x:c>
      <x:c r="W53" s="28" t="str">
        <x:v>يجمع هذا العرض سجلات أدلة أخرى، فطابِق كل سجل مرتبط مع مصدره.</x:v>
      </x:c>
      <x:c r="X53" s="24" t="str">
        <x:v>CLM-001; CLM-027; CLM-028; CLM-029; CLM-030; VIS-FINDEX-RESILIENCE; VIS-FINDEX-BARRIERS</x:v>
      </x:c>
      <x:c r="Y53" s="24" t="str">
        <x:v>[]</x:v>
      </x:c>
      <x:c r="Z53" t="str">
        <x:v>COMPOSITE_OF_OBJECTS</x:v>
      </x:c>
      <x:c r="AA53" t="str">
        <x:v>NO_GOVERNED_CONTRACT__TABLE_ONLY</x:v>
      </x:c>
    </x:row>
    <x:row r="54">
      <x:c r="A54" s="24" t="str">
        <x:v>VIS-BORROWING-SOURCES-2014</x:v>
      </x:c>
      <x:c r="B54" s="24" t="str">
        <x:v>VISUAL</x:v>
      </x:c>
      <x:c r="C54" s="24" t="str">
        <x:v>/people/</x:v>
      </x:c>
      <x:c r="D54" s="24" t="str">
        <x:v>Borrowing and its sources in 2014</x:v>
      </x:c>
      <x:c r="E54" s="28" t="str">
        <x:v>الاقتراض ومصادره في 2014</x:v>
      </x:c>
      <x:c r="F54"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4"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4" s="24" t="str">
        <x:v>Shares of adults aged 15 and over in Yemen who reported borrowing any money, and borrowing from particular sources or for particular purposes, in 2014, as published by the World Bank.</x:v>
      </x:c>
      <x:c r="I54" s="28" t="str">
        <x:v>نسب البالغين بعمر 15 سنة فأكثر في اليمن الذين أفادوا باقتراض أي مبلغ، وبالاقتراض من مصادر محددة أو لأغراض محددة، في 2014، كما نشرها البنك الدولي.</x:v>
      </x:c>
      <x:c r="J54" s="24" t="str">
        <x:v>2014</x:v>
      </x:c>
      <x:c r="K54" s="28" t="str">
        <x:v>2014</x:v>
      </x:c>
      <x:c r="L54" s="24" t="str">
        <x:v>Adults covered by the 2014 Findex data for Yemen; borrowing from any source is shown separately from source or purpose indicators.</x:v>
      </x:c>
      <x:c r="M54" s="28" t="str">
        <x:v>البالغون المشمولون ببيانات Findex لليمن لعام 2014؛ ويُعرض الاقتراض من أي مصدر منفصلًا عن مؤشرات المصدر أو الغرض.</x:v>
      </x:c>
      <x:c r="N54" s="24" t="str">
        <x:v>Weighted aggregates published in the World Bank's 2014 country profile for Yemen (The Little Data Book on Financial Inclusion 2015); each indicator is a share of all adults.</x:v>
      </x:c>
      <x:c r="O54" s="28" t="str">
        <x:v>إجماليات موزونة منشورة في الملف القطري لليمن الذي أصدره البنك الدولي لعام 2014 (The Little Data Book on Financial Inclusion 2015)؛ وكل مؤشر نسبة من جميع البالغين.</x:v>
      </x:c>
      <x:c r="P54" s="24" t="str">
        <x:v>Each source is a separate share of all adults, not of borrowers. The shares overlap, so they do not add up to a total or to 100%, and no 'informal borrowing share' can be derived by subtracting one from another.</x:v>
      </x:c>
      <x:c r="Q54"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VIS-DOMESTIC-REMITTANCE-PATH-2014</x:v>
      </x:c>
      <x:c r="B55" s="24" t="str">
        <x:v>VISUAL</x:v>
      </x:c>
      <x:c r="C55" s="24" t="str">
        <x:v>/people/ | /remittances/</x:v>
      </x:c>
      <x:c r="D55" s="24" t="str">
        <x:v>Domestic remittances in 2014 — population reach vs recipient channels</x:v>
      </x:c>
      <x:c r="E55" s="28" t="str">
        <x:v>الحوالات المحلية في 2014: نطاق الإرسال والاستلام وقنوات المستلمين</x:v>
      </x:c>
      <x:c r="F55"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5"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5" s="24" t="str">
        <x:v>The shares of adults aged 15 and over in Yemen who sent or received domestic remittances in 2014 and, among senders and recipients, the channels they used, as published by the World Bank.</x:v>
      </x:c>
      <x:c r="I55"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5" s="24" t="str">
        <x:v>2014</x:v>
      </x:c>
      <x:c r="K55" s="28" t="str">
        <x:v>2014</x:v>
      </x:c>
      <x:c r="L55" s="24" t="str">
        <x:v>All adults in the 2014 Findex data for sending and receiving; for channels, only the adults who sent, or who received, domestic remittances.</x:v>
      </x:c>
      <x:c r="M55" s="28" t="str">
        <x:v>جميع البالغين في بيانات Findex لعام 2014 لنسب الإرسال والاستلام؛ وللقنوات، البالغون الذين أرسلوا حوالات محلية أو الذين تلقوها فقط.</x:v>
      </x:c>
      <x:c r="N55"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5"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5" s="24" t="str">
        <x:v>Shares of all adults and channel shares among recipients use different bases and cannot be read on one scale. They do not show how much money flowed through each channel or the composition of remittances in the economy as a whole.</x:v>
      </x:c>
      <x:c r="Q55"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5"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5"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c r="AA55" t="str">
        <x:v>NO_GOVERNED_CONTRACT__TABLE_ONLY</x:v>
      </x:c>
    </x:row>
    <x:row r="56">
      <x:c r="A56" s="24" t="str">
        <x:v>DS-FINDEX-PUBLIC-HISTORY</x:v>
      </x:c>
      <x:c r="B56" s="24" t="str">
        <x:v>DATASET</x:v>
      </x:c>
      <x:c r="C56" s="24" t="str">
        <x:v>/people/ | /evidence/</x:v>
      </x:c>
      <x:c r="D56" s="24" t="str">
        <x:v>Published historical Findex results for Yemen</x:v>
      </x:c>
      <x:c r="E56" s="28" t="str">
        <x:v>نتائج Findex التاريخية المنشورة لليمن</x:v>
      </x:c>
      <x:c r="F56" s="24" t="str">
        <x:v>Weighted Findex values for Yemen from the 2011 and 2014 waves, one value per measure and wave, each with its population base, missing values and publication status, so older measures stay interpretable without being presented as current.</x:v>
      </x:c>
      <x:c r="G56"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6" s="24" t="str">
        <x:v>Weighted Global Findex values for Yemen published by the World Bank for the 2011 and 2014 waves, covering account ownership, account use, digital payments, domestic remittances, saving and borrowing among adults aged 15 and over.</x:v>
      </x:c>
      <x:c r="I56"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6" s="24" t="str">
        <x:v>2011 to 2014</x:v>
      </x:c>
      <x:c r="K56" s="28" t="str">
        <x:v>2011 إلى 2014</x:v>
      </x:c>
      <x:c r="L56" s="24" t="str">
        <x:v>Adults aged 15 and over in Yemen in the 2011 and 2014 Findex waves; some channel values apply only to adults who sent or received domestic remittances or who have an account.</x:v>
      </x:c>
      <x:c r="M56"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6" s="24" t="str">
        <x:v>Published weighted Findex observations are preserved by wave, source definition and reporting year; no values are interpolated between waves.</x:v>
      </x:c>
      <x:c r="O56" s="28" t="str">
        <x:v>تُحفظ مشاهدات Findex الموزونة المنشورة بحسب الموجة وتعريف المصدر وسنة الإبلاغ، من دون استيفاء قيم بين الموجات.</x:v>
      </x:c>
      <x:c r="P56" s="24" t="str">
        <x:v>Historical weighted values hold for their stated wave and base, but they do not establish current 2026 behaviour and do not describe later years unless newer comparable evidence is published.</x:v>
      </x:c>
      <x:c r="Q56"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6" s="24" t="str">
        <x:v>The latest observations in this dataset refer to 2014, with selected 2011 comparators. They should not be read as describing a later period unless a newer comparable observation is published.</x:v>
      </x:c>
      <x:c r="S56"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record is drawn from the source(s) listed on this page. Open a source record to reach the original document, and check that the definition, period, population and geography match what is stated here.</x:v>
      </x:c>
      <x:c r="W5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6" s="24" t="str">
        <x:v>SRC-WB-FINDEX-LDB-2015-001</x:v>
      </x:c>
      <x:c r="Y56" s="24" t="str">
        <x:v>[]</x:v>
      </x:c>
      <x:c r="Z56" t="str">
        <x:v>BOUND_EXACT</x:v>
      </x:c>
    </x:row>
    <x:row r="57">
      <x:c r="A57" s="24" t="str">
        <x:v>DS-FINDEX-HISTORY-CROSSWALK</x:v>
      </x:c>
      <x:c r="B57" s="24" t="str">
        <x:v>DATASET</x:v>
      </x:c>
      <x:c r="C57" s="24" t="str">
        <x:v>/people/ | /methodology/</x:v>
      </x:c>
      <x:c r="D57" s="24" t="str">
        <x:v>Which historical Findex measures can be compared with the latest wave</x:v>
      </x:c>
      <x:c r="E57" s="28" t="str">
        <x:v>مقاييس Findex التاريخية التي يمكن مقارنتها بأحدث موجة</x:v>
      </x:c>
      <x:c r="F57" s="24" t="str">
        <x:v>A comparability map linking 36 historical Findex measures to the measures specified for the latest wave, while separating publishable historical values from latest-wave measures whose required computation is not yet complete.</x:v>
      </x:c>
      <x:c r="G57"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7" s="24" t="str">
        <x:v>For each of 36 historical Findex measures for Yemen, whether a comparable measure exists in the latest (2021) wave and whether its values can be compared; it reports no new value.</x:v>
      </x:c>
      <x:c r="I57"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7" s="24" t="str">
        <x:v>2011 to 2022</x:v>
      </x:c>
      <x:c r="K57" s="28" t="str">
        <x:v>من 2011 إلى 2022</x:v>
      </x:c>
      <x:c r="L57" s="24" t="str">
        <x:v>The 36 historical Findex measures for Yemen published for 2011 and 2014, and the measures specified for the 2021 wave.</x:v>
      </x:c>
      <x:c r="M57" s="28" t="str">
        <x:v>مقاييس Findex التاريخية الـ36 لليمن المنشورة لعامي 2011 و2014، والمقاييس المحددة لموجة 2021.</x:v>
      </x:c>
      <x:c r="N57" s="24" t="str">
        <x:v>Cross-wave comparison uses published Findex definitions and methodological notes to identify which concepts can be compared and which require qualification.</x:v>
      </x:c>
      <x:c r="O57"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7" s="24" t="str">
        <x:v>A crosswalk identifies conceptual comparability; it does not make every historical and latest-wave metric numerically interchangeable, and latest-wave values remain unavailable until the required computation and quality checks are complete.</x:v>
      </x:c>
      <x:c r="Q57"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7" s="24" t="str">
        <x:v>It compares published values for 2011 and 2014 with the 2021 Findex wave, the latest wave available for Yemen (fieldwork November 2022 – January 2023). It should not be read as describing a later wave unless one is published.</x:v>
      </x:c>
      <x:c r="S57" s="28" t="str">
        <x:v>يقارن هذا السجل القيم المنشورة لعامي 2011 و2014 بموجة Findex 2021، وهي أحدث موجة متاحة لليمن (العمل الميداني من نوفمبر 2022 إلى يناير 2023). ولا يُقرأ على أنه يصف موجة لاحقة ما لم تُنشر موجة أحدث.</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assembles other evidence records. Check each linked record against its own source.</x:v>
      </x:c>
      <x:c r="W57" s="28" t="str">
        <x:v>يجمع هذا العرض سجلات أدلة أخرى، فطابِق كل سجل مرتبط مع مصدره.</x:v>
      </x:c>
      <x:c r="X57" s="24" t="str">
        <x:v>DS-FINDEX-PUBLIC-HISTORY; CLM-026</x:v>
      </x:c>
      <x:c r="Y57" s="24" t="str">
        <x:v>[]</x:v>
      </x:c>
      <x:c r="Z57" t="str">
        <x:v>COMPOSITE_OF_OBJECTS</x:v>
      </x:c>
    </x:row>
    <x:row r="58">
      <x:c r="A58" s="24" t="str">
        <x:v>DS-DEMAND-VINTAGE-LENS</x:v>
      </x:c>
      <x:c r="B58" s="24" t="str">
        <x:v>DATASET</x:v>
      </x:c>
      <x:c r="C58" s="24" t="str">
        <x:v>/people/ | /evidence/</x:v>
      </x:c>
      <x:c r="D58" s="24" t="str">
        <x:v>How recent the people-side evidence is, by financial function</x:v>
      </x:c>
      <x:c r="E58" s="28" t="str">
        <x:v>حداثة أدلة الأفراد بحسب الوظيفة المالية</x:v>
      </x:c>
      <x:c r="F58" s="24" t="str">
        <x:v>Shows, for ten financial functions, the period that each function's evidence refers to, so that the people-side answer does not imply one common latest year.</x:v>
      </x:c>
      <x:c r="G58" s="28" t="str">
        <x:v>يبين لعشر وظائف مالية الفترة التي يعود إليها دليل كل منها، حتى لا توحي الإجابة الخاصة بالأفراد بسنة واحدة مشتركة بوصفها الأحدث.</x:v>
      </x:c>
      <x:c r="H58" s="24" t="str">
        <x:v>For each of ten people-side financial functions, the period of the latest evidence available and whether a numeric value is available; it reports no new value.</x:v>
      </x:c>
      <x:c r="I58" s="28" t="str">
        <x:v>يبين لكل من عشر وظائف مالية على جانب الأفراد فترة أحدث دليل متاح وما إذا كانت تتوفر لها قيمة رقمية، ولا يعرض أي قيمة جديدة.</x:v>
      </x:c>
      <x:c r="J58" s="24" t="str">
        <x:v>2014 to 2022; no newer weighted values yet</x:v>
      </x:c>
      <x:c r="K58" s="28" t="str">
        <x:v>من 2014 إلى 2022؛ ولا توجد بعد قيم موزونة أحدث</x:v>
      </x:c>
      <x:c r="L58" s="24" t="str">
        <x:v>Ten people-side financial functions covered by Global Findex evidence for Yemen.</x:v>
      </x:c>
      <x:c r="M58" s="28" t="str">
        <x:v>عشر وظائف مالية على جانب الأفراد تغطيها أدلة المؤشر العالمي للشمول المالي (Global Findex) لليمن.</x:v>
      </x:c>
      <x:c r="N58" s="24" t="str">
        <x:v>A cross-wave summary of the Findex evidence used in this resource that preserves each financial function’s source wave, definition and availability. It shows how recent the evidence is for each function; it is not a new population estimate.</x:v>
      </x:c>
      <x:c r="O58"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8" s="24" t="str">
        <x:v>The currentness map does not make older evidence current, and a function with no newer numeric observation remains an evidence gap rather than zero or an interpolated value.</x:v>
      </x:c>
      <x:c r="Q58"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8" s="24" t="str">
        <x:v>The latest evidence differs by function, from 2014 to 2022 (the 2021 Findex wave, fieldwork November 2022 – January 2023); for a function with no newer value, the older evidence is not current. None of it describes a later period unless a newer comparable observation is published.</x:v>
      </x:c>
      <x:c r="S58" s="28" t="str">
        <x:v>يختلف أحدث دليل بحسب الوظيفة، من 2014 إلى 2022 (موجة Findex 2021، والعمل الميداني من نوفمبر 2022 إلى يناير 2023)؛ وأي وظيفة لا تتوفر لها قيمة أحدث يبقى دليلها الأقدم غير حديث. ولا يصف أي منها فترة لاحقة ما لم تُنشر مشاهدة أحدث قابلة للمقارنة.</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view summarises other evidence records, which are not yet linked individually here. Before reusing a figure, open the evidence record that reports it and check that record against its own source.</x:v>
      </x:c>
      <x:c r="W58" s="28" t="str">
        <x:v>يلخص هذا العرض سجلات أدلة أخرى لم تُربط بعدُ هنا كلٌّ على حدة. وقبل إعادة استخدام أي رقم، افتح سجل الدليل الذي يورده وطابِقه مع مصدره.</x:v>
      </x:c>
      <x:c r="X58" s="24"/>
      <x:c r="Y58" s="24" t="str">
        <x:v>[]</x:v>
      </x:c>
      <x:c r="Z58" t="str">
        <x:v>COMPOSITE_OF_OBJECTS</x:v>
      </x:c>
    </x:row>
    <x:row r="59">
      <x:c r="A59" s="24" t="str">
        <x:v>CLM-004</x:v>
      </x:c>
      <x:c r="B59" s="24" t="str">
        <x:v>CLAIM</x:v>
      </x:c>
      <x:c r="C59" s="24" t="str">
        <x:v>/payments/ | /methodology/</x:v>
      </x:c>
      <x:c r="D59" s="24" t="str">
        <x:v>Accounts and transactions are not unique people</x:v>
      </x:c>
      <x:c r="E59" s="28" t="str">
        <x:v>الحسابات والمعاملات ليست أشخاصًا فريدين</x:v>
      </x:c>
      <x:c r="F59" s="24" t="str">
        <x:v>Administrative accounts, e-wallet subscribers and payment transactions are not equivalent to unique people measured by Findex.</x:v>
      </x:c>
      <x:c r="G59"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9" s="24" t="str">
        <x:v>This record sets out a measurement rule and reports no value: counts of administrative accounts, subscribers, terminals and transactions are not counts of unique people unless the evidence establishes that unit.</x:v>
      </x:c>
      <x:c r="I59"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9" s="24" t="str">
        <x:v>No observation period: a measurement rule that applies whenever administrative accounts, subscribers or transactions are compared with survey measures of people.</x:v>
      </x:c>
      <x:c r="K59" s="28" t="str">
        <x:v>لا فترة رصد: قاعدة قياس تنطبق كلما قورنت الحسابات أو المشتركون أو المعاملات الإدارية بقياسات مسحية تخص الأشخاص.</x:v>
      </x:c>
      <x:c r="L59" s="24" t="str">
        <x:v>Different units of measurement: administrative accounts, wallet subscribers and transactions versus unique people represented by a population survey.</x:v>
      </x:c>
      <x:c r="M59" s="28" t="str">
        <x:v>وحدات قياس مختلفة: حسابات إدارية ومشتركو محافظ ومعاملات، مقابل أشخاص فريدين يمثلهم مسح سكاني.</x:v>
      </x:c>
      <x:c r="N59"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9"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9" s="24" t="str">
        <x:v>Dividing administrative counts by population does not produce a share of people unless a documented unique-person method exists; no such share is established here.</x:v>
      </x:c>
      <x:c r="Q59"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9" s="24" t="str">
        <x:v>This is a method rule with no observation date; it applies until a documented source provides a valid way to link the administrative series to unique people.</x:v>
      </x:c>
      <x:c r="S59" s="28" t="str">
        <x:v>هذه قاعدة منهجية بلا تاريخ رصد، وتظل سارية إلى أن يوفر مصدر موثق طريقة صالحة لربط السلاسل الإدارية بأشخاص فريدين.</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sets out a rule for measuring or reading the evidence. It does not report a figure from a source, so there is no original source to check.</x:v>
      </x:c>
      <x:c r="W59" s="28" t="str">
        <x:v>يحدد هذا السجل قاعدة لقياس الأدلة أو قراءتها، ولا يورد رقمًا مأخوذًا من مصدر، ولذلك لا يوجد مصدر أصلي يُتحقق منه.</x:v>
      </x:c>
      <x:c r="X59" s="24"/>
      <x:c r="Y59" s="24" t="str">
        <x:v>[]</x:v>
      </x:c>
      <x:c r="Z59" t="str">
        <x:v>FRAMING_NO_FACT</x:v>
      </x:c>
    </x:row>
    <x:row r="60">
      <x:c r="A60" s="24" t="str">
        <x:v>CLM-005</x:v>
      </x:c>
      <x:c r="B60" s="24" t="str">
        <x:v>CLAIM</x:v>
      </x:c>
      <x:c r="C60" s="24" t="str">
        <x:v>/firms/</x:v>
      </x:c>
      <x:c r="D60" s="24" t="str">
        <x:v>Finance was not the most frequently cited constraint in this survey</x:v>
      </x:c>
      <x:c r="E60" s="28" t="str">
        <x:v>التمويل ليس التحدي الأكثر ذكرًا في هذا المسح</x:v>
      </x:c>
      <x:c r="F60" s="24" t="str">
        <x:v>Among formal firms in the 2022 custom enterprise survey of seven governorates, electricity and fuel shortages were each named as a business challenge more often than access to finance.</x:v>
      </x:c>
      <x:c r="G60" s="28" t="str">
        <x:v>بين المنشآت الرسمية في مسح المنشآت المخصص الذي شمل سبع محافظات عام 2022، ذُكرت الكهرباء ونقص الوقود بوصفهما تحديين للأعمال أكثر مما ذُكر الوصول إلى التمويل.</x:v>
      </x:c>
      <x:c r="H60" s="24" t="str">
        <x:v>The share of surveyed formal firms in seven governorates that named each item as a business challenge in 2022, with access to finance compared against the other items.</x:v>
      </x:c>
      <x:c r="I60"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60"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60" s="24" t="str">
        <x:v>The comparison is not nationally representative and is not a ranking of constraints for all Yemeni firms.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60" s="28" t="str">
        <x:v>لا تمثل المقارنة منشآت اليمن تمثيلًا وطنيًا، وليست ترتيبًا للقيود التي تواجهها جميع المنشآت اليمنية.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CLM-006</x:v>
      </x:c>
      <x:c r="B61" s="24" t="str">
        <x:v>CLAIM</x:v>
      </x:c>
      <x:c r="C61" s="24" t="str">
        <x:v>/firms/</x:v>
      </x:c>
      <x:c r="D61" s="24" t="str">
        <x:v>Finance severity within a specific denominator</x:v>
      </x:c>
      <x:c r="E61" s="28" t="str">
        <x:v>شدة عائق التمويل ضمن قاعدة احتساب محددة</x:v>
      </x:c>
      <x:c r="F61" s="24" t="str">
        <x:v>Among the formal firms in the report's finance-obstacle tabulation, which excludes firms that said they did not need a loan, the shares rating finance as a major or a moderate obstacle together total 91.84%.</x:v>
      </x:c>
      <x:c r="G61"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1" s="24" t="str">
        <x:v>The combined share of formal firms rating access to finance as a major or moderate obstacle, among firms in the survey report's finance-obstacle tabulation (firms that said they did not need a loan are excluded), seven governorates, 2022.</x:v>
      </x:c>
      <x:c r="I61"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1" s="24" t="str">
        <x:v>September 2022</x:v>
      </x:c>
      <x:c r="K61" s="28" t="str">
        <x:v>سبتمبر 2022</x:v>
      </x:c>
      <x:c r="L61" s="24" t="str">
        <x:v>Formal enterprises in seven selected governorates</x:v>
      </x:c>
      <x:c r="M61" s="28" t="str">
        <x:v>المنشآت الرسمية في المحافظات السبع التي شملها المسح.</x:v>
      </x:c>
      <x:c r="N61"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1"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1"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1"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1" s="24" t="str">
        <x:v>The latest observation in this record refers to the 2022 survey (September 2022). It should not be read as describing a later period unless a newer comparable observation is published.</x:v>
      </x:c>
      <x:c r="S61" s="28" t="str">
        <x:v>تعود أحدث مشاهدة في هذا السجل إلى مسح 2022 (سبتمبر 2022)، ولا تُقرأ على أنها تصف فترة لاحقة ما لم تُنشر مشاهدة أحدث قابلة للمقارنة.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SRC-WB-FSD-2024-001</x:v>
      </x:c>
      <x:c r="Y61" s="24" t="str">
        <x:v>[]</x:v>
      </x:c>
      <x:c r="Z61" t="str">
        <x:v>BOUND_EXACT</x:v>
      </x:c>
    </x:row>
    <x:row r="62">
      <x:c r="A62" s="24" t="str">
        <x:v>CLM-008</x:v>
      </x:c>
      <x:c r="B62" s="24" t="str">
        <x:v>CLAIM</x:v>
      </x:c>
      <x:c r="C62" s="24" t="str">
        <x:v>/providers/ | /access/</x:v>
      </x:c>
      <x:c r="D62" s="24" t="str">
        <x:v>Listing or licensing does not establish operation</x:v>
      </x:c>
      <x:c r="E62" s="28" t="str">
        <x:v>الإدراج أو الترخيص لا يثبت التشغيل</x:v>
      </x:c>
      <x:c r="F62" s="24" t="str">
        <x:v>The list of licensed banks of the Central Bank of Yemen – Aden (CBY-Aden), as checked on 7 September 2026, names 26 banks. Appearing on the list establishes listing or licensing in that source, not operation.</x:v>
      </x:c>
      <x:c r="G62" s="28" t="str">
        <x:v>تضم قائمة البنوك المرخصة الصادرة عن البنك المركزي اليمني – عدن، كما اطُّلع عليها في 7 سبتمبر 2026، 26 بنكًا. ويثبت الظهور في القائمة الإدراج أو الترخيص وفق ذلك المصدر، لا التشغيل الفعلي.</x:v>
      </x:c>
      <x:c r="H62" s="24" t="str">
        <x:v>The number of banks named on the licensed-bank list of the Central Bank of Yemen – Aden (CBY-Aden), as checked on 7 September 2026.</x:v>
      </x:c>
      <x:c r="I62" s="28" t="str">
        <x:v>عدد البنوك الواردة في قائمة البنوك المرخصة لدى البنك المركزي اليمني – عدن، كما اطُّلع عليها في 7 سبتمبر 2026.</x:v>
      </x:c>
      <x:c r="J62" s="24" t="str">
        <x:v>List as checked on 7 September 2026</x:v>
      </x:c>
      <x:c r="K62" s="28" t="str">
        <x:v>القائمة كما اطُّلع عليها في 7 سبتمبر 2026</x:v>
      </x:c>
      <x:c r="L62" s="24" t="str">
        <x:v>Banks named on the licensed-bank list of the Central Bank of Yemen – Aden (CBY-Aden); list presence is not proof of current operation, branch footprint, product availability or market share</x:v>
      </x:c>
      <x:c r="M62"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2" s="24" t="str">
        <x:v>A count of the banks named on the licensed-bank list published by the Central Bank of Yemen – Aden (CBY-Aden), as checked on 7 September 2026. The list establishes listing or licensing by CBY-Aden; it does not by itself establish current operation, service availability or geographic reach.</x:v>
      </x:c>
      <x:c r="O62" s="28" t="str">
        <x:v>عدّ البنوك الواردة في قائمة البنوك المرخصة التي ينشرها البنك المركزي اليمني – عدن، كما اطُّلع عليها في 7 سبتمبر 2026. وتثبت القائمة الإدراج أو الترخيص لدى البنك المركزي اليمني – عدن، ولا تثبت بذاتها التشغيل الحالي أو توفر الخدمة أو الانتشار الجغرافي.</x:v>
      </x:c>
      <x:c r="P62"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2"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2" s="24" t="str">
        <x:v>This record reflects the licensed-bank list of the Central Bank of Yemen – Aden (CBY-Aden) as checked on 7 September 2026. It should not be read as describing a later date unless a newer version of the list is checked.</x:v>
      </x:c>
      <x:c r="S62"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record is drawn from the source(s) listed on this page. Open a source record to reach the original document, and check that the definition, period, population and geography match what is stated here.</x:v>
      </x:c>
      <x:c r="W6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2" s="24" t="str">
        <x:v>SRC-CBY-BANKLIST-AR-2026-001</x:v>
      </x:c>
      <x:c r="Y62" s="24" t="str">
        <x:v>[]</x:v>
      </x:c>
      <x:c r="Z62" t="str">
        <x:v>BOUND_EXACT</x:v>
      </x:c>
    </x:row>
    <x:row r="63">
      <x:c r="A63" s="24" t="str">
        <x:v>CLM-014</x:v>
      </x:c>
      <x:c r="B63" s="24" t="str">
        <x:v>CLAIM</x:v>
      </x:c>
      <x:c r="C63" s="24" t="str">
        <x:v>/evidence/ | /methodology/</x:v>
      </x:c>
      <x:c r="D63" s="24" t="str">
        <x:v>Evidence freshness differs by domain</x:v>
      </x:c>
      <x:c r="E63" s="28" t="str">
        <x:v>حداثة الأدلة غير متساوية بين المجالات</x:v>
      </x:c>
      <x:c r="F63" s="24" t="str">
        <x:v>The evidence here is not equally current across domains: several payments/regulatory observations are from 2025–2026, while key representative people-side evidence is older.</x:v>
      </x:c>
      <x:c r="G63" s="28" t="str">
        <x:v>لا تتساوى حداثة الأدلة بين مجالات المنظومة: فعدد من مشاهدات المدفوعات والتنظيم يعود إلى 2025–2026، بينما ترجع أدلة سكانية تمثيلية أساسية إلى فترات أقدم.</x:v>
      </x:c>
      <x:c r="H63" s="24" t="str">
        <x:v>A comparison of evidence dates across domains showing that some areas are measured more recently than others.</x:v>
      </x:c>
      <x:c r="I63" s="28" t="str">
        <x:v>مقارنة لحداثة الأدلة بين المجالات، توضح أن بعض الجوانب مقاسة في تواريخ أحدث من غيرها.</x:v>
      </x:c>
      <x:c r="J63" s="24" t="str">
        <x:v>Evidence observed from 2014 through 2026, depending on domain, as compared in the current edition of this resource.</x:v>
      </x:c>
      <x:c r="K63" s="28" t="str">
        <x:v>مقارنة في الإصدار الحالي بين أدلة تعود فترات رصدها إلى 2014–2026 بحسب المجال.</x:v>
      </x:c>
      <x:c r="L63" s="24" t="str">
        <x:v>Evidence records across people, payments, providers, reforms and other domains, each with its own observation period and evidence class.</x:v>
      </x:c>
      <x:c r="M63" s="28" t="str">
        <x:v>سجلات أدلة معتمدة عبر مجالات الأفراد والمدفوعات ومقدمي الخدمات والإصلاحات وغيرها، ولكل سجل فترة رصد وفئة دليل تخصه.</x:v>
      </x:c>
      <x:c r="N63" s="24" t="str">
        <x:v>The observation or publication date and the evidence class of each record are compared by domain; the date or evidential meaning of one domain's evidence is not carried over to another.</x:v>
      </x:c>
      <x:c r="O63" s="28" t="str">
        <x:v>تُقارن حداثة الأدلة وفئتها بحسب المجال، ولا تُنقل فترة دليل أو دلالته من مجال إلى آخر.</x:v>
      </x:c>
      <x:c r="P63" s="24" t="str">
        <x:v>Older evidence is not invalid because of its age, and recent administrative evidence does not measure current financial inclusion across the population.</x:v>
      </x:c>
      <x:c r="Q63" s="28" t="str">
        <x:v>ليس الدليل الأقدم باطلًا لمجرد قدمه، ولا تقيس البيانات الإدارية الحديثة الشمول المالي الراهن على مستوى السكان.</x:v>
      </x:c>
      <x:c r="R63" s="24" t="str">
        <x:v>This comparison reflects the evidence records in the edition of this resource dated 26 September 2026 and changes whenever a newer record is added. A recent administrative observation does not make older population evidence current, and older evidence is not invalid merely because it is older.</x:v>
      </x:c>
      <x:c r="S63" s="28" t="str">
        <x:v>تعكس هذه المقارنة سجلات الأدلة الواردة في إصدار هذا المورد المؤرخ في 26 سبتمبر 2026، وتتغير كلما أُضيف سجل أحدث. ولا تجعل المشاهدة الإدارية الحديثة الدليل السكاني الأقدم حديثًا، كما لا يصبح الدليل الأقدم غير صالح لمجرد قدمه.</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view summarises other evidence records, which are not yet linked individually here. Before reusing a figure, open the evidence record that reports it and check that record against its own source.</x:v>
      </x:c>
      <x:c r="W63" s="28" t="str">
        <x:v>يلخص هذا العرض سجلات أدلة أخرى لم تُربط بعدُ هنا كلٌّ على حدة. وقبل إعادة استخدام أي رقم، افتح سجل الدليل الذي يورده وطابِقه مع مصدره.</x:v>
      </x:c>
      <x:c r="X63" s="24"/>
      <x:c r="Y63" s="24" t="str">
        <x:v>[]</x:v>
      </x:c>
      <x:c r="Z63" t="str">
        <x:v>COMPOSITE_OF_OBJECTS</x:v>
      </x:c>
    </x:row>
    <x:row r="64">
      <x:c r="A64" s="24" t="str">
        <x:v>CLM-022</x:v>
      </x:c>
      <x:c r="B64" s="24" t="str">
        <x:v>CLAIM</x:v>
      </x:c>
      <x:c r="C64" s="24" t="str">
        <x:v>/finance/ | /methodology/</x:v>
      </x:c>
      <x:c r="D64" s="24" t="str">
        <x:v>Informative history without a continuous annual series</x:v>
      </x:c>
      <x:c r="E64" s="28" t="str">
        <x:v>سجل مفيد لكنه غير سنوي متصل</x:v>
      </x:c>
      <x:c r="F64"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4"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4" s="24" t="str">
        <x:v>Dated microfinance observations (active borrowers, savers and loan portfolio) reported by programmes supported by the Social Fund for Development (SFD), with years that have no usable observation marked as gaps.</x:v>
      </x:c>
      <x:c r="I64"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4" s="24" t="str">
        <x:v>Observed points and explicit gaps in microfinance evidence, 2010 to 2024</x:v>
      </x:c>
      <x:c r="K64" s="28" t="str">
        <x:v>نقاط مرصودة وفجوات معلنة في أدلة التمويل الأصغر من 2010 إلى 2024</x:v>
      </x:c>
      <x:c r="L64" s="24" t="str">
        <x:v>Source-specific microfinance observations whose provider/reporting universe can vary by point; each observation retains its own source and status.</x:v>
      </x:c>
      <x:c r="M64" s="28" t="str">
        <x:v>مشاهدات للتمويل الأصغر تختلف بحسب المصدر وقد يختلف نطاق مقدمي الخدمات أو الإبلاغ من نقطة إلى أخرى؛ وتحتفظ كل مشاهدة بمصدرها وحالتها.</x:v>
      </x:c>
      <x:c r="N64" s="24" t="str">
        <x:v>Quarterly and year-end observations are recorded at the dates the sources give, together with within-source contradictions, periods known only through another source, and periods with no data; missing years are not interpolated or smoothed.</x:v>
      </x:c>
      <x:c r="O64"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4" s="24" t="str">
        <x:v>A year with no observation does not indicate zero microfinance activity, and the observations do not establish a trend across the missing years.</x:v>
      </x:c>
      <x:c r="Q64" s="28" t="str">
        <x:v>لا تدل السنة الخالية من المشاهدات على انعدام نشاط التمويل الأصغر، ولا تثبت المشاهدات اتجاهًا زمنيًا عبر السنوات المفقودة.</x:v>
      </x:c>
      <x:c r="R64"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4"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4" s="24" t="str">
        <x:v>[]</x:v>
      </x:c>
      <x:c r="Z64" t="str">
        <x:v>BOUND_EXACT</x:v>
      </x:c>
    </x:row>
    <x:row r="65">
      <x:c r="A65" s="24" t="str">
        <x:v>VIS-FINDEX-GAPS</x:v>
      </x:c>
      <x:c r="B65" s="24" t="str">
        <x:v>VISUAL</x:v>
      </x:c>
      <x:c r="C65" s="24" t="str">
        <x:v>/people/</x:v>
      </x:c>
      <x:c r="D65" s="24" t="str">
        <x:v>Account ownership and measured gaps: Global Findex 2021 wave (Yemen fieldwork 2022–23)</x:v>
      </x:c>
      <x:c r="E65" s="28" t="str">
        <x:v>امتلاك الحساب والفجوات المقاسة: موجة Global Findex 2021 (العمل الميداني في اليمن 2022–2023)</x:v>
      </x:c>
      <x:c r="F65"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G65"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H6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November 2022 – January 2023).</x:v>
      </x:c>
      <x:c r="I65"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نوفمبر 2022 إلى يناير 2023).</x:v>
      </x:c>
      <x:c r="J65" s="24" t="str">
        <x:v>World Bank reporting year 2022; Global Findex 2021 study; Yemen fieldwork 2022-11-07 to 2023-01-09</x:v>
      </x:c>
      <x:c r="K65" s="28" t="str">
        <x:v>سنة الإبلاغ في بيانات البنك الدولي: 2022؛ دراسة Global Findex 2021؛ العمل الميداني في اليمن من 2022-11-07 إلى 2023-01-09</x:v>
      </x:c>
      <x:c r="L65" s="24" t="str">
        <x:v>Adults aged 15 and over in the areas the survey covered (the survey frame excludes areas with about 23% of the population); subgroups as defined within the same wave.</x:v>
      </x:c>
      <x:c r="M65"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5" s="24" t="str">
        <x:v>Weighted estimates published by the World Bank from the Global Findex survey of Yemen (1,000 respondents; fieldwork 7 November 2022 – 9 January 2023; World Bank data year 2022) for all adults and for subgroups by sex, household income, education and age. Each of the four differences is calculated by this resource by subtracting the lower published value in a pair from the higher one.</x:v>
      </x:c>
      <x:c r="O65"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5"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5"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5"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5"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SRC-WB-FINDEX-AGG-2022</x:v>
      </x:c>
      <x:c r="Y65" s="24" t="str">
        <x:v>[]</x:v>
      </x:c>
      <x:c r="Z65" t="str">
        <x:v>BOUND_EXACT</x:v>
      </x:c>
    </x:row>
    <x:row r="66">
      <x:c r="A66" s="24" t="str">
        <x:v>VIS-POS-TERMINALS</x:v>
      </x:c>
      <x:c r="B66" s="24" t="str">
        <x:v>VISUAL</x:v>
      </x:c>
      <x:c r="C66" s="24" t="str">
        <x:v>/payments/</x:v>
      </x:c>
      <x:c r="D66" s="24" t="str">
        <x:v>Reported POS terminals, monthly</x:v>
      </x:c>
      <x:c r="E66" s="28" t="str">
        <x:v>أجهزة نقاط البيع المبلغ عنها شهريًا</x:v>
      </x:c>
      <x:c r="F6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G6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H66" s="24" t="str">
        <x:v>The monthly number of point-of-sale (POS) terminals reported by the Central Bank of Yemen – Aden (CBY-Aden) within its reporting scope, March 2025 to January 2026.</x:v>
      </x:c>
      <x:c r="I66" s="28" t="str">
        <x:v>العدد الشهري لأجهزة نقاط البيع التي يُبلغ عنها البنك المركزي اليمني – عدن ضمن نطاق الإبلاغ لديه، من مارس 2025 إلى يناير 2026.</x:v>
      </x:c>
      <x:c r="J66" s="24" t="str">
        <x:v>Mar-2025–Jan-2026 monthly</x:v>
      </x:c>
      <x:c r="K66" s="28" t="str">
        <x:v>شهريًا من مارس 2025 إلى يناير 2026</x:v>
      </x:c>
      <x:c r="L66" s="24" t="str">
        <x:v>POS terminals within the payment-system reporting scope of the Central Bank of Yemen – Aden (CBY-Aden); how far that scope covers each area of Yemen is not established.</x:v>
      </x:c>
      <x:c r="M66" s="28" t="str">
        <x:v>أجهزة نقاط البيع ضمن نطاق الإبلاغ عن نظام المدفوعات لدى البنك المركزي اليمني – عدن؛ ولا يثبت الدليل مدى تغطية هذا النطاق لكل مناطق اليمن.</x:v>
      </x:c>
      <x:c r="N66"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A smaller mismatch in June 2025 is also kept: 733 to 791 terminals implies 7.91%, while the June release displays +7.6%.</x:v>
      </x:c>
      <x:c r="O66"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ويُبقى أيضًا على اختلاف أصغر في يونيو 2025: فالانتقال من 733 إلى 791 جهازًا يعطي 7.91%، بينما يعرض إصدار يونيو +7.6%.</x:v>
      </x:c>
      <x:c r="P6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6"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x:v>
      </x:c>
      <x:c r="Y66" s="24" t="str">
        <x:v>[]</x:v>
      </x:c>
      <x:c r="Z66" t="str">
        <x:v>BOUND_EXACT</x:v>
      </x:c>
    </x:row>
    <x:row r="67">
      <x:c r="A67" s="24" t="str">
        <x:v>VIS-POS-TRANSACTIONS</x:v>
      </x:c>
      <x:c r="B67" s="24" t="str">
        <x:v>VISUAL</x:v>
      </x:c>
      <x:c r="C67" s="24" t="str">
        <x:v>/payments/</x:v>
      </x:c>
      <x:c r="D67" s="24" t="str">
        <x:v>Reported POS transactions, monthly</x:v>
      </x:c>
      <x:c r="E67" s="28" t="str">
        <x:v>معاملات نقاط البيع المبلغ عنها شهريًا</x:v>
      </x:c>
      <x:c r="F6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G6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H67" s="24" t="str">
        <x:v>The monthly number of POS transactions reported by the Central Bank of Yemen – Aden (CBY-Aden) within its reporting scope, March 2025 to January 2026.</x:v>
      </x:c>
      <x:c r="I67" s="28" t="str">
        <x:v>العدد الشهري لمعاملات نقاط البيع التي يُبلغ عنها البنك المركزي اليمني – عدن ضمن نطاق الإبلاغ لديه، من مارس 2025 إلى يناير 2026.</x:v>
      </x:c>
      <x:c r="J67" s="24" t="str">
        <x:v>Mar-2025–Jan-2026 monthly</x:v>
      </x:c>
      <x:c r="K67" s="28" t="str">
        <x:v>شهريًا من مارس 2025 إلى يناير 2026</x:v>
      </x:c>
      <x:c r="L67" s="24" t="str">
        <x:v>POS transactions within the payment-system reporting scope of the Central Bank of Yemen – Aden (CBY-Aden); how far that scope covers each area of Yemen is not established.</x:v>
      </x:c>
      <x:c r="M67" s="28" t="str">
        <x:v>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x:v>
      </x:c>
      <x:c r="O67"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x:v>
      </x:c>
      <x:c r="P6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January 2026; the series runs monthly from March 2025. January 2026 was the latest monthly POS release on the payments page of the Central Bank of Yemen – Aden (CBY-Aden) when checked on 26 September 2026. The figures should not be read as describing a later period unless a newer comparable release is published.</x:v>
      </x:c>
      <x:c r="S67" s="28" t="str">
        <x:v>تعود أحدث مشاهدة في هذا السجل إلى يناير 2026، وتمتد السلسلة شهريًا منذ مارس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SRC-CBY-POS-2025-09; SRC-CBY-POS-2025-10; SRC-CBY-POS-2025-11; SRC-CBY-POS-2025-12; SRC-CBY-POS-2026-01</x:v>
      </x:c>
      <x:c r="Y67" s="24" t="str">
        <x:v>[]</x:v>
      </x:c>
      <x:c r="Z67" t="str">
        <x:v>BOUND_EXACT</x:v>
      </x:c>
    </x:row>
    <x:row r="68">
      <x:c r="A68" s="24" t="str">
        <x:v>VIS-POS-VALUE</x:v>
      </x:c>
      <x:c r="B68" s="24" t="str">
        <x:v>VISUAL</x:v>
      </x:c>
      <x:c r="C68" s="24" t="str">
        <x:v>/payments/</x:v>
      </x:c>
      <x:c r="D68" s="24" t="str">
        <x:v>Nominal value of reported POS transactions, monthly</x:v>
      </x:c>
      <x:c r="E68" s="28" t="str">
        <x:v>القيمة الاسمية لمعاملات نقاط البيع المبلغ عنها شهريًا</x:v>
      </x:c>
      <x:c r="F6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G6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H68" s="24" t="str">
        <x:v>The monthly nominal value, in Yemeni rials, of POS transactions reported by the Central Bank of Yemen – Aden (CBY-Aden) within its reporting scope, March 2025 to January 2026, with no value for September 2025.</x:v>
      </x:c>
      <x:c r="I68" s="28" t="str">
        <x:v>القيمة الاسمية الشهرية بالريال اليمني لمعاملات نقاط البيع التي يُبلغ عنها البنك المركزي اليمني – عدن ضمن نطاق الإبلاغ لديه، من مارس 2025 إلى يناير 2026، من دون قيمة لشهر سبتمبر 2025.</x:v>
      </x:c>
      <x:c r="J68" s="24" t="str">
        <x:v>Mar-2025–Jan-2026; Sep-2025 gap</x:v>
      </x:c>
      <x:c r="K68" s="28" t="str">
        <x:v>مارس 2025 – يناير 2026؛ مع فجوة في سبتمبر 2025</x:v>
      </x:c>
      <x:c r="L68" s="24" t="str">
        <x:v>Nominal value of POS transactions within the payment-system reporting scope of the Central Bank of Yemen – Aden (CBY-Aden); how far that scope covers each area of Yemen is not established.</x:v>
      </x:c>
      <x:c r="M68"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8" s="24" t="str">
        <x:v>Monthly values in Yemeni rials as published in the monthly POS releases of the Central Bank of Yemen – Aden (CBY-Aden), normalised to millions of rials; the values are nominal and are not adjusted for inflation or exchange-rate changes. No value is available for September 2025, and none is interpolated. Each value is shown to the nearest million rials (for example, 317.639 million is shown as 318).</x:v>
      </x:c>
      <x:c r="O68"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ولا تتوفر قيمة لشهر سبتمبر 2025، ولا تُقدَّر بالاستيفاء. وتُعرض كل قيمة مقرّبة إلى أقرب مليون ريال (فمثلًا تُعرض 317.639 مليون ريال على أنها 318).</x:v>
      </x:c>
      <x:c r="P6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8" s="24" t="str">
        <x:v>The latest observation in this record refers to January 2026; the series runs monthly from March 2025, with no value for September 2025. January 2026 was the latest monthly POS release on the payments page of the Central Bank of Yemen – Aden (CBY-Aden) when checked on 26 September 2026. The figures should not be read as describing a later period unless a newer comparable release is published.</x:v>
      </x:c>
      <x:c r="S68" s="28" t="str">
        <x:v>تعود أحدث مشاهدة في هذا السجل إلى يناير 2026، وتمتد السلسلة شهريًا منذ مارس 2025 من دون قيمة لشهر سبتمبر 2025. وكان يناير 2026 أحدث إصدار شهري لنقاط البيع في صفحة المدفوعات لدى البنك المركزي اليمني – عدن كما اطُّلع عليها في 26 سبتمبر 2026. ولا تُقرأ الأرقام على أنها تصف فترة لاحقة ما لم يُنشر إصدار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SRC-CBY-POS-2025-03; SRC-CBY-POS-2025-04; SRC-CBY-POS-2025-05; SRC-CBY-POS-2025-06; SRC-CBY-POS-2025-07; SRC-CBY-POS-2025-08; SRC-CBY-POS-2025-10; SRC-CBY-POS-2025-11; SRC-CBY-POS-2025-12; SRC-CBY-POS-2026-01</x:v>
      </x:c>
      <x:c r="Y68" s="24" t="str">
        <x:v>[]</x:v>
      </x:c>
      <x:c r="Z68" t="str">
        <x:v>BOUND_EXACT</x:v>
      </x:c>
    </x:row>
    <x:row r="69">
      <x:c r="A69" s="24" t="str">
        <x:v>VIS-PAYMENT-ANATOMY</x:v>
      </x:c>
      <x:c r="B69" s="24" t="str">
        <x:v>VISUAL</x:v>
      </x:c>
      <x:c r="C69" s="24" t="str">
        <x:v>/payments/</x:v>
      </x:c>
      <x:c r="D69" s="24" t="str">
        <x:v>What does the payment system actually count?</x:v>
      </x:c>
      <x:c r="E69" s="28" t="str">
        <x:v>ما الذي يقيسه نظام المدفوعات فعلًا؟</x:v>
      </x:c>
      <x:c r="F69"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9"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9" s="24" t="str">
        <x:v>Counts of payment-system items — cards, ATMs, POS terminals, POS transactions, e-wallets, e-wallet subscribers and accounts — reported by the Central Bank of Yemen – Aden (CBY-Aden) for the first half of 2025, each in its own unit.</x:v>
      </x:c>
      <x:c r="I69"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9" s="24" t="str">
        <x:v>2025 H1</x:v>
      </x:c>
      <x:c r="K69" s="28" t="str">
        <x:v>النصف الأول من 2025</x:v>
      </x:c>
      <x:c r="L69" s="24" t="str">
        <x:v>Cards, ATMs, POS terminals, transactions, e-wallets, subscribers and accounts within the payment-system reporting scope of the Central Bank of Yemen – Aden (CBY-Aden), first half of 2025; each has its own unit.</x:v>
      </x:c>
      <x:c r="M69"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9" s="24" t="str">
        <x:v>Each count is taken as published in the first-half 2025 payment report (an infographic) of the Central Bank of Yemen – Aden (CBY-Aden) and kept in its own unit; the counts are not added together or combined into an index.</x:v>
      </x:c>
      <x:c r="O69"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9"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9"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9" s="24" t="str">
        <x:v>The counts refer to the first half of 2025. They should not be read as describing a later period unless a newer comparable payment report is published.</x:v>
      </x:c>
      <x:c r="S69" s="28" t="str">
        <x:v>تعود الأعداد إلى النصف الأول من 2025، ولا تُقرأ على أنها تصف فترة لاحقة ما لم يُنشر تقرير مدفوعات أحدث قابل للمقارنة.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SRC-CBY-PAYREPORT-H1-2025</x:v>
      </x:c>
      <x:c r="Y69" s="24" t="str">
        <x:v>[]</x:v>
      </x:c>
      <x:c r="Z69" t="str">
        <x:v>BOUND_EXACT</x:v>
      </x:c>
    </x:row>
    <x:row r="70">
      <x:c r="A70" s="24" t="str">
        <x:v>VIS-MFI-2014-PANEL</x:v>
      </x:c>
      <x:c r="B70" s="24" t="str">
        <x:v>VISUAL</x:v>
      </x:c>
      <x:c r="C70" s="24" t="str">
        <x:v>/finance/</x:v>
      </x:c>
      <x:c r="D70" s="24" t="str">
        <x:v>Microfinance in 2014 — two comparable quarters, not a long trend</x:v>
      </x:c>
      <x:c r="E70" s="28" t="str">
        <x:v>التمويل الأصغر في 2014: ربعان قابلان للمقارنة، لا اتجاه طويل الأمد</x:v>
      </x:c>
      <x:c r="F70"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70"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70" s="24" t="str">
        <x:v>Active borrowers, voluntary savers and outstanding loan portfolio (nominal Yemeni rials) reported by the same nine microfinance providers in Yemen Microfinance Network (YMN) tables for the first and second quarters of 2014.</x:v>
      </x:c>
      <x:c r="I70"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70" s="24" t="str">
        <x:v>2014 Q1/Q2</x:v>
      </x:c>
      <x:c r="K70" s="28" t="str">
        <x:v>الربعان الأول والثاني من 2014</x:v>
      </x:c>
      <x:c r="L70" s="24" t="str">
        <x:v>The same 2014 reporting panel of nine microfinance providers for borrowers, savers and nominal portfolio.</x:v>
      </x:c>
      <x:c r="M70" s="28" t="str">
        <x:v>مجموعة الجهات المُبلِّغة نفسها لعام 2014، المكونة من تسعة مقدمي تمويل أصغر، عند عرض المقترضين والمدخرين والمحفظة الاسمية.</x:v>
      </x:c>
      <x:c r="N70" s="24" t="str">
        <x:v>Totals as published in the quarterly SEEP reporting tables of the Yemen Microfinance Network (YMN) for March and June 2014, covering the same nine reporting providers; one provider's first-quarter figures are reported from December 2013 data.</x:v>
      </x:c>
      <x:c r="O70"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70" s="24" t="str">
        <x:v>It does not form one continuous national series with the 2012 or 2021 figures. | The nine providers are those reporting to YMN, not a census of the whole sector, and one provider's first-quarter figures date from December 2013.</x:v>
      </x:c>
      <x:c r="Q70"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70" s="24" t="str">
        <x:v>The latest observation in this record refers to the second quarter of 2014 (end of June 2014). It should not be read as describing a later period.</x:v>
      </x:c>
      <x:c r="S70" s="28" t="str">
        <x:v>تعود أحدث مشاهدة في هذا السجل إلى الربع الثاني من 2014 (نهاية يونيو 2014)، ولا تُقرأ على أنها تصف فترة لاحقة.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SRC-YMN-MFMAG-2014-Q1-001; SRC-YMN-MFMAG-2014-Q2-001</x:v>
      </x:c>
      <x:c r="Y70" s="24" t="str">
        <x:v>[]</x:v>
      </x:c>
      <x:c r="Z70" t="str">
        <x:v>BOUND_EXACT</x:v>
      </x:c>
      <x:c r="AA70" t="str">
        <x:v>NO_GOVERNED_CONTRACT__TABLE_ONLY</x:v>
      </x:c>
    </x:row>
    <x:row r="71">
      <x:c r="A71" s="24" t="str">
        <x:v>VIS-REMITTANCE-MACRO</x:v>
      </x:c>
      <x:c r="B71" s="24" t="str">
        <x:v>VISUAL</x:v>
      </x:c>
      <x:c r="C71" s="24" t="str">
        <x:v>/remittances/</x:v>
      </x:c>
      <x:c r="D71" s="24" t="str">
        <x:v>Remittances — IMF-reported history, estimate and projections</x:v>
      </x:c>
      <x:c r="E71" s="28" t="str">
        <x:v>التحويلات: القيم التاريخية الواردة في تقارير صندوق النقد الدولي والتقدير والتوقعات</x:v>
      </x:c>
      <x:c r="F71"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G71"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H71" s="24" t="str">
        <x:v>Annual external-sector remittances, in US$ million, in the IMF series for 2018–2030, with each year labelled as reported history (2018–2024), estimate (2025) or projection (2026–2030).</x:v>
      </x:c>
      <x:c r="I71"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1" s="24" t="str">
        <x:v>2018–2030</x:v>
      </x:c>
      <x:c r="K71" s="28" t="str">
        <x:v>2018–2030</x:v>
      </x:c>
      <x:c r="L71" s="24" t="str">
        <x:v>IMF external-sector remittance series on the IMF’s analytical scope for areas under the internationally recognized government; each year labelled as reported history, estimate or projection, with its source document</x:v>
      </x:c>
      <x:c r="M71"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1" s="24" t="str">
        <x:v>Values as published by the IMF: 2018–2024 in the 2025 Article IV staff report, based on staff calculations (Table 4, external sector), and 2025–2030 in a later supplement to the same consultation (Supplementary Table 2).</x:v>
      </x:c>
      <x:c r="O71"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1"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1"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1"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1"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SRC-IMF-AIV-2025-STAFF-001; SRC-IMF-AIV-2025-SUPP-001</x:v>
      </x:c>
      <x:c r="Y71" s="24" t="str">
        <x:v>[]</x:v>
      </x:c>
      <x:c r="Z71" t="str">
        <x:v>BOUND_EXACT</x:v>
      </x:c>
    </x:row>
    <x:row r="72">
      <x:c r="A72" s="24" t="str">
        <x:v>VIS-REMITTANCE-COST</x:v>
      </x:c>
      <x:c r="B72" s="24" t="str">
        <x:v>VISUAL</x:v>
      </x:c>
      <x:c r="C72" s="24" t="str">
        <x:v>/remittances/</x:v>
      </x:c>
      <x:c r="D72" s="24" t="str">
        <x:v>Quoted cost of sending US$200 and US$500 to Yemen from Saudi Arabia and the UAE, 2025 Q3</x:v>
      </x:c>
      <x:c r="E72" s="28" t="str">
        <x:v>التكلفة المعلنة لإرسال 200 و500 دولار أمريكي إلى اليمن من السعودية والإمارات، الربع الثالث من 2025</x:v>
      </x:c>
      <x:c r="F72"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2"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2" s="24" t="str">
        <x:v>The total cost of sending US$200 or US$500 from Saudi Arabia or the United Arab Emirates to Yemen, as a percentage of the amount sent, averaged over quotes for formal products in 2025 Q3.</x:v>
      </x:c>
      <x:c r="I72"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2" s="24" t="str">
        <x:v>2025 Q3</x:v>
      </x:c>
      <x:c r="K72" s="28" t="str">
        <x:v>الربع الثالث من 2025</x:v>
      </x:c>
      <x:c r="L72" s="24" t="str">
        <x:v>Formal remittance products listed by the World Bank Remittance Prices Worldwide database for the Saudi Arabia–Yemen and United Arab Emirates–Yemen corridors, by send amount, 2025 Q3</x:v>
      </x:c>
      <x:c r="M72"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2"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2"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2"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2"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2" s="24" t="str">
        <x:v>The averages refer to the third quarter of 2025. As checked on 26 September 2026, both corridor pages still showed the third quarter of 2025 as the latest quarter.</x:v>
      </x:c>
      <x:c r="S72"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SRC-WB-RPW-SA-YEM-2025Q3-001; SRC-WB-RPW-UAE-YEM-2025Q3-001</x:v>
      </x:c>
      <x:c r="Y72" s="24" t="str">
        <x:v>[]</x:v>
      </x:c>
      <x:c r="Z72" t="str">
        <x:v>BOUND_EXACT</x:v>
      </x:c>
    </x:row>
    <x:row r="73">
      <x:c r="A73" s="24" t="str">
        <x:v>VIS-FIRM-CONSTRAINTS</x:v>
      </x:c>
      <x:c r="B73" s="24" t="str">
        <x:v>VISUAL</x:v>
      </x:c>
      <x:c r="C73" s="24" t="str">
        <x:v>/firms/</x:v>
      </x:c>
      <x:c r="D73" s="24" t="str">
        <x:v>Finance is not the only constraint surveyed formal firms report, 2022</x:v>
      </x:c>
      <x:c r="E73" s="28" t="str">
        <x:v>التمويل ليس القيد الوحيد الذي تذكره المنشآت الرسمية المشمولة بالمسح، 2022</x:v>
      </x:c>
      <x:c r="F7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3" s="24" t="str">
        <x:v>The share of surveyed formal firms in seven governorates that named each item as a business challenge, 2022.</x:v>
      </x:c>
      <x:c r="I73" s="28" t="str">
        <x:v>نسبة المنشآت الرسمية المشمولة بالمسح في سبع محافظات التي ذكرت كل بند بوصفه تحديًا للأعمال، 2022.</x:v>
      </x:c>
      <x:c r="J73" s="24" t="str">
        <x:v>2022</x:v>
      </x:c>
      <x:c r="K73" s="28" t="str">
        <x:v>2022</x:v>
      </x:c>
      <x:c r="L73" s="24" t="str">
        <x:v>Formal enterprises in seven selected governorates covered by the 2022 custom survey</x:v>
      </x:c>
      <x:c r="M73" s="28" t="str">
        <x:v>المنشآت الرسمية في المحافظات السبع المختارة التي شملها المسح المخصص لعام 2022.</x:v>
      </x:c>
      <x:c r="N73" s="24" t="str">
        <x:v>A World Bank custom enterprise survey of formal firms in seven governorates (September 2022), reported in Yemen Financial Sector Diagnostics (2024). The shares are the source's own tabulation in Annex III, Figure 108 ('Challenges in Business Environment') and Table 8 ('List of Challenges to the Establishment'), p. 146. Firms could name more than one challenge.</x:v>
      </x:c>
      <x:c r="O73" s="28" t="str">
        <x:v>مسح مخصص للمنشآت الرسمية أجراه البنك الدولي في سبع محافظات (سبتمبر 2022)، ونُشرت نتائجه في «التشخيص المالي لليمن (2024)». والنسب كما بوّبها المصدر نفسه في الملحق الثالث: الشكل 108 («تحديات بيئة الأعمال») والجدول 8 («قائمة التحديات التي تواجه المنشأة»)، ص 146. وكان بإمكان المنشأة ذكر أكثر من تحدٍّ.</x:v>
      </x:c>
      <x:c r="P7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 | Firms could name more than one challenge, so the shares add up to more than 100%. Neither the number of firms answering nor the exact question wording is recorded in the evidence base.</x:v>
      </x:c>
      <x:c r="Q7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VIS-FIRM-FINANCE-PATH</x:v>
      </x:c>
      <x:c r="B74" s="24" t="str">
        <x:v>VISUAL</x:v>
      </x:c>
      <x:c r="C74" s="24" t="str">
        <x:v>/firms/</x:v>
      </x:c>
      <x:c r="D74" s="24" t="str">
        <x:v>Loan sources in 18 valid responses from surveyed formal firms, 2022</x:v>
      </x:c>
      <x:c r="E74" s="28" t="str">
        <x:v>مصادر القروض في 18 استجابة صالحة من المنشآت الرسمية المشمولة بالمسح، 2022</x:v>
      </x:c>
      <x:c r="F7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4" s="24" t="str">
        <x:v>Counts of surveyed formal firms in seven governorates reporting a line of credit, and counts of loan sources named in valid responses, 2022.</x:v>
      </x:c>
      <x:c r="I74" s="28" t="str">
        <x:v>أعداد المنشآت الرسمية المشمولة بالمسح في سبع محافظات التي أفادت بامتلاك خط ائتمان، وأعداد مصادر القروض المذكورة في الاستجابات الصالحة، 2022.</x:v>
      </x:c>
      <x:c r="J74" s="24" t="str">
        <x:v>2022</x:v>
      </x:c>
      <x:c r="K74" s="28" t="str">
        <x:v>2022</x:v>
      </x:c>
      <x:c r="L74" s="24" t="str">
        <x:v>Formal firms in seven selected governorates: 328 surveyed; 31 report a line of credit; 18 valid loan-source responses</x:v>
      </x:c>
      <x:c r="M74" s="28" t="str">
        <x:v>منشآت رسمية في سبع محافظات مختارة: 328 منشأة في العينة؛ 31 أفادت بخط ائتمان؛ 18 استجابة صالحة لسؤال مصدر القرض.</x:v>
      </x:c>
      <x:c r="N74" s="24" t="str">
        <x:v>A World Bank custom enterprise survey of formal firms in seven governorates (September 2022),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4" s="28" t="str">
        <x:v>مسح مخصص للمنشآت الرسمية أجراه البنك الدولي في سبع محافظات (سبتمبر 2022)، ونُشرت نتائجه في «التشخيص المالي لليمن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4"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VIS-FIRM-FINANCE-SEVERITY</x:v>
      </x:c>
      <x:c r="B75" s="24" t="str">
        <x:v>VISUAL</x:v>
      </x:c>
      <x:c r="C75" s="24" t="str">
        <x:v>/firms/</x:v>
      </x:c>
      <x:c r="D75" s="24" t="str">
        <x:v>Finance obstacle severity among surveyed formal firms, excluding those that said they needed no loan, 2022</x:v>
      </x:c>
      <x:c r="E75" s="28" t="str">
        <x:v>شدة عائق التمويل لدى المنشآت الرسمية المشمولة بالمسح، باستثناء التي قالت إنها لا تحتاج إلى قرض، 2022</x:v>
      </x:c>
      <x:c r="F7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5" s="24" t="str">
        <x:v>The shares of formal firms rating access to finance as a major or a moderate obstacle, among firms in the survey report's finance-obstacle tabulation (firms that said they did not need a loan are excluded), seven governorates, 2022.</x:v>
      </x:c>
      <x:c r="I75"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5" s="24" t="str">
        <x:v>2022</x:v>
      </x:c>
      <x:c r="K75" s="28" t="str">
        <x:v>2022</x:v>
      </x:c>
      <x:c r="L75" s="24" t="str">
        <x:v>Formal firms in seven selected governorates in the survey report's finance-obstacle tabulation, which excludes firms that said they did not need a loan; the number of firms is not recorded in the evidence base</x:v>
      </x:c>
      <x:c r="M75"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5" s="24" t="str">
        <x:v>Two shares reported by the source for the 2022 World Bank custom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5" s="28" t="str">
        <x:v>نسبتان أوردهما المصدر لمسح المنشآت المخصص الذي أجراه البنك الدولي عام 2022 (سبتمبر 2022)، في «التشخيص المالي لليمن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5"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x:v>
      </x:c>
      <x:c r="Q7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x:v>
      </x:c>
      <x:c r="R75" s="24" t="str">
        <x:v>The latest observation in this record refers to the 2022 survey (September 2022). It should not be read as describing a later period unless a newer comparable observation is published.</x:v>
      </x:c>
      <x:c r="S75" s="28" t="str">
        <x:v>تعود أحدث مشاهدة في هذا السجل إلى مسح 2022 (سبتمبر 2022)، ولا تُقرأ على أنها تصف فترة لاحقة ما لم تُنشر مشاهدة أحدث قابلة للمقارنة.</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SRC-WB-FSD-2024-001</x:v>
      </x:c>
      <x:c r="Y75" s="24" t="str">
        <x:v>[]</x:v>
      </x:c>
      <x:c r="Z75" t="str">
        <x:v>BOUND_EXACT</x:v>
      </x:c>
    </x:row>
    <x:row r="76">
      <x:c r="A76" s="24" t="str">
        <x:v>VIS-OECD-FCP-TIMELINE</x:v>
      </x:c>
      <x:c r="B76" s="24" t="str">
        <x:v>VISUAL</x:v>
      </x:c>
      <x:c r="C76" s="24" t="str">
        <x:v>/reforms/</x:v>
      </x:c>
      <x:c r="D76" s="24" t="str">
        <x:v>Financial consumer protection: which steps from framework to outcome are evidenced?</x:v>
      </x:c>
      <x:c r="E76" s="28" t="str">
        <x:v>حماية المستهلك المالي: أي المراحل من الإطار إلى النتيجة تسندها الأدلة؟</x:v>
      </x:c>
      <x:c r="F76"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6"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6" s="24" t="str">
        <x:v>The stages of financial consumer protection in Yemen — framework, stated purpose, awareness activity, implementation, complaints and redress, enforcement and consumer outcomes — and the evidence recorded for each.</x:v>
      </x:c>
      <x:c r="I76"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6" s="24" t="str">
        <x:v>2023 to 2024 (official sources), with OECD context from 2026; later stages have no evidence</x:v>
      </x:c>
      <x:c r="K76" s="28" t="str">
        <x:v>من 2023 إلى 2024 (المصادر الرسمية)، مع سياق من منظمة التعاون الاقتصادي والتنمية في 2026؛ ولا تتوفر أدلة على المراحل اللاحقة</x:v>
      </x:c>
      <x:c r="L76" s="24" t="str">
        <x:v>Official instruments and guidance of the Central Bank of Yemen – Aden (CBY-Aden), with context attributed to the OECD, keeping the framework separate from implementation and outcomes</x:v>
      </x:c>
      <x:c r="M76"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6"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6"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6" s="24" t="str">
        <x:v>The existence of an instrument does not by itself establish a complaint path, implementation or effective protection, and OECD analysis or other secondary material does not raise the evidence to that level.</x:v>
      </x:c>
      <x:c r="Q76"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R76" s="24" t="str">
        <x:v>The latest official source in this record dates from 23 March 2024, and the OECD analysis from 2026. The evidence base holds no evidence on implementation, enforcement or consumer outcomes for any date.</x:v>
      </x:c>
      <x:c r="S76"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SRC-CBY-FCP-INSTR-2023-001; SRC-CBY-FCP-AWARE-2024-001; SRC-CBY-FCP-BROCHURE-2024-001; SRC-OECD-YEM-RESILIENCE-001</x:v>
      </x:c>
      <x:c r="Y76" s="24" t="str">
        <x:v>[]</x:v>
      </x:c>
      <x:c r="Z76" t="str">
        <x:v>BOUND_EXACT</x:v>
      </x:c>
    </x:row>
    <x:row r="77">
      <x:c r="A77" s="24" t="str">
        <x:v>VIS-CAPITAL-CONTEXT</x:v>
      </x:c>
      <x:c r="B77" s="24" t="str">
        <x:v>VISUAL</x:v>
      </x:c>
      <x:c r="C77" s="24" t="str">
        <x:v>/reforms/</x:v>
      </x:c>
      <x:c r="D77" s="24" t="str">
        <x:v>Humanitarian, development and project finance: separate pathways</x:v>
      </x:c>
      <x:c r="E77" s="28" t="str">
        <x:v>التمويل الإنساني والتنموي وتمويل المشروعات: مسارات منفصلة</x:v>
      </x:c>
      <x:c r="F77"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7"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7" s="24" t="str">
        <x:v>This record sets out a distinction between finance pathways; it reports no funding amount.</x:v>
      </x:c>
      <x:c r="I77" s="28" t="str">
        <x:v>يحدد هذا السجل تمييزًا بين مسارات التمويل، ولا يورد أي مبلغ تمويلي.</x:v>
      </x:c>
      <x:c r="J77" s="24" t="str">
        <x:v>Individual event dates; context as of 2026</x:v>
      </x:c>
      <x:c r="K77" s="28" t="str">
        <x:v>تواريخ الأحداث المنفردة؛ والسياق كما هو في 2026</x:v>
      </x:c>
      <x:c r="L77" s="24" t="str">
        <x:v>Funding and programme relationships as each source defines them, with flow types and funding states kept separate</x:v>
      </x:c>
      <x:c r="M77" s="28" t="str">
        <x:v>علاقات التمويل والبرامج كما يحددها كل مصدر، مع فصل فئات التدفق وحالاته.</x:v>
      </x:c>
      <x:c r="N77" s="24" t="str">
        <x:v>Each pathway is described by its type of flow and the kind of evidence available for it; amounts in different funding states are not added together, and no amount is reported in this record.</x:v>
      </x:c>
      <x:c r="O77" s="28" t="str">
        <x:v>يوصف كل مسار بنوع التدفق ونوع الأدلة المتاحة له؛ ولا تُجمع مبالغ تمويل في مراحل مختلفة، ولا يورد هذا السجل أي مبلغ.</x:v>
      </x:c>
      <x:c r="P77" s="24" t="str">
        <x:v>Announced or recorded funding is not downstream lending, reach, use or an inclusion outcome. | The humanitarian funding flows linked to this record do not describe development, project or financial-institution finance.</x:v>
      </x:c>
      <x:c r="Q77"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7" s="24" t="str">
        <x:v>This record sets out a distinction and reports no observation, so it has no observation date.</x:v>
      </x:c>
      <x:c r="S77" s="28" t="str">
        <x:v>يحدد هذا السجل تمييزًا ولا يورد مشاهدة، فليس له تاريخ رصد.</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record is drawn from the source(s) listed on this page. Open a source record to reach the original document, and check that the definition, period, population and geography match what is stated here.</x:v>
      </x:c>
      <x:c r="W7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7" s="24" t="str">
        <x:v>SRC-OCHA-FTS-YEM-2026-001</x:v>
      </x:c>
      <x:c r="Y77" s="24" t="str">
        <x:v>[]</x:v>
      </x:c>
      <x:c r="Z77" t="str">
        <x:v>BOUND_EXACT</x:v>
      </x:c>
    </x:row>
    <x:row r="78">
      <x:c r="A78" s="24" t="str">
        <x:v>VIS-EVIDENCE-GAPS</x:v>
      </x:c>
      <x:c r="B78" s="24" t="str">
        <x:v>VISUAL</x:v>
      </x:c>
      <x:c r="C78" s="24" t="str">
        <x:v>/measurement/</x:v>
      </x:c>
      <x:c r="D78" s="24" t="str">
        <x:v>What we still do not know</x:v>
      </x:c>
      <x:c r="E78" s="28" t="str">
        <x:v>ما الذي ما زلنا لا نعرفه؟</x:v>
      </x:c>
      <x:c r="F7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8" s="24" t="str">
        <x:v>This record describes the types of evidence gap recorded in this resource; it reports no value.</x:v>
      </x:c>
      <x:c r="I78" s="28" t="str">
        <x:v>يصف هذا السجل أنواع فجوات الأدلة المسجلة في هذا المورد، ولا يورد أي قيمة.</x:v>
      </x:c>
      <x:c r="J78" s="24" t="str">
        <x:v>As of the edition of this resource dated 26 September 2026</x:v>
      </x:c>
      <x:c r="K78" s="28" t="str">
        <x:v>وفق إصدار هذا المورد المؤرخ في 26 سبتمبر 2026</x:v>
      </x:c>
      <x:c r="L78" s="24" t="str">
        <x:v>Documented gaps that block an answer: missing periods, unavailable sources, missing calculation bases and primary files not yet available</x:v>
      </x:c>
      <x:c r="M78" s="28" t="str">
        <x:v>الفجوات الموثقة التي تحول دون الإجابة: فترات مفقودة، ومصادر غير متاحة، وقواعد احتساب غير موثقة، وملفات أصلية لم تتح بعد.</x:v>
      </x:c>
      <x:c r="N78" s="24" t="str">
        <x:v>Each gap is recorded with an explicit type; a blank or unknown value is recorded as missing, not as zero.</x:v>
      </x:c>
      <x:c r="O78" s="28" t="str">
        <x:v>تُسجَّل كل فجوة بنوع صريح، ويُسجَّل الفراغ أو المجهول بوصفه مفقودًا لا صفرًا.</x:v>
      </x:c>
      <x:c r="P78" s="24" t="str">
        <x:v>A gap is not zero, and it is not evidence of absence or failure.</x:v>
      </x:c>
      <x:c r="Q78" s="28" t="str">
        <x:v>الفجوة ليست صفرًا وليست دليلًا على الغياب أو الفشل.</x:v>
      </x:c>
      <x:c r="R78" s="24" t="str">
        <x:v>The gaps are those recorded as of the edition of this resource dated 26 September 2026. A gap closes when new evidence fills it, and the list changes accordingly.</x:v>
      </x:c>
      <x:c r="S78" s="28" t="str">
        <x:v>الفجوات هي المسجلة وفق إصدار هذا المورد المؤرخ في 26 سبتمبر 2026. وتُغلق الفجوة عندما يسدّها دليل جديد، وتتغير القائمة تبعًا لذلك.</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view summarises other evidence records, which are not yet linked individually here. Before reusing a figure, open the evidence record that reports it and check that record against its own source.</x:v>
      </x:c>
      <x:c r="W78" s="28" t="str">
        <x:v>يلخص هذا العرض سجلات أدلة أخرى لم تُربط بعدُ هنا كلٌّ على حدة. وقبل إعادة استخدام أي رقم، افتح سجل الدليل الذي يورده وطابِقه مع مصدره.</x:v>
      </x:c>
      <x:c r="X78" s="24"/>
      <x:c r="Y78" s="24" t="str">
        <x:v>[]</x:v>
      </x:c>
      <x:c r="Z78" t="str">
        <x:v>COMPOSITE_OF_OBJECTS</x:v>
      </x:c>
    </x:row>
    <x:row r="79">
      <x:c r="A79" s="24" t="str">
        <x:v>VIS-PAYMENT-RAILS</x:v>
      </x:c>
      <x:c r="B79" s="24" t="str">
        <x:v>VISUAL</x:v>
      </x:c>
      <x:c r="C79" s="24" t="str">
        <x:v>/reforms/</x:v>
      </x:c>
      <x:c r="D79" s="24" t="str">
        <x:v>How the payment architecture is changing</x:v>
      </x:c>
      <x:c r="E79" s="28" t="str">
        <x:v>كيف تتغير بنية المدفوعات؟</x:v>
      </x:c>
      <x:c r="F79"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G79"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9" s="24" t="str">
        <x:v>Dated payment-reform steps — rules, project components, decisions, integration work and new institutions — recorded between June 2024 and August 2026, each at the furthest stage its evidence supports.</x:v>
      </x:c>
      <x:c r="I79"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9" s="24" t="str">
        <x:v>2024–2026</x:v>
      </x:c>
      <x:c r="K79" s="28" t="str">
        <x:v>2024–2026</x:v>
      </x:c>
      <x:c r="L79" s="24" t="str">
        <x:v>Payment-reform rules, projects, decisions and institutions documented by the Central Bank of Yemen – Aden (CBY-Aden), the World Bank and the United Nations Development Programme (UNDP), with rules, projects, integration, institutions, operation and use kept separate</x:v>
      </x:c>
      <x:c r="M79"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9"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9"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9"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Q79"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R79"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9"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record is drawn from the source(s) listed on this page. Open a source record to reach the original document, and check that the definition, period, population and geography match what is stated here.</x:v>
      </x:c>
      <x:c r="W7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9" s="24" t="str">
        <x:v>SRC-UNDP-FMIIP-001; SRC-WB-FMIIP-P180708; SRC-WB-FMIIP-ISR2-2026-001; SRC-CBY-EMONEY-AMD-2025-001; SRC-CBY-DIGITAL-EXPO-2026-001; SRC-CBY-PAY-BOARD-2026-001; SRC-CBY-BANK-NETWORK-MTG-2026-001; SRC-CBY-UNIFIED-NET-2026-001; SRC-CBY-YPCC-FOUND-2026-001; SRC-CBY-YPCC-BOARD-2026-001; SRC-CBY-DEC-23-2024-001</x:v>
      </x:c>
      <x:c r="Y79" s="24" t="str">
        <x:v>[]</x:v>
      </x:c>
      <x:c r="Z79" t="str">
        <x:v>BOUND_EXACT</x:v>
      </x:c>
    </x:row>
    <x:row r="80">
      <x:c r="A80" s="24" t="str">
        <x:v>VIS-EVIDENCE-CLASS-LADDER</x:v>
      </x:c>
      <x:c r="B80" s="24" t="str">
        <x:v>VISUAL</x:v>
      </x:c>
      <x:c r="C80" s="24" t="str">
        <x:v>/evidence/</x:v>
      </x:c>
      <x:c r="D80" s="24" t="str">
        <x:v>What kind of evidence is this?</x:v>
      </x:c>
      <x:c r="E80" s="28" t="str">
        <x:v>ما نوع هذا الدليل؟</x:v>
      </x:c>
      <x:c r="F80"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80"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80" s="24" t="str">
        <x:v>This record sets out the types of evidence used in this resource and what each type can support; it reports no value.</x:v>
      </x:c>
      <x:c r="I80" s="28" t="str">
        <x:v>يحدد هذا السجل أنواع الأدلة المستخدمة في هذا المورد وما يمكن لكل نوع أن يدعمه، ولا يورد أي قيمة.</x:v>
      </x:c>
      <x:c r="J80" s="24" t="str">
        <x:v>Edition of this resource dated 26 September 2026</x:v>
      </x:c>
      <x:c r="K80" s="28" t="str">
        <x:v>إصدار هذا المورد المؤرخ في 26 سبتمبر 2026</x:v>
      </x:c>
      <x:c r="L80" s="24" t="str">
        <x:v>Evidence records published in this resource only, classified by their nature and by what each can establish</x:v>
      </x:c>
      <x:c r="M80" s="28" t="str">
        <x:v>سجلات الأدلة المنشورة في هذا المورد فقط، مصنفة بحسب طبيعتها وما تسمح بإثباته.</x:v>
      </x:c>
      <x:c r="N80" s="24" t="str">
        <x:v>Each record is assigned to one evidence type according to how its source produced the evidence; the types are presented as separate categories, not ranked, and no numeric score is assigned.</x:v>
      </x:c>
      <x:c r="O80" s="28" t="str">
        <x:v>يُصنَّف كل سجل في نوع دليل واحد بحسب الطريقة التي أنتج بها مصدره الدليل؛ وتُعرض الأنواع فئاتٍ منفصلة لا ترتيب تفاضليًا بينها، ولا تُمنح أي درجة رقمية.</x:v>
      </x:c>
      <x:c r="P80"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80"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80" s="24" t="str">
        <x:v>This record sets out evidence types and has no observation date; the assignment of records to types reflects the edition of this resource dated 26 September 2026.</x:v>
      </x:c>
      <x:c r="S80" s="28" t="str">
        <x:v>يحدد هذا السجل أنواع الأدلة وليس له تاريخ رصد؛ ويعكس تصنيف السجلات في هذه الأنواع إصدار هذا المورد المؤرخ في 26 سبتمبر 2026.</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view summarises other evidence records, which are not yet linked individually here. Before reusing a figure, open the evidence record that reports it and check that record against its own source.</x:v>
      </x:c>
      <x:c r="W80" s="28" t="str">
        <x:v>يلخص هذا العرض سجلات أدلة أخرى لم تُربط بعدُ هنا كلٌّ على حدة. وقبل إعادة استخدام أي رقم، افتح سجل الدليل الذي يورده وطابِقه مع مصدره.</x:v>
      </x:c>
      <x:c r="X80" s="24"/>
      <x:c r="Y80" s="24" t="str">
        <x:v>[]</x:v>
      </x:c>
      <x:c r="Z80" t="str">
        <x:v>COMPOSITE_OF_OBJECTS</x:v>
      </x:c>
    </x:row>
    <x:row r="81">
      <x:c r="A81" s="24" t="str">
        <x:v>VIS-FL-EVIDENCE-LADDER</x:v>
      </x:c>
      <x:c r="B81" s="24" t="str">
        <x:v>VISUAL</x:v>
      </x:c>
      <x:c r="C81" s="24" t="str">
        <x:v>/people/</x:v>
      </x:c>
      <x:c r="D81" s="24" t="str">
        <x:v>Financial literacy — activity is not outcome</x:v>
      </x:c>
      <x:c r="E81" s="28" t="str">
        <x:v>الثقافة المالية: النشاط لا يساوي نتيجة</x:v>
      </x:c>
      <x:c r="F8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1"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1"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1" s="24" t="str">
        <x:v>Activity 2023–2025, and the latest available capability survey (2023)</x:v>
      </x:c>
      <x:c r="K81" s="28" t="str">
        <x:v>أنشطة 2023–2025، وأحدث مسح متاح للقدرات المالية (2023)</x:v>
      </x:c>
      <x:c r="L81" s="24" t="str">
        <x:v>Three kinds of evidence: programme activity and its documented outputs or completion, population capability measured by survey, and programme outcomes established by evaluation.</x:v>
      </x:c>
      <x:c r="M81" s="28" t="str">
        <x:v>نشاط البرنامج ومخرجاته أو إكماله، مقابل قدرات السكان المقاسة ونتائج البرنامج التي يثبتها التقييم؛ وهي مستويات أدلة مختلفة.</x:v>
      </x:c>
      <x:c r="N81"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1"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1" s="24" t="str">
        <x:v>It is not established that the OECD/INFE capability levels, or any change in them, result from Global Money Week. Activities, events, participating bodies and workshops are outputs; they do not establish improved financial capability or a causal impact.</x:v>
      </x:c>
      <x:c r="Q8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1"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1"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SRC-CBY-GMW-2023-001; SRC-CBY-GMW-2024-001; SRC-CBY-GMW-2024-CLOSE-001; SRC-CBY-GMW-2025-001; SRC-OECD-INFE-2023</x:v>
      </x:c>
      <x:c r="Y81" s="24" t="str">
        <x:v>[]</x:v>
      </x:c>
      <x:c r="Z81" t="str">
        <x:v>BOUND_EXACT</x:v>
      </x:c>
    </x:row>
    <x:row r="82">
      <x:c r="A82" s="24" t="str">
        <x:v>VIS-MFI-RUPTURE-LENS</x:v>
      </x:c>
      <x:c r="B82" s="24" t="str">
        <x:v>VISUAL</x:v>
      </x:c>
      <x:c r="C82" s="24" t="str">
        <x:v>/finance/</x:v>
      </x:c>
      <x:c r="D82" s="24" t="str">
        <x:v>2015: a sharp fall in active borrowers within the year</x:v>
      </x:c>
      <x:c r="E82" s="28" t="str">
        <x:v>2015: تراجع حاد في أعداد المقترضين النشطين خلال العام</x:v>
      </x:c>
      <x:c r="F82"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2"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والمحفظة في كل تاريخ؛ أما محفظة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2" s="24" t="str">
        <x:v>Active borrowers, savers and outstanding loan portfolio (nominal Yemeni rials) reported for SFD-supported microfinance programmes at 31 March, 30 September and 31 December 2015.</x:v>
      </x:c>
      <x:c r="I82"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2" s="24" t="str">
        <x:v>2015</x:v>
      </x:c>
      <x:c r="K82" s="28" t="str">
        <x:v>2015</x:v>
      </x:c>
      <x:c r="L82" s="24" t="str">
        <x:v>Microfinance observations for March, September and December 2015 as each source and reporting population defines them, with the conflicting year-end portfolio values kept visible.</x:v>
      </x:c>
      <x:c r="M82" s="28" t="str">
        <x:v>مشاهدات التمويل الأصغر في مارس وسبتمبر وديسمبر 2015 كما يحددها كل مصدر ومجتمع إبلاغ، مع إبقاء تعارض محفظة نهاية السنة ظاهرًا.</x:v>
      </x:c>
      <x:c r="N82"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2" s="28" t="str">
        <x:v>أرقام من ثلاثة جداول نشرها الصندوق الاجتماعي للتنمية بتاريخ 31 مارس و30 سبتمبر و31 ديسمبر 2015، ومسجلة بتواريخها الدقيقة؛ وتُحفظ قيمتا محفظة نهاية العام الواردتان في مصدر ديسمبر، فلا يؤخذ متوسطهما ولا تُختزلان في قيمة واحدة.</x:v>
      </x:c>
      <x:c r="P82" s="24" t="str">
        <x:v>It does not estimate a cause of the fall or how large any cause's effect was, gives no values between the three dates, and does not establish which of the two year-end portfolio values, table or narrative, is correct.</x:v>
      </x:c>
      <x:c r="Q82" s="28" t="str">
        <x:v>لا يقدّر هذا الدليل سببًا للتراجع ولا حجم أثره، ولا يقدم قيمًا بين التواريخ الثلاثة، ولا يثبت أيّ قيمتي محفظة نهاية العام، قيمة الجدول أو القيمة السردية، هي الصحيحة.</x:v>
      </x:c>
      <x:c r="R82" s="24" t="str">
        <x:v>The latest observation in this record is dated 31 December 2015. It describes 2015 only and should not be read as describing a later period.</x:v>
      </x:c>
      <x:c r="S82" s="28" t="str">
        <x:v>أحدث مشاهدة في هذا السجل مؤرخة في 31 ديسمبر 2015، وهي تصف عام 2015 وحده ولا تُقرأ على أنها تصف فترة لاحقة.</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SRC-SFD-Q1-2015-001; SRC-SFD-Q3-2015-001; SRC-SFD-Q4-2015-001</x:v>
      </x:c>
      <x:c r="Y82" s="24" t="str">
        <x:v>[]</x:v>
      </x:c>
      <x:c r="Z82" t="str">
        <x:v>BOUND_EXACT</x:v>
      </x:c>
      <x:c r="AA82" t="str">
        <x:v>NO_GOVERNED_CONTRACT__TABLE_ONLY</x:v>
      </x:c>
    </x:row>
    <x:row r="83">
      <x:c r="A83" s="24" t="str">
        <x:v>VIS-TARGET-RESULT-STATE</x:v>
      </x:c>
      <x:c r="B83" s="24" t="str">
        <x:v>VISUAL</x:v>
      </x:c>
      <x:c r="C83" s="24" t="str">
        <x:v>/reforms/</x:v>
      </x:c>
      <x:c r="D83" s="24" t="str">
        <x:v>FMIIP financial access points: January 2025 baseline and June 2030 target</x:v>
      </x:c>
      <x:c r="E83" s="28" t="str">
        <x:v>نقاط الوصول المالي في مشروع FMIIP: خط أساس يناير 2025 ومستهدف يونيو 2030</x:v>
      </x:c>
      <x:c r="F83"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G83"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3" s="24" t="str">
        <x:v>The number of financial access points, as defined by the Financial Market Infrastructure and Inclusion Project (FMIIP), at its January 2025 baseline and its June 2030 target; no result against the target is recorded in the evidence base.</x:v>
      </x:c>
      <x:c r="I83"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3" s="24" t="str">
        <x:v>Baseline January 2025; target June 2030; no result recorded</x:v>
      </x:c>
      <x:c r="K83" s="28" t="str">
        <x:v>خط الأساس يناير 2025؛ المستهدف يونيو 2030؛ لا نتيجة متاحة</x:v>
      </x:c>
      <x:c r="L83" s="24" t="str">
        <x:v>Financial access points as defined in the results framework of the World Bank-financed Financial Market Infrastructure and Inclusion Project (FMIIP, P180708)</x:v>
      </x:c>
      <x:c r="M83" s="28" t="str">
        <x:v>نقاط الوصول المالي وفق تعريف إطار نتائج مشروع البنية التحتية للأسواق المالية والشمول المالي في اليمن (FMIIP، P180708) الممول من البنك الدولي</x:v>
      </x:c>
      <x:c r="N83"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3"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3"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3"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3" s="24" t="str">
        <x:v>The baseline refers to January 2025 and the target to June 2030; no observed result is recorded for any later date.</x:v>
      </x:c>
      <x:c r="S83" s="28" t="str">
        <x:v>يعود خط الأساس إلى يناير 2025 والمستهدف إلى يونيو 2030، ولا تتوفر نتيجة مرصودة لأي تاريخ لاحق.</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SRC-WB-FMIIP-P180708</x:v>
      </x:c>
      <x:c r="Y83" s="24" t="str">
        <x:v>[]</x:v>
      </x:c>
      <x:c r="Z83" t="str">
        <x:v>BOUND_EXACT</x:v>
      </x:c>
    </x:row>
    <x:row r="84">
      <x:c r="A84" s="24" t="str">
        <x:v>CLM-040</x:v>
      </x:c>
      <x:c r="B84" s="24" t="str">
        <x:v>CLAIM</x:v>
      </x:c>
      <x:c r="C84" s="24" t="str">
        <x:v>/remittances/</x:v>
      </x:c>
      <x:c r="D84" s="24" t="str">
        <x:v>The 2025 external-sector statistics mission produced a 2014–2024 historical series</x:v>
      </x:c>
      <x:c r="E84" s="28" t="str">
        <x:v>بعثة إحصاءات القطاع الخارجي في 2025 أنتجت سلسلة تاريخية للفترة 2014–2024</x:v>
      </x:c>
      <x:c r="F84"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4"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4" s="24" t="str">
        <x:v>A documented statistical reconstruction exercise that produced a revised historical external-sector series.</x:v>
      </x:c>
      <x:c r="I84" s="28" t="str">
        <x:v>عملية إعادة بناء إحصائية موثقة نتجت عنها سلسلة تاريخية منقحة لإحصاءات القطاع الخارجي.</x:v>
      </x:c>
      <x:c r="J84" s="24" t="str">
        <x:v>Statistics for 2014–2024 produced in July 2025; publication cycle 2025–2026</x:v>
      </x:c>
      <x:c r="K84" s="28" t="str">
        <x:v>إحصاءات للفترة 2014–2024 أُنتجت في يوليو 2025؛ دورة النشر 2025–2026</x:v>
      </x:c>
      <x:c r="L84" s="24" t="str">
        <x:v>The IMF's analytical framework for external-sector statistics for areas under the internationally recognized government; component scopes and source methods vary</x:v>
      </x:c>
      <x:c r="M84" s="28" t="str">
        <x:v>الإطار التحليلي لصندوق النقد الدولي لإحصاءات القطاع الخارجي الخاص بمناطق الحكومة المعترف بها دوليًا؛ وتختلف نطاقات المكونات وطرق مصادرها.</x:v>
      </x:c>
      <x:c r="N84" s="24" t="str">
        <x:v>IMF documents: a D4D-II capacity-development progress report and the statistical annex of the IMF 2025 Article IV consultation.</x:v>
      </x:c>
      <x:c r="O84" s="28" t="str">
        <x:v>وثائق صادرة عن صندوق النقد الدولي: تقرير مرحلي لبرنامج D4D-II لتنمية القدرات، والملحق الإحصائي لمشاورات المادة الرابعة لعام 2025.</x:v>
      </x:c>
      <x:c r="P84"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4"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4"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4"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SRC-IMF-D4D-YEM-ESS-2025; EP-IMF-CBY-REMIT-METHOD-K04</x:v>
      </x:c>
      <x:c r="Y84" s="24" t="str">
        <x:v>[]</x:v>
      </x:c>
      <x:c r="Z84" t="str">
        <x:v>BOUND_EXACT</x:v>
      </x:c>
    </x:row>
    <x:row r="85">
      <x:c r="A85" s="24" t="str">
        <x:v>CLM-041</x:v>
      </x:c>
      <x:c r="B85" s="24" t="str">
        <x:v>CLAIM</x:v>
      </x:c>
      <x:c r="C85" s="24" t="str">
        <x:v>/remittances/ | /evidence/compare/</x:v>
      </x:c>
      <x:c r="D85" s="24" t="str">
        <x:v>The published CBY and IMF balance-of-payments components tested do not support a single conversion factor</x:v>
      </x:c>
      <x:c r="E85" s="28" t="str">
        <x:v>لا تدعم مكونات ميزان المدفوعات المنشورة التي اختُبرت معامل تحويل واحدًا بين بيانات البنك المركزي وصندوق النقد</x:v>
      </x:c>
      <x:c r="F85"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5"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5" s="24" t="str">
        <x:v>Ratios between CBY-Aden and IMF values for each tested balance-of-payments component over 2021–2024, compared to see whether one conversion factor fits all components.</x:v>
      </x:c>
      <x:c r="I85"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5" s="24" t="str">
        <x:v>Overlapping reference years 2021–2024 in the Central Bank of Yemen – Aden (CBY-Aden) Annual Report 2025 and the IMF 2025 Article IV consultation</x:v>
      </x:c>
      <x:c r="K85" s="28" t="str">
        <x:v>السنوات المرجعية المتداخلة 2021–2024 في التقرير السنوي 2025 للبنك المركزي اليمني – عدن وفي مشاورات المادة الرابعة لعام 2025 لصندوق النقد الدولي</x:v>
      </x:c>
      <x:c r="L85" s="24" t="str">
        <x:v>Only the public CBY and IMF balance-of-payments components actually tested; each component retains its source definition, geography and transformation.</x:v>
      </x:c>
      <x:c r="M85"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5"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5"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5"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5"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5"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5"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CON-046</x:v>
      </x:c>
      <x:c r="Y85" s="24" t="str">
        <x:v>[]</x:v>
      </x:c>
      <x:c r="Z85" t="str">
        <x:v>BOUND_EXACT</x:v>
      </x:c>
    </x:row>
    <x:row r="86">
      <x:c r="A86" s="24" t="str">
        <x:v>CLM-042</x:v>
      </x:c>
      <x:c r="B86" s="24" t="str">
        <x:v>CLAIM</x:v>
      </x:c>
      <x:c r="C86" s="24" t="str">
        <x:v>/remittances/ | /methodology/</x:v>
      </x:c>
      <x:c r="D86" s="24" t="str">
        <x:v>A stable remittance ratio exists; its meaning remains unknown</x:v>
      </x:c>
      <x:c r="E86" s="28" t="str">
        <x:v>توجد نسبة مستقرة بين سلسلتي التحويلات، لكن معناها ما يزال غير محسوم</x:v>
      </x:c>
      <x:c r="F86"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6"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6" s="24" t="str">
        <x:v>The ratio of the CBY-Aden remittance series to the IMF remittance series in each year from 2021 to 2024.</x:v>
      </x:c>
      <x:c r="I86" s="28" t="str">
        <x:v>نسبة سلسلة التحويلات لدى البنك المركزي اليمني – عدن إلى سلسلة التحويلات لدى صندوق النقد الدولي في كل سنة من 2021 إلى 2024.</x:v>
      </x:c>
      <x:c r="J86" s="24" t="str">
        <x:v>Overlapping years 2021–2024; IMF reconstruction covering 2014–2025</x:v>
      </x:c>
      <x:c r="K86" s="28" t="str">
        <x:v>السنوات المتداخلة 2021–2024؛ وإعادة البناء لدى صندوق النقد الدولي للفترة 2014–2025</x:v>
      </x:c>
      <x:c r="L86" s="24" t="str">
        <x:v>The CBY-Aden publication scope compared with the IMF's analytical scope for areas under the internationally recognized government</x:v>
      </x:c>
      <x:c r="M86"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6"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6"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6" s="24" t="str">
        <x:v>The 1.838 ratio is not a population, geography, informal-share or coverage conversion. | Comparability is component-specific only; differences of sign, scope and method remain material.</x:v>
      </x:c>
      <x:c r="Q86"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6" s="24" t="str">
        <x:v>The ratio covers 2021 to 2024, from the CBY-Aden Annual Report 2025 and the IMF 2025 Article IV consultation. It should not be read as holding for later years unless newer comparable editions of both series are published.</x:v>
      </x:c>
      <x:c r="S86"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SRC-IMF-YEM-AIV-2025-2026; EP-YEM-BOP-COMPONENT-XWALK-K04</x:v>
      </x:c>
      <x:c r="Y86" s="24" t="str">
        <x:v>[]</x:v>
      </x:c>
      <x:c r="Z86" t="str">
        <x:v>BOUND_EXACT</x:v>
      </x:c>
    </x:row>
    <x:row r="87">
      <x:c r="A87" s="24" t="str">
        <x:v>CLM-043</x:v>
      </x:c>
      <x:c r="B87" s="24" t="str">
        <x:v>CLAIM</x:v>
      </x:c>
      <x:c r="C87" s="24" t="str">
        <x:v>/remittances/</x:v>
      </x:c>
      <x:c r="D87" s="24" t="str">
        <x:v>Before ranking flows, look at the balancing residual</x:v>
      </x:c>
      <x:c r="E87" s="28" t="str">
        <x:v>قبل ترتيب التدفقات الخارجية، افحص البند الموازِن (صافي السهو والخطأ)</x:v>
      </x:c>
      <x:c r="F87"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7"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7" s="24" t="str">
        <x:v>Net errors and omissions in the CBY-Aden balance of payments for 2021–2025, compared in size with the published remittance line.</x:v>
      </x:c>
      <x:c r="I87" s="28" t="str">
        <x:v>صافي السهو والخطأ في ميزان المدفوعات لدى البنك المركزي اليمني – عدن للفترة 2021–2025، مقارنًا من حيث الحجم ببند التحويلات المنشور.</x:v>
      </x:c>
      <x:c r="J87" s="24" t="str">
        <x:v>2021–2025</x:v>
      </x:c>
      <x:c r="K87" s="28" t="str">
        <x:v>2021–2025</x:v>
      </x:c>
      <x:c r="L87" s="24" t="str">
        <x:v>The balance of payments as each source defines it</x:v>
      </x:c>
      <x:c r="M87" s="28" t="str">
        <x:v>نطاق ميزان المدفوعات كما يعرفه كل مصدر على حدة.</x:v>
      </x:c>
      <x:c r="N87"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7"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7"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7"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7" s="24" t="str">
        <x:v>The latest year in this record is 2025, from the CBY-Aden Annual Report 2025. It should not be read as describing a later year unless a newer comparable observation is published.</x:v>
      </x:c>
      <x:c r="S87"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This record is drawn from the source(s) listed on this page. Open a source record to reach the original document, and check that the definition, period, population and geography match what is stated here.</x:v>
      </x:c>
      <x:c r="W8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7" s="24" t="str">
        <x:v>SRC-CBY-AR2025-BOP; EP-YEM-BOP-RESIDUAL-K04</x:v>
      </x:c>
      <x:c r="Y87" s="24" t="str">
        <x:v>[]</x:v>
      </x:c>
      <x:c r="Z87" t="str">
        <x:v>BOUND_EXACT</x:v>
      </x:c>
    </x:row>
    <x:row r="88">
      <x:c r="A88" s="24" t="str">
        <x:v>CLM-044</x:v>
      </x:c>
      <x:c r="B88" s="24" t="str">
        <x:v>CLAIM</x:v>
      </x:c>
      <x:c r="C88" s="24" t="str">
        <x:v>/remittances/ | /evidence/compare/</x:v>
      </x:c>
      <x:c r="D88" s="24" t="str">
        <x:v>An alternative residual model is not the canonical remittance baseline</x:v>
      </x:c>
      <x:c r="E88" s="28" t="str">
        <x:v>نموذج المتبقي البديل ليس خط الأساس المعتمد للتحويلات</x:v>
      </x:c>
      <x:c r="F88"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8"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8" s="24" t="str">
        <x:v>An estimate of 2024 remittances produced by a balance-of-payments residual model, kept separate from the adopted remittance baseline.</x:v>
      </x:c>
      <x:c r="I88" s="28" t="str">
        <x:v>تقدير للتحويلات لعام 2024 ناتج عن نموذج لمتبقي ميزان المدفوعات، يبقى منفصلًا عن خط الأساس المعتمد للتحويلات.</x:v>
      </x:c>
      <x:c r="J88" s="24" t="str">
        <x:v>2024 estimate</x:v>
      </x:c>
      <x:c r="K88" s="28" t="str">
        <x:v>تقدير 2024</x:v>
      </x:c>
      <x:c r="L88" s="24" t="str">
        <x:v>Yemen as a whole, as an analytical estimate; not an observed official value</x:v>
      </x:c>
      <x:c r="M88" s="28" t="str">
        <x:v>تقدير تحليلي يسعى إلى تمثيل اليمن ككل، وليس قيمة رسمية مرصودة بذاتها.</x:v>
      </x:c>
      <x:c r="N88" s="24" t="str">
        <x:v>Balance-of-payments residual model. The underlying material has no publicly accessible original, so this record cannot be verified through this resource.</x:v>
      </x:c>
      <x:c r="O88" s="28" t="str">
        <x:v>نموذج متبقي ميزان المدفوعات. ولا يتوافر للمادة الأصلية رابط أصلي عام، لذلك لا يمكن التحقق من هذا السجل عبر هذا المورد.</x:v>
      </x:c>
      <x:c r="P88"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8" s="28" t="str">
        <x:v>ليس أي تقدير ناتج عن نموذج المتبقي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8" s="24" t="str">
        <x:v>The estimate refers to 2024. It is a model result rather than an observation and should not be read as describing a later year.</x:v>
      </x:c>
      <x:c r="S88" s="28" t="str">
        <x:v>يعود التقدير إلى عام 2024، وهو ناتج نموذج لا مشاهدة، ولا يُقرأ على أنه يصف سنة لاحقة.</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The material behind this record has no public link to its original document, so no source is listed or linked here and no figure from that material is shown. Read the record as an explanation of method, not as a verifiable figure.</x:v>
      </x:c>
      <x:c r="W88"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8" s="24" t="str">
        <x:v>SRC-CCY-REMIT-ESTIMATE-2025; EP-CCY-REMIT-RESIDUAL-MODEL-K04</x:v>
      </x:c>
      <x:c r="Y88" s="24" t="str">
        <x:v>[]</x:v>
      </x:c>
      <x:c r="Z88" t="str">
        <x:v>BOUND_EXACT</x:v>
      </x:c>
    </x:row>
    <x:row r="89">
      <x:c r="A89" s="24" t="str">
        <x:v>CLM-045</x:v>
      </x:c>
      <x:c r="B89" s="24" t="str">
        <x:v>CLAIM</x:v>
      </x:c>
      <x:c r="C89" s="24" t="str">
        <x:v>/payments/ | /people/</x:v>
      </x:c>
      <x:c r="D89" s="24" t="str">
        <x:v>A successful cash payment is not yet durable financial use</x:v>
      </x:c>
      <x:c r="E89" s="28" t="str">
        <x:v>نجاح الدفع النقدي لا يعني بعدُ استخدامًا ماليًا مستمرًا</x:v>
      </x:c>
      <x:c r="F89"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9"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9" s="24" t="str">
        <x:v>This record sets out a measurement gap between successful delivery of a cash transfer and continued financial use after it; its only figure is the pilot's reported number of recipients.</x:v>
      </x:c>
      <x:c r="I89" s="28" t="str">
        <x:v>يحدد هذا السجل فجوة قياس بين نجاح إيصال التحويل النقدي واستمرار الاستخدام المالي بعده؛ والرقم الوحيد فيه هو عدد المستفيدين المُعلن للتجربة.</x:v>
      </x:c>
      <x:c r="J89" s="24" t="str">
        <x:v>Evidence published 2023–2026; the pilot material dates from May 2024, and the reference period of the 45,460 figure is not recorded here</x:v>
      </x:c>
      <x:c r="K89" s="28" t="str">
        <x:v>أدلة منشورة بين 2023 و2026؛ ومواد التجربة صادرة في مايو 2024، ولا يسجل هذا السجل الفترة المرجعية لرقم 45,460</x:v>
      </x:c>
      <x:c r="L89" s="24" t="str">
        <x:v>Local, programme and project populations as each source defines them</x:v>
      </x:c>
      <x:c r="M89" s="28" t="str">
        <x:v>النطاقات المحلية أو البرنامجية أو الخاصة بالمشروعات كما يحددها كل مصدر.</x:v>
      </x:c>
      <x:c r="N89" s="24" t="str">
        <x:v>A synthesis of programme and research evidence on each step from cash delivery to continued use, including World Bank/G2Px material on the pilot; no national prevalence figure is constructed.</x:v>
      </x:c>
      <x:c r="O89"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9"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9"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9" s="24" t="str">
        <x:v>The latest evidence in this record was published in 2026; the pilot material dates from May 2024. The record should not be read as describing later programme reach or use unless newer evidence is published.</x:v>
      </x:c>
      <x:c r="S89"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This record is drawn from the source(s) listed on this page. Open a source record to reach the original document, and check that the definition, period, population and geography match what is stated here.</x:v>
      </x:c>
      <x:c r="W8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9" s="24" t="str">
        <x:v>SRC-WB-G2PX-YEM-UCT-2024-001; SRC-CCY-SAM-2024; SRC-CCY-ISP-2024; SRC-CCY-PRESSURE-2026; EP-YEM-CASH-FIN-TRANSMISSION-K04</x:v>
      </x:c>
      <x:c r="Y89" s="24" t="str">
        <x:v>[{"source_id": "SRC-WB-G2PX-YEM-UCT-2024-001", "url": "https://www.worldbank.org/en/events/2024/05/30/digitalizing-g2p-payments-in-yemen", "audit_state": "PRIMARY_OFFICIAL_PROGRAMME_CONTEXT"}]</x:v>
      </x:c>
      <x:c r="Z89" t="str">
        <x:v>BOUND_EXACT</x:v>
      </x:c>
    </x:row>
    <x:row r="90">
      <x:c r="A90" s="24" t="str">
        <x:v>CLM-046</x:v>
      </x:c>
      <x:c r="B90" s="24" t="str">
        <x:v>CLAIM</x:v>
      </x:c>
      <x:c r="C90" s="24" t="str">
        <x:v>/reforms/ | /finance/</x:v>
      </x:c>
      <x:c r="D90" s="24" t="str">
        <x:v>Pledge, agreement, deposit and disbursement are different stages of support</x:v>
      </x:c>
      <x:c r="E90" s="28" t="str">
        <x:v>التعهد والاتفاق والإيداع والصرف مراحل مختلفة للدعم</x:v>
      </x:c>
      <x:c r="F90" s="24" t="str">
        <x:v>Saudi support is recorded by stage. A pledge, commitment, signed agreement, deposited amount, amount made available, budget disbursement, FX-auction use, in-kind support and project cost are not interchangeable, and they are not added into a cumulative total here.</x:v>
      </x:c>
      <x:c r="G90"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90" s="24" t="str">
        <x:v>This record sets out a distinction and reports no value: a pledge, commitment, signed agreement, deposit, amount made available, budget disbursement, use in foreign-exchange auctions, in-kind support and project cost are different stages of Saudi support to Yemen.</x:v>
      </x:c>
      <x:c r="I90"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90" s="24" t="str">
        <x:v>2010–2026</x:v>
      </x:c>
      <x:c r="K90" s="28" t="str">
        <x:v>2010–2026</x:v>
      </x:c>
      <x:c r="L90" s="24" t="str">
        <x:v>Specific to each source or funding or support package</x:v>
      </x:c>
      <x:c r="M90" s="28" t="str">
        <x:v>النطاق الخاص بكل مصدر أو حزمة تمويل أو دعم.</x:v>
      </x:c>
      <x:c r="N90" s="24" t="str">
        <x:v>Evidence from donor and multilateral sources, read with AidData's historical method for classifying Saudi support to Yemen; the stages are kept separate and are not added together.</x:v>
      </x:c>
      <x:c r="O90" s="28" t="str">
        <x:v>أدلة من مصادر المانحين والمؤسسات متعددة الأطراف، تُقرأ مع منهج AidData التاريخي في تصنيف الدعم السعودي لليمن؛ وتُحفظ المراحل منفصلة ولا تُجمع.</x:v>
      </x:c>
      <x:c r="P90"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90"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90" s="24" t="str">
        <x:v>The evidence in this record spans 2010 to 2026. It should not be read as describing later support unless newer evidence is published.</x:v>
      </x:c>
      <x:c r="S90" s="28" t="str">
        <x:v>تمتد الأدلة في هذا السجل من 2010 إلى 2026، ولا تُقرأ على أنها تصف دعمًا لاحقًا ما لم تُنشر أدلة أحدث.</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Some figures in this record are drawn from the source(s) listed on this page; other inputs have not yet been linked to a specific original source. Check each figure against a listed source before reuse, and treat any figure you cannot match as unverified.</x:v>
      </x:c>
      <x:c r="W9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0" s="24" t="str">
        <x:v>SRC-AIDDATA-SAUDI-YEM-2015; EP-SAUDI-SUPPORT-FLOWSTATE-K04; DS-K04-SAUDI-SUPPORT-TRANSMISSION; SRC-SPA-SAU-CBY-DEPOSIT-2018-001; SRC-SPA-SAU-CBY-DEPOSIT-2023-001; SRC-SPA-SAU-BUDGET-2026-001</x:v>
      </x:c>
      <x:c r="Y90" s="24" t="str">
        <x:v>[]</x:v>
      </x:c>
      <x:c r="Z90" t="str">
        <x:v>BOUND_PARTIAL</x:v>
      </x:c>
      <x:c r="AB90" t="str">
        <x:v>SRC-SPA-SAU-CBY-DEPOSIT-2018-001=primary factual evidence; SRC-SPA-SAU-CBY-DEPOSIT-2023-001=primary factual evidence; SRC-SPA-SAU-BUDGET-2026-001=primary factual evidence</x:v>
      </x:c>
    </x:row>
    <x:row r="91">
      <x:c r="A91" s="24" t="str">
        <x:v>CLM-047</x:v>
      </x:c>
      <x:c r="B91" s="24" t="str">
        <x:v>CLAIM</x:v>
      </x:c>
      <x:c r="C91" s="24" t="str">
        <x:v>/remittances/ | /methodology/</x:v>
      </x:c>
      <x:c r="D91" s="24" t="str">
        <x:v>A change in an external position is not automatically a transaction</x:v>
      </x:c>
      <x:c r="E91" s="28" t="str">
        <x:v>تغير المركز الخارجي لا يساوي تلقائيًا تدفقًا أو معاملة</x:v>
      </x:c>
      <x:c r="F91"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1"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1" s="24" t="str">
        <x:v>This record sets out a method rule for separating balance-of-payments transactions from other changes in Yemen's external asset and liability positions; it reports no value.</x:v>
      </x:c>
      <x:c r="I91" s="28" t="str">
        <x:v>يحدد هذا السجل قاعدة منهجية للفصل بين معاملات ميزان المدفوعات والتغيرات الأخرى في مراكز الأصول والخصوم الخارجية لليمن؛ ولا يورد قيمة.</x:v>
      </x:c>
      <x:c r="J91" s="24" t="str">
        <x:v>No values yet; this record sets out a method rule</x:v>
      </x:c>
      <x:c r="K91" s="28" t="str">
        <x:v>لا توجد بعد قيم منشورة؛ هذا السجل قاعدة منهجية</x:v>
      </x:c>
      <x:c r="L91" s="24" t="str">
        <x:v>As defined by the source concerned</x:v>
      </x:c>
      <x:c r="M91" s="28" t="str">
        <x:v>النطاق كما يحدده المصدر المعني.</x:v>
      </x:c>
      <x:c r="N91" s="24" t="str">
        <x:v>Method drawn from the IMF Balance of Payments and International Investment Position Manual, sixth edition (BPM6), its compilation guide, and the IMF's published strategy for moving to the seventh edition (BPM7).</x:v>
      </x:c>
      <x:c r="O91"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1"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1"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1" s="24" t="str">
        <x:v>This record sets out a method rule and has no observation date; Yemen's international investment position data are not yet in the public evidence base.</x:v>
      </x:c>
      <x:c r="S91" s="28" t="str">
        <x:v>يحدد هذا السجل قاعدة منهجية وليس له تاريخ مشاهدة؛ ولم تدخل بيانات وضع الاستثمار الدولي لليمن بعد قاعدة الأدلة العامة.</x:v>
      </x:c>
      <x:c r="T91" s="24" t="str">
        <x:v>This record is updated when an authoritative source is revised or replaced, a newer comparable observation becomes available, the definition, population or method changes, or the conditions for public use change.</x:v>
      </x:c>
      <x:c r="U9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SRC-IMF-BPM6; SRC-IMF-BPM6-COMP-GUIDE; SRC-IMF-BPM7-IMPLEMENTATION; EP-YEM-BOP-IIP-RECON-K04</x:v>
      </x:c>
      <x:c r="Y91" s="24" t="str">
        <x:v>[]</x:v>
      </x:c>
      <x:c r="Z91" t="str">
        <x:v>BOUND_EXACT</x:v>
      </x:c>
    </x:row>
    <x:row r="92">
      <x:c r="A92" s="24" t="str">
        <x:v>CLM-048</x:v>
      </x:c>
      <x:c r="B92" s="24" t="str">
        <x:v>CLAIM</x:v>
      </x:c>
      <x:c r="C92" s="24" t="str">
        <x:v>/methodology/ | /remittances/</x:v>
      </x:c>
      <x:c r="D92" s="24" t="str">
        <x:v>BPM7 updates the standard; it does not rewrite Yemen’s statistical history overnight</x:v>
      </x:c>
      <x:c r="E92" s="28" t="str">
        <x:v>الإصدار BPM7 يحدّث المعيار، لكنه لا يعيد كتابة السلاسل الإحصائية التاريخية لليمن فورًا</x:v>
      </x:c>
      <x:c r="F92"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2"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2" s="24" t="str">
        <x:v>This record sets out how Yemen's external-sector series are labelled during the move from the sixth to the seventh edition of the IMF Balance of Payments and International Investment Position Manual (BPM6 to BPM7); it reports no value.</x:v>
      </x:c>
      <x:c r="I92"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2" s="24" t="str">
        <x:v>The BPM7 transition period, and the currently published editions of Yemen's historical external-sector series.</x:v>
      </x:c>
      <x:c r="K92" s="28" t="str">
        <x:v>فترة الانتقال إلى BPM7، والنسخ المنشورة حاليًا من السلاسل التاريخية لبيانات القطاع الخارجي في اليمن.</x:v>
      </x:c>
      <x:c r="L92" s="24" t="str">
        <x:v>The international external-sector statistical standard and Yemen historical series published under their source-native standard/version.</x:v>
      </x:c>
      <x:c r="M92" s="28" t="str">
        <x:v>المعيار الدولي لإحصاءات القطاع الخارجي والسلاسل التاريخية اليمنية المنشورة وفق المعيار أو النسخة التي استخدمها مصدرها.</x:v>
      </x:c>
      <x:c r="N92" s="24" t="str">
        <x:v>Each Yemen series is recorded under the statistical standard and version its source used; a series is recorded as BPM7 only when its source explicitly revises, converts or republishes it under that standard.</x:v>
      </x:c>
      <x:c r="O92"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2" s="24" t="str">
        <x:v>The release of BPM7 does not mean that Yemen's historical data have been restated under it, or that Yemeni sources have already adopted it.</x:v>
      </x:c>
      <x:c r="Q92" s="28" t="str">
        <x:v>لا يعني صدور BPM7 أن البيانات التاريخية لليمن أُعيد عرضها وفقه، ولا أن المصادر اليمنية اعتمدته بالفعل.</x:v>
      </x:c>
      <x:c r="R92" s="24" t="str">
        <x:v>This record sets out a rule for recording statistical-standard versions and has no observation date.</x:v>
      </x:c>
      <x:c r="S92" s="28" t="str">
        <x:v>يحدد هذا السجل قاعدة لتسجيل إصدارات المعيار الإحصائي، وليس له تاريخ مشاهدة.</x:v>
      </x:c>
      <x:c r="T92" s="24" t="str">
        <x:v>This record is updated when an authoritative Yemen source explicitly adopts BPM7 for a series, or republishes or revises its historical observations under the new standard, or when an authoritative source is revised or replaced.</x:v>
      </x:c>
      <x:c r="U92"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SRC-IMF-BPM7-IMPLEMENTATION; SRC-IMF-BPM6</x:v>
      </x:c>
      <x:c r="Y92" s="24" t="str">
        <x:v>[]</x:v>
      </x:c>
      <x:c r="Z92" t="str">
        <x:v>BOUND_EXACT</x:v>
      </x:c>
    </x:row>
    <x:row r="93">
      <x:c r="A93" s="24" t="str">
        <x:v>CLM-049</x:v>
      </x:c>
      <x:c r="B93" s="24" t="str">
        <x:v>CLAIM</x:v>
      </x:c>
      <x:c r="C93" s="24" t="str">
        <x:v>/reforms/ | /evidence/</x:v>
      </x:c>
      <x:c r="D93" s="24" t="str">
        <x:v>IMF Staff-Monitored Program (SMP) for Yemen: staff-level agreement of July 2026, subject to Management approval</x:v>
      </x:c>
      <x:c r="E93" s="28" t="str">
        <x:v>برنامج يراقبه خبراء صندوق النقد الدولي (SMP) لليمن: اتفاق على مستوى الخبراء في يوليو 2026، مشروط بموافقة الإدارة</x:v>
      </x:c>
      <x:c r="F93"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3"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3" s="24" t="str">
        <x:v>The approval status of a proposed 18-month Staff-Monitored Program (SMP) of the International Monetary Fund (IMF) for Yemen, as announced by the IMF on 16 July 2026.</x:v>
      </x:c>
      <x:c r="I93" s="28" t="str">
        <x:v>وضع الموافقة على برنامج مقترح مدته 18 شهرًا يراقبه خبراء صندوق النقد الدولي (SMP) لليمن، كما أعلنه الصندوق في 16 يوليو 2026.</x:v>
      </x:c>
      <x:c r="J93" s="24" t="str">
        <x:v>16 July 2026; proposed 18-month IMF Staff-Monitored Program at staff-level agreement stage.</x:v>
      </x:c>
      <x:c r="K93" s="28" t="str">
        <x:v>16 يوليو 2026؛ برنامج مقترح مدته 18 شهرًا يراقبه خبراء صندوق النقد الدولي (SMP)، في مرحلة الاتفاق على مستوى الخبراء.</x:v>
      </x:c>
      <x:c r="L93" s="24" t="str">
        <x:v>The staff-level policy agreement between IMF staff and the Yemeni authorities, and the status of the proposed Staff-Monitored Program (SMP); not an Executive Board-approved financing arrangement.</x:v>
      </x:c>
      <x:c r="M93"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3" s="24" t="str">
        <x:v>The status is taken from the wording of the press release of the International Monetary Fund (IMF) of 16 July 2026: staff-level agreement, subject to IMF Management approval, with no Executive Board discussion and no IMF financing.</x:v>
      </x:c>
      <x:c r="O93"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3"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3"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3"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3"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SRC-IMF-YEM-SMP-2026</x:v>
      </x:c>
      <x:c r="Y93" s="24" t="str">
        <x:v>[{"source_id":"SRC-IMF-YEM-SMP-2026","url":"https://www.imf.org/en/news/articles/2026/07/16/pr26249-yemen-imf-reaches-sla-on-new-staff-monitored-program","audit_state":"PASS_AUTHORITY_OR_PROVIDER_LOCATOR"}]</x:v>
      </x:c>
      <x:c r="Z93" t="str">
        <x:v>BOUND_EXACT</x:v>
      </x:c>
    </x:row>
    <x:row r="94">
      <x:c r="A94" s="24" t="str">
        <x:v>CLM-050</x:v>
      </x:c>
      <x:c r="B94" s="24" t="str">
        <x:v>CLAIM</x:v>
      </x:c>
      <x:c r="C94" s="24" t="str">
        <x:v>/payments/ | /people/ | /access/</x:v>
      </x:c>
      <x:c r="D94" s="24" t="str">
        <x:v>807,919 accounts did not mean 807,919 active people</x:v>
      </x:c>
      <x:c r="E94" s="28" t="str">
        <x:v>807,919 حسابًا لا تعني 807,919 شخصًا نشطًا</x:v>
      </x:c>
      <x:c r="F94"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4"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4" s="24" t="str">
        <x:v>The number of electronic-money accounts held with the five providers covered by the Institute of Banking Studies (IBS) study in December 2019, with the average share of those accounts that the study reports as dormant or inactive in 2019.</x:v>
      </x:c>
      <x:c r="I94"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4" s="24" t="str">
        <x:v>Dec-2019; contextual series 2016–2019</x:v>
      </x:c>
      <x:c r="K94" s="28" t="str">
        <x:v>ديسمبر 2019؛ سلسلة سياقية 2016–2019</x:v>
      </x:c>
      <x:c r="L94" s="24" t="str">
        <x:v>Five electronic-money providers/wallets captured by the study</x:v>
      </x:c>
      <x:c r="M94" s="28" t="str">
        <x:v>مقدمو خدمات/محافظ النقود الإلكترونية الخمسة الذين شملتهم الدراسة.</x:v>
      </x:c>
      <x:c r="N94" s="24" t="str">
        <x:v>Account totals and the dormant-account average as reported in the Institute of Banking Studies (IBS) study of electronic payment services in Yemen (2020), which compiled statistics from the five providers it covered.</x:v>
      </x:c>
      <x:c r="O94"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4" s="24" t="str">
        <x:v>The total is not a count of active users or unique people, a national inclusion rate or a 2026 level. | Accounts are not unique people and are not automatically active; the 23% is a source-wide average, not a provider-specific or current rate.</x:v>
      </x:c>
      <x:c r="Q94"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4" s="24" t="str">
        <x:v>The account total refers to December 2019, within a study series covering 2016 to 2019. It should not be read as describing a later period unless a newer comparable observation is published.</x:v>
      </x:c>
      <x:c r="S94" s="28" t="str">
        <x:v>يعود إجمالي الحسابات إلى ديسمبر 2019 ضمن سلسلة دراسة تغطي 2016–2019، ولا يُقرأ على أنه يصف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EP-IBS-EMONEY-2019-K04</x:v>
      </x:c>
      <x:c r="Y94" s="24" t="str">
        <x:v>[]</x:v>
      </x:c>
      <x:c r="Z94" t="str">
        <x:v>BOUND_EXACT</x:v>
      </x:c>
    </x:row>
    <x:row r="95">
      <x:c r="A95" s="24" t="str">
        <x:v>CLM-051</x:v>
      </x:c>
      <x:c r="B95" s="24" t="str">
        <x:v>CLAIM</x:v>
      </x:c>
      <x:c r="C95" s="24" t="str">
        <x:v>/payments/ | /evidence/compare/</x:v>
      </x:c>
      <x:c r="D95" s="24" t="str">
        <x:v>Most recorded 2019 e-money value still revolved around cash and account transfers</x:v>
      </x:c>
      <x:c r="E95" s="28" t="str">
        <x:v>معظم قيمة معاملات النقود الإلكترونية المسجلة في 2019 ظلت تدور حول النقد والتحويل بين الحسابات</x:v>
      </x:c>
      <x:c r="F95"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5"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5" s="24" t="str">
        <x:v>Shares of the total value of e-money transactions recorded in 2019 by the five providers covered by the Institute of Banking Studies (IBS) study, grouped by function.</x:v>
      </x:c>
      <x:c r="I95"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5" s="24" t="str">
        <x:v>2016–2019; derived comparison 2018–2019</x:v>
      </x:c>
      <x:c r="K95" s="28" t="str">
        <x:v>2016–2019؛ مقارنة مشتقة للفترة 2018–2019</x:v>
      </x:c>
      <x:c r="L95" s="24" t="str">
        <x:v>Transactions reported by the source for the five providers covered by the study</x:v>
      </x:c>
      <x:c r="M95" s="28" t="str">
        <x:v>المعاملات التي أوردها المصدر ضمن نطاق الدراسة المكوّن من خمسة مقدمي خدمات.</x:v>
      </x:c>
      <x:c r="N95"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5"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5"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5"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5" s="24" t="str">
        <x:v>The values refer to 2019, within a study series covering 2016 to 2019 (the derived comparison covers 2018 and 2019). They should not be read as describing a later period unless a newer comparable observation is published.</x:v>
      </x:c>
      <x:c r="S95"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EP-IBS-EMONEY-VALUE-K04</x:v>
      </x:c>
      <x:c r="Y95" s="24" t="str">
        <x:v>[]</x:v>
      </x:c>
      <x:c r="Z95" t="str">
        <x:v>BOUND_EXACT</x:v>
      </x:c>
    </x:row>
    <x:row r="96">
      <x:c r="A96" s="24" t="str">
        <x:v>CLM-052</x:v>
      </x:c>
      <x:c r="B96" s="24" t="str">
        <x:v>CLAIM</x:v>
      </x:c>
      <x:c r="C96" s="24" t="str">
        <x:v>/people/ | /payments/ | /access/</x:v>
      </x:c>
      <x:c r="D96" s="24" t="str">
        <x:v>Historical provider data show concentration in cities and low female representation</x:v>
      </x:c>
      <x:c r="E96" s="28" t="str">
        <x:v>تُظهر بيانات المزودين التاريخية تمركزًا في المدن وتمثيلًا نسائيًا منخفضًا</x:v>
      </x:c>
      <x:c r="F96"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6"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6" s="24" t="str">
        <x:v>The average share of e-money accounts or users in cities, and the average share of women, in the provider data covered by the Institute of Banking Studies (IBS) study for 2016–2019.</x:v>
      </x:c>
      <x:c r="I96"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6" s="24" t="str">
        <x:v>2016–2019</x:v>
      </x:c>
      <x:c r="K96" s="28" t="str">
        <x:v>2016–2019</x:v>
      </x:c>
      <x:c r="L96" s="24" t="str">
        <x:v>E-money accounts or users as reported by the source or by providers</x:v>
      </x:c>
      <x:c r="M96" s="28" t="str">
        <x:v>بيانات الحسابات أو المستخدمين للنقود الإلكترونية كما يوردها المصدر أو مقدم الخدمة.</x:v>
      </x:c>
      <x:c r="N96" s="24" t="str">
        <x:v>Averages and distributions as reported in the Institute of Banking Studies (IBS) study of electronic payment services in Yemen (2020), based on data from the providers it covered.</x:v>
      </x:c>
      <x:c r="O96"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6"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6"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6" s="24" t="str">
        <x:v>The averages cover 2016 to 2019. They should not be read as describing a later period unless a newer comparable observation is published.</x:v>
      </x:c>
      <x:c r="S96" s="28" t="str">
        <x:v>تغطي المتوسطات الفترة 2016–2019، ولا تُقرأ على أنها تصف فترة لاحقة ما لم تُنشر مشاهدة أحدث قابلة للمقارنة.</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SRC-IBS-EPAY-YEM-2020; EP-IBS-GEO-GENDER-K04</x:v>
      </x:c>
      <x:c r="Y96" s="24" t="str">
        <x:v>[]</x:v>
      </x:c>
      <x:c r="Z96" t="str">
        <x:v>BOUND_EXACT</x:v>
      </x:c>
    </x:row>
    <x:row r="97">
      <x:c r="A97" s="24" t="str">
        <x:v>CLM-053</x:v>
      </x:c>
      <x:c r="B97" s="24" t="str">
        <x:v>CLAIM</x:v>
      </x:c>
      <x:c r="C97" s="24" t="str">
        <x:v>/finance/</x:v>
      </x:c>
      <x:c r="D97" s="24" t="str">
        <x:v>End-2023 borrower evidence is useful, but still secondary</x:v>
      </x:c>
      <x:c r="E97" s="28" t="str">
        <x:v>رقم المقترضين في نهاية 2023 مفيد، لكنه ما يزال دليلًا ثانويًا</x:v>
      </x:c>
      <x:c r="F97"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7"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7" s="24" t="str">
        <x:v>The number of active microfinance borrowers at end-2023 reported by a 2024 policy paper citing SFD/SMED data, for a set of providers that has not been verified.</x:v>
      </x:c>
      <x:c r="I97"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7" s="24" t="str">
        <x:v>End-2023</x:v>
      </x:c>
      <x:c r="K97" s="28" t="str">
        <x:v>نهاية 2023</x:v>
      </x:c>
      <x:c r="L97" s="24" t="str">
        <x:v>Microfinance providers covered by the SFD/SMED data cited in the 2024 policy paper; which providers are included has not yet been verified against the primary source.</x:v>
      </x:c>
      <x:c r="M97"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7"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7"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7"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7"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7" s="24" t="str">
        <x:v>The latest observation in this record refers to the end of 2023. No SFD/SMED figure for 2024 has been located, so the value should not be read as describing 2024 or later.</x:v>
      </x:c>
      <x:c r="S97" s="28" t="str">
        <x:v>تعود أحدث مشاهدة في هذا السجل إلى نهاية 2023. ولم يُعثر على رقم لعام 2024 من SFD/SMED، لذلك لا يُقرأ الرقم على أنه يصف 2024 أو ما بعدها.</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SRC-SANAA-MFB-2024; EP-MFB-BORROWERS-2023-K04; SRC-SFD-SMED-LP-2023-NOV</x:v>
      </x:c>
      <x:c r="Y97" s="24" t="str">
        <x:v>[]</x:v>
      </x:c>
      <x:c r="Z97" t="str">
        <x:v>BOUND_EXACT</x:v>
      </x:c>
      <x:c r="AB97" t="str">
        <x:v>SRC-SFD-SMED-LP-2023-NOV=context</x:v>
      </x:c>
    </x:row>
    <x:row r="98">
      <x:c r="A98" s="24" t="str">
        <x:v>CLM-054</x:v>
      </x:c>
      <x:c r="B98" s="24" t="str">
        <x:v>CLAIM</x:v>
      </x:c>
      <x:c r="C98" s="24" t="str">
        <x:v>/finance/ | /evidence/compare/</x:v>
      </x:c>
      <x:c r="D98" s="24" t="str">
        <x:v>Borrower, saver and portfolio figures come from different sources and definitions and do not yet form one trend</x:v>
      </x:c>
      <x:c r="E98" s="28" t="str">
        <x:v>تأتي أرقام المقترضين والمدخرين والمحفظة من مصادر وتعريفات مختلفة، ولا تشكل بعدُ اتجاهًا واحدًا</x:v>
      </x:c>
      <x:c r="F98"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8"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المحفظة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المحفظة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8"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8" s="28" t="str">
        <x:v>أعداد المقترضين النشطين في التمويل الأصغر في نهاية 2015 ونهاية 2020 ونهاية 2023، وأعداد المدخرين أو المودعين والمحفظة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8" s="24" t="str">
        <x:v>End-2015 and end-2020 (verified primary tables), set beside end-2023 (a secondary figure citing SFD/SMED data).</x:v>
      </x:c>
      <x:c r="K98" s="28" t="str">
        <x:v>نهاية 2015 ونهاية 2020 (جداول أصلية موثقة)، إلى جانب نهاية 2023 (رقم ثانوي يستند إلى بيانات SFD/SMED).</x:v>
      </x:c>
      <x:c r="L98" s="24" t="str">
        <x:v>Microfinance borrower, saver/depositor and nominal-portfolio measures drawn from provider and reporting groups defined by each source, which are not yet fully harmonized across years.</x:v>
      </x:c>
      <x:c r="M98" s="28" t="str">
        <x:v>مقاييس المقترضين والمدخرين أو المودعين والمحفظة الاسمية في التمويل الأصغر، مأخوذة من نطاقات مقدمي خدمات وإبلاغ خاصة بكل مصدر ولم تتم مواءمتها بالكامل بين السنوات.</x:v>
      </x:c>
      <x:c r="N98"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8"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8" s="24" t="str">
        <x:v>The figures do not show broader inclusion, real credit deepening, a harmonized trend, improved borrower outcomes, a causal effect, growth in unique people or an unchanged set of providers.</x:v>
      </x:c>
      <x:c r="Q98"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8"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8"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SRC-SFD-Q4-2015-001; SRC-SFD-Q4-2020-001; SRC-SANAA-MFB-2024; SRC-CBY-001; INS-K04-023</x:v>
      </x:c>
      <x:c r="Y98" s="24" t="str">
        <x:v>[]</x:v>
      </x:c>
      <x:c r="Z98" t="str">
        <x:v>BOUND_EXACT</x:v>
      </x:c>
    </x:row>
    <x:row r="99">
      <x:c r="A99" s="24" t="str">
        <x:v>CLM-055</x:v>
      </x:c>
      <x:c r="B99" s="24" t="str">
        <x:v>CLAIM</x:v>
      </x:c>
      <x:c r="C99" s="24" t="str">
        <x:v>/providers/ | /finance/</x:v>
      </x:c>
      <x:c r="D99" s="24" t="str">
        <x:v>Being listed as a microfinance bank does not establish operation or outreach</x:v>
      </x:c>
      <x:c r="E99" s="28" t="str">
        <x:v>الإدراج كبنك تمويل أصغر لا يثبت التشغيل أو الوصول الفعلي</x:v>
      </x:c>
      <x:c r="F99" s="24" t="str">
        <x:v>The list of licensed banks of the Central Bank of Yemen – Aden (CBY-Aden), as checked on 7 September 2026, names 26 banks; 12 of them are classified as microfinance banks on the basis of their names in the source. This establishes a dated listing and classification only: being listed or licensed does not mean operating, active or reaching underserved clients.</x:v>
      </x:c>
      <x:c r="G99" s="28" t="str">
        <x:v>تضم قائمة البنوك المرخصة الصادرة عن البنك المركزي اليمني – عدن، كما اطُّلع عليها في 7 سبتمبر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9" s="24" t="str">
        <x:v>The number of banks on the licensed-bank list of the Central Bank of Yemen – Aden (CBY-Aden), as checked on 7 September 2026, that are classified as microfinance banks on the basis of their names in the list.</x:v>
      </x:c>
      <x:c r="I99" s="28" t="str">
        <x:v>عدد البنوك الواردة في قائمة البنوك المرخصة لدى البنك المركزي اليمني – عدن، كما اطُّلع عليها في 7 سبتمبر 2026، والمصنفة بنوكَ تمويل أصغر استنادًا إلى تسمياتها في القائمة.</x:v>
      </x:c>
      <x:c r="J99" s="24" t="str">
        <x:v>List as checked on 7 September 2026</x:v>
      </x:c>
      <x:c r="K99" s="28" t="str">
        <x:v>القائمة كما اطُّلع عليها في 7 سبتمبر 2026</x:v>
      </x:c>
      <x:c r="L99" s="24" t="str">
        <x:v>Banks named on the licensed-bank list of the Central Bank of Yemen – Aden (CBY-Aden); list presence is not proof of current operation, branch footprint, product availability or market share</x:v>
      </x:c>
      <x:c r="M99"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9" s="24" t="str">
        <x:v>A count of the banks named on the licensed-bank list published by the Central Bank of Yemen – Aden (CBY-Aden), as checked on 7 September 2026; 12 of them are classified as microfinance banks on the basis of their names in the list. The list establishes listing or licensing by CBY-Aden; it does not by itself establish current operation, service availability or geographic reach.</x:v>
      </x:c>
      <x:c r="O99" s="28" t="str">
        <x:v>عدّ البنوك الواردة في قائمة البنوك المرخصة التي ينشرها البنك المركزي اليمني – عدن، كما اطُّلع عليها في 7 سبتمبر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9"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9"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9" s="24" t="str">
        <x:v>This record reflects the licensed-bank list of the Central Bank of Yemen – Aden (CBY-Aden) as checked on 7 September 2026. It should not be read as describing a later date unless a newer version of the list is checked.</x:v>
      </x:c>
      <x:c r="S99" s="28" t="str">
        <x:v>يعكس هذا السجل قائمة البنوك المرخصة لدى البنك المركزي اليمني – عدن كما اطُّلع عليها في 7 سبتمبر 2026، ولا يُقرأ على أنه يصف تاريخًا لاحقًا ما لم يُطّلع على نسخة أحدث من القائمة.</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This record is drawn from the source(s) listed on this page. Open a source record to reach the original document, and check that the definition, period, population and geography match what is stated here.</x:v>
      </x:c>
      <x:c r="W9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9" s="24" t="str">
        <x:v>SRC-CBY-BANKLIST-AR-2026-001; EP-CBY-BANK-ROSTER-2026</x:v>
      </x:c>
      <x:c r="Y99" s="24" t="str">
        <x:v>[]</x:v>
      </x:c>
      <x:c r="Z99" t="str">
        <x:v>BOUND_EXACT</x:v>
      </x:c>
    </x:row>
    <x:row r="100">
      <x:c r="A100" s="24" t="str">
        <x:v>CLM-056</x:v>
      </x:c>
      <x:c r="B100" s="24" t="str">
        <x:v>CLAIM</x:v>
      </x:c>
      <x:c r="C100" s="24" t="str">
        <x:v>/finance/ | /evidence/compare/</x:v>
      </x:c>
      <x:c r="D100" s="24" t="str">
        <x:v>The 91% figure is supportable only as a source-attributed share of saver growth—not as a verified 2023 depositor stock share</x:v>
      </x:c>
      <x:c r="E100" s="28" t="str">
        <x:v>يمكن إسناد نسبة 91% فقط بوصفها حصة من نمو المدخرين وفق المصدر، لا بوصفها حصة محققة من رصيد المودعين في 2023</x:v>
      </x:c>
      <x:c r="F100"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100"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100" s="24" t="str">
        <x:v>The 91% share of growth in microfinance savers that a 2024 policy paper attributes to Al-Kuraimi; the 2023 provider-level numerator, denominator and calculation behind it have not been reproduced.</x:v>
      </x:c>
      <x:c r="I100"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100" s="24" t="str">
        <x:v>A statement about 2023 published in 2024, and its restatement in 2025.</x:v>
      </x:c>
      <x:c r="K100" s="28" t="str">
        <x:v>عبارة تخص عام 2023 نُشرت في 2024، وإعادة عرضها في 2025.</x:v>
      </x:c>
      <x:c r="L100" s="24" t="str">
        <x:v>Two distinct metrics: share of saver growth versus share of depositor/saver stock. The 2023 figure of 91% cannot be moved from one measure to the other without a reproduced numerator and denominator.</x:v>
      </x:c>
      <x:c r="M100"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100"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100"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100" s="24" t="str">
        <x:v>It does not establish a verified 2023 stock share, a share of unique clients or a general market share for any provider. | The source's wording concerns a share of growth; the 2023 calculation and the later restatement remain unresolved.</x:v>
      </x:c>
      <x:c r="Q100"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100" s="24" t="str">
        <x:v>The statement refers to 2023 and was restated in 2025; the evidence base holds no later provider-level figure. Its status changes only if primary 2023 provider data reproduce the measure or the source issues an explicit correction or clarification.</x:v>
      </x:c>
      <x:c r="S100"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Some figures in this record are drawn from the source(s) listed on this page; other inputs have not yet been linked to a specific original source. Check each figure against a listed source before reuse, and treat any figure you cannot match as unverified.</x:v>
      </x:c>
      <x:c r="W10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0" s="24" t="str">
        <x:v>SRC-SANAA-MFB-2024; SRC-SANAA-YR-2025-Q2-MFB; CON-057; DS-V041-STRICT-COUNSEL</x:v>
      </x:c>
      <x:c r="Y100" s="24" t="str">
        <x:v>[]</x:v>
      </x:c>
      <x:c r="Z100" t="str">
        <x:v>BOUND_PARTIAL</x:v>
      </x:c>
    </x:row>
    <x:row r="101">
      <x:c r="A101" s="24" t="str">
        <x:v>CLM-057</x:v>
      </x:c>
      <x:c r="B101" s="24" t="str">
        <x:v>CLAIM</x:v>
      </x:c>
      <x:c r="C101" s="24" t="str">
        <x:v>/finance/ | /evidence/</x:v>
      </x:c>
      <x:c r="D101" s="24" t="str">
        <x:v>June and end-2023 borrower points are not one continuous series</x:v>
      </x:c>
      <x:c r="E101" s="28" t="str">
        <x:v>نقطتا يونيو ونهاية 2023 للمقترضين ليستا سلسلة مستمرة واحدة</x:v>
      </x:c>
      <x:c r="F101"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1"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1" s="24" t="str">
        <x:v>Two counts of active microfinance borrowers in 2023, about 80,800 cited for June and 78,686 for the end of the year, reported through different source chains.</x:v>
      </x:c>
      <x:c r="I101" s="28" t="str">
        <x:v>عددان للمقترضين النشطين في التمويل الأصغر في 2023: نحو 80,800 مذكوران ليونيو، و78,686 لنهاية السنة، وردا عبر سلسلتي مصادر مختلفتين.</x:v>
      </x:c>
      <x:c r="J101" s="24" t="str">
        <x:v>June 2023 and end-2023 active-borrower observations from separate source chains.</x:v>
      </x:c>
      <x:c r="K101" s="28" t="str">
        <x:v>مشاهدتان للمقترضين النشطين في يونيو 2023 ونهاية 2023 من سلسلتي مصادر مختلفتين.</x:v>
      </x:c>
      <x:c r="L101" s="24" t="str">
        <x:v>Active-borrower observations for which it has not yet been shown that the June and year-end points cover the same providers and use the same source method.</x:v>
      </x:c>
      <x:c r="M101" s="28" t="str">
        <x:v>مشاهدات للمقترضين النشطين لم يثبت بعد أن نطاق مقدمي الخدمات وطريقة المصدر متطابقان بين نقطة يونيو ونقطة نهاية العام.</x:v>
      </x:c>
      <x:c r="N101" s="24" t="str">
        <x:v>Both figures are taken as reported in two 2024 policy papers that cite different upstream sources. The observations are kept separate, and no change between them is calculated, because their provider sets and methods have not been compared and reconciled.</x:v>
      </x:c>
      <x:c r="O101"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1" s="24" t="str">
        <x:v>The two figures do not establish a decline between June and the end of 2023, monthly values between them, or a continuous series, while the provider sets behind them remain unreconciled.</x:v>
      </x:c>
      <x:c r="Q101"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1" s="24" t="str">
        <x:v>Both observations refer to 2023, the later one to the end of the year; neither describes microfinance after 2023. They remain separate points unless the sources and provider sets are reconciled.</x:v>
      </x:c>
      <x:c r="S101"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SRC-SANAA-SOCPROT-2024; SRC-SANAA-MFB-2024; CON-058</x:v>
      </x:c>
      <x:c r="Y101" s="24" t="str">
        <x:v>[]</x:v>
      </x:c>
      <x:c r="Z101" t="str">
        <x:v>BOUND_EXACT</x:v>
      </x:c>
    </x:row>
    <x:row r="102">
      <x:c r="A102" s="24" t="str">
        <x:v>CLM-058</x:v>
      </x:c>
      <x:c r="B102" s="24" t="str">
        <x:v>CLAIM</x:v>
      </x:c>
      <x:c r="C102" s="24" t="str">
        <x:v>/finance/</x:v>
      </x:c>
      <x:c r="D102" s="24" t="str">
        <x:v>Through 2021, the World Bank reports a broadly flat borrower base while average loan amounts rose</x:v>
      </x:c>
      <x:c r="E102" s="28" t="str">
        <x:v>حتى 2021، يفيد البنك الدولي بأن قاعدة المقترضين ظلت مستقرة تقريبًا بينما ارتفع متوسط حجم التمويل</x:v>
      </x:c>
      <x:c r="F102"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2"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2" s="24" t="str">
        <x:v>The World Bank's account, in its 2024 Yemen Financial Sector Diagnostics, of how the number of active microfinance borrowers and average loan amounts moved through 2021.</x:v>
      </x:c>
      <x:c r="I102" s="28" t="str">
        <x:v>ما يورده البنك الدولي في «تشخيص القطاع المالي في اليمن (2024)» عن حركة عدد المقترضين النشطين في التمويل الأصغر ومتوسط حجم التمويل حتى 2021.</x:v>
      </x:c>
      <x:c r="J102" s="24" t="str">
        <x:v>Historical evidence through 2021.</x:v>
      </x:c>
      <x:c r="K102" s="28" t="str">
        <x:v>دليل تاريخي حتى عام 2021.</x:v>
      </x:c>
      <x:c r="L102" s="24" t="str">
        <x:v>Yemen microfinance borrower and average-loan measures summarized in the World Bank Financial Sector Diagnostics, within the source's sector coverage.</x:v>
      </x:c>
      <x:c r="M102" s="28" t="str">
        <x:v>مقاييس المقترضين ومتوسط حجم القرض في التمويل الأصغر باليمن كما يلخصها تشخيص القطاع المالي للبنك الدولي، ضمن نطاق القطاع الذي يغطيه المصدر.</x:v>
      </x:c>
      <x:c r="N102" s="24" t="str">
        <x:v>Taken from the World Bank's Yemen Financial Sector Diagnostics (2024), which summarizes sector evidence through 2021; this resource reports the source's statement on borrower numbers and average loan amounts as published and does not recompute it.</x:v>
      </x:c>
      <x:c r="O102"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2"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2"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2" s="24" t="str">
        <x:v>The finding covers evidence through 2021 in a source published in 2024. It is not a conclusion about 2023 or 2026, and newer comparable sector evidence would be needed before it could describe the current market.</x:v>
      </x:c>
      <x:c r="S102"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SRC-WB-FSD-2024-001</x:v>
      </x:c>
      <x:c r="Y102" s="24" t="str">
        <x:v>[{"source_id":"SRC-WB-FSD-2024-001","url":"https://documents1.worldbank.org/curated/en/099102324070011985/pdf/P177631-d18a7ee4-3fcf-4393-9665-77f98b3e43a7.pdf","audit_state":"PASS_AUTHORITY_OR_PROVIDER_LOCATOR"}]</x:v>
      </x:c>
      <x:c r="Z102" t="str">
        <x:v>BOUND_EXACT</x:v>
      </x:c>
    </x:row>
    <x:row r="103">
      <x:c r="A103" s="24" t="str">
        <x:v>CLM-032</x:v>
      </x:c>
      <x:c r="B103" s="24" t="str">
        <x:v>CLAIM</x:v>
      </x:c>
      <x:c r="C103" s="24" t="str">
        <x:v>/remittances/ | /evidence/compare/</x:v>
      </x:c>
      <x:c r="D103" s="24" t="str">
        <x:v>Same reference year, different published value</x:v>
      </x:c>
      <x:c r="E103" s="28" t="str">
        <x:v>السنة المرجعية نفسها، وقيمة منشورة مختلفة</x:v>
      </x:c>
      <x:c r="F103"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3"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3" s="24" t="str">
        <x:v>A revision in the published value for the same reference year across different editions of the publication.</x:v>
      </x:c>
      <x:c r="I103" s="28" t="str">
        <x:v>مراجعة في القيمة المنشورة للسنة المرجعية نفسها بين نسخ نشر مختلفة.</x:v>
      </x:c>
      <x:c r="J103" s="24" t="str">
        <x:v>Reference years 2020–2025 in the 2022–2025 annual reports; IMF method work 2024–2025</x:v>
      </x:c>
      <x:c r="K103" s="28" t="str">
        <x:v>سنوات مرجعية 2020–2025 عبر تقارير 2022–2025؛ والعمل المنهجي لصندوق النقد 2024–2025</x:v>
      </x:c>
      <x:c r="L103" s="24" t="str">
        <x:v>The remittance series published in the balance of payments of the Central Bank of Yemen – Aden (CBY-Aden); its exact territorial and conceptual mapping to the IMF reconstruction for areas under the internationally recognized government remains open</x:v>
      </x:c>
      <x:c r="M103"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3"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3"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3"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3"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3"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3"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SRC-CBY-AR2024-BOP; SRC-CBY-AR2025-BOP; K04-CBY-060; AVA-004; EP-CBY-REMITTANCE-VINTAGE-K04</x:v>
      </x:c>
      <x:c r="Y103" s="24" t="str">
        <x:v>["SRC-CBY-AR2024-BOP", "SRC-CBY-AR2025-BOP"]</x:v>
      </x:c>
      <x:c r="Z103" t="str">
        <x:v>BOUND_EXACT</x:v>
      </x:c>
    </x:row>
    <x:row r="104">
      <x:c r="A104" s="24" t="str">
        <x:v>CLM-033</x:v>
      </x:c>
      <x:c r="B104" s="24" t="str">
        <x:v>CLAIM</x:v>
      </x:c>
      <x:c r="C104" s="24" t="str">
        <x:v>/finance/ | /firms/ | /evidence/compare/</x:v>
      </x:c>
      <x:c r="D104" s="24" t="str">
        <x:v>A measured banking jump can partly be a valuation change</x:v>
      </x:c>
      <x:c r="E104" s="28" t="str">
        <x:v>قد يعود جزء من القفزة في الأرقام المصرفية إلى تغيّر في أسلوب التقييم</x:v>
      </x:c>
      <x:c r="F104"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4"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4" s="24" t="str">
        <x:v>A methodological or valuation break that changes reported levels without necessarily representing the same-sized economic change.</x:v>
      </x:c>
      <x:c r="I104" s="28" t="str">
        <x:v>انقطاع في المنهج أو في أسلوب التقييم يغيّر المستويات المنشورة من دون أن يعني بالضرورة تغيرًا اقتصاديًا بالحجم نفسه.</x:v>
      </x:c>
      <x:c r="J104" s="24" t="str">
        <x:v>2022 positions as published in the 2022 annual report and as restated from the 2023 annual report onward</x:v>
      </x:c>
      <x:c r="K104" s="28" t="str">
        <x:v>مراكز عام 2022 كما نُشرت في التقرير السنوي 2022 وكما أُعيد عرضها ابتداءً من التقرير السنوي 2023</x:v>
      </x:c>
      <x:c r="L104" s="24" t="str">
        <x:v>Consolidated commercial and Islamic bank balance-sheet stocks</x:v>
      </x:c>
      <x:c r="M104" s="28" t="str">
        <x:v>أرصدة الميزانيات المجمعة للبنوك التجارية والإسلامية.</x:v>
      </x:c>
      <x:c r="N104" s="24" t="str">
        <x:v>Annual reports of the Central Bank of Yemen – Aden (CBY-Aden) for 2022 and for 2023 onward; the 2023 annual report contains an explicit note on valuing foreign-currency positions at the market exchange rate.</x:v>
      </x:c>
      <x:c r="O104"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4"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4"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4" s="24" t="str">
        <x:v>This record applies to the 2022 positions as published in the 2022 annual report and as restated from the 2023 annual report onward. It should not be read as describing later positions.</x:v>
      </x:c>
      <x:c r="S104" s="28" t="str">
        <x:v>ينطبق هذا السجل على مراكز عام 2022 كما نُشرت في التقرير السنوي 2022 وكما أُعيد عرضها ابتداءً من التقرير السنوي 2023، ولا يُقرأ على أنه يصف مراكز لاحقة.</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SRC-CBY-AR2022-001; SRC-CBY-AR2023-001; K04-CBY-061; AVA-005..008; EP-CBY-BANKING-REVAL-K04</x:v>
      </x:c>
      <x:c r="Y104" s="24" t="str">
        <x:v>["SRC-CBY-AR2022-001", "SRC-CBY-AR2023-001"]</x:v>
      </x:c>
      <x:c r="Z104" t="str">
        <x:v>BOUND_EXACT</x:v>
      </x:c>
    </x:row>
    <x:row r="105">
      <x:c r="A105" s="24" t="str">
        <x:v>CLM-034</x:v>
      </x:c>
      <x:c r="B105" s="24" t="str">
        <x:v>CLAIM</x:v>
      </x:c>
      <x:c r="C105" s="24" t="str">
        <x:v>/remittances/ | /methodology/</x:v>
      </x:c>
      <x:c r="D105" s="24" t="str">
        <x:v>A smoother published path is a methods question, not a conclusion</x:v>
      </x:c>
      <x:c r="E105" s="28" t="str">
        <x:v>المسار المنشور الأكثر سلاسة سؤال منهجي، لا استنتاج</x:v>
      </x:c>
      <x:c r="F105"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5"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5" s="24" t="str">
        <x:v>The annual growth rates of the remittance series in the Central Bank of Yemen – Aden (CBY-Aden) Annual Report 2025, compared across the overlapping years 2021–2025.</x:v>
      </x:c>
      <x:c r="I105" s="28" t="str">
        <x:v>معدلات النمو السنوية لسلسلة التحويلات في التقرير السنوي 2025 للبنك المركزي اليمني – عدن، مقارنةً عبر السنوات المتداخلة 2021–2025.</x:v>
      </x:c>
      <x:c r="J105" s="24" t="str">
        <x:v>Remittance series for the overlapping years 2021–2025, as published in the CBY-Aden Annual Report 2025.</x:v>
      </x:c>
      <x:c r="K105" s="28" t="str">
        <x:v>سلسلة التحويلات للسنوات المتداخلة 2021–2025 كما نُشرت في التقرير السنوي 2025 للبنك المركزي اليمني – عدن.</x:v>
      </x:c>
      <x:c r="L105" s="24" t="str">
        <x:v>The remittance series as defined and published within the CBY-Aden Annual Report 2025; not all remittance channels or household receipts.</x:v>
      </x:c>
      <x:c r="M105" s="28" t="str">
        <x:v>سلسلة التحويلات كما عرّفها ونشرها التقرير السنوي 2025 للبنك المركزي، وليست جميع قنوات التحويل أو تحويلات الأسر المستلمة.</x:v>
      </x:c>
      <x:c r="N105" s="24" t="str">
        <x:v>Year-on-year growth rates computed by this resource from the remittance values in one published edition, the Central Bank of Yemen – Aden (CBY-Aden) Annual Report 2025, and compared across years as a check on method.</x:v>
      </x:c>
      <x:c r="O105"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5" s="24" t="str">
        <x:v>The pattern does not establish smoothing, interpolation or low real-world volatility.</x:v>
      </x:c>
      <x:c r="Q105" s="28" t="str">
        <x:v>لا يثبت النمط الظاهر في السلسلة المنشورة وجود تنعيم أو استيفاء أو انخفاض في التقلب الفعلي.</x:v>
      </x:c>
      <x:c r="R105" s="24" t="str">
        <x:v>The pattern refers to the remittance series as published in the Central Bank of Yemen – Aden (CBY-Aden) Annual Report 2025. It may change if CBY-Aden revises the series or publishes a newer annual report.</x:v>
      </x:c>
      <x:c r="S105"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SRC-CBY-AR2025-BOP; K04-CBY-060; DN-CBY-022</x:v>
      </x:c>
      <x:c r="Y105" s="24" t="str">
        <x:v>["SRC-CBY-AR2025-BOP"]</x:v>
      </x:c>
      <x:c r="Z105" t="str">
        <x:v>BOUND_EXACT</x:v>
      </x:c>
    </x:row>
    <x:row r="106">
      <x:c r="A106" s="24" t="str">
        <x:v>CLM-035</x:v>
      </x:c>
      <x:c r="B106" s="24" t="str">
        <x:v>CLAIM</x:v>
      </x:c>
      <x:c r="C106" s="24" t="str">
        <x:v>/remittances/ | /finance/ | /evidence/compare/</x:v>
      </x:c>
      <x:c r="D106" s="24" t="str">
        <x:v>The apparent balance between remittances and donor financing changes between editions of the annual report</x:v>
      </x:c>
      <x:c r="E106" s="28" t="str">
        <x:v>تتغير الصورة النسبية للتحويلات وتمويل المانحين باختلاف إصدار التقرير السنوي</x:v>
      </x:c>
      <x:c r="F106"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6"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6" s="24" t="str">
        <x:v>The ratio of the remittance item to the donor-financing item for the 2024 reference year, calculated within each of two editions of the Central Bank of Yemen – Aden (CBY-Aden) annual report.</x:v>
      </x:c>
      <x:c r="I106" s="28" t="str">
        <x:v>نسبة بند التحويلات إلى بند تمويل المانحين للسنة المرجعية 2024، محسوبة داخل كل من نسختين من التقرير السنوي للبنك المركزي اليمني – عدن.</x:v>
      </x:c>
      <x:c r="J106" s="24" t="str">
        <x:v>2024 reference year compared in the CBY-Aden Annual Reports 2024 and 2025.</x:v>
      </x:c>
      <x:c r="K106" s="28" t="str">
        <x:v>السنة المرجعية 2024 كما تظهر في التقريرين السنويين 2024 و2025 للبنك المركزي اليمني – عدن.</x:v>
      </x:c>
      <x:c r="L106" s="24" t="str">
        <x:v>Two balance-of-payments items of the Central Bank of Yemen – Aden (CBY-Aden), labelled by the source as remittances and donor financing, within each annual-report edition; not all aid, official development assistance (ODA) or external finance</x:v>
      </x:c>
      <x:c r="M106"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6" s="24" t="str">
        <x:v>Computed by this resource within each annual-report edition: the 2024 remittance item divided by the 2024 donor-financing item, both as labelled and published in that edition (the 2024 annual report, and the 2025 annual report with its restated 2024 values).</x:v>
      </x:c>
      <x:c r="O106"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6" s="24" t="str">
        <x:v>The ratio does not describe all aid, official development assistance or external finance, and it does not rank flows that are defined differently.</x:v>
      </x:c>
      <x:c r="Q106" s="28" t="str">
        <x:v>لا تصف النسبة جميع المساعدات أو المساعدة الإنمائية الرسمية أو جميع أشكال التمويل الخارجي، ولا ترتّب تدفقات تختلف تعريفاتها.</x:v>
      </x:c>
      <x:c r="R106" s="24" t="str">
        <x:v>The comparison refers to the 2024 reference year as published in the 2024 and 2025 annual reports. It is recalculated if either item is revised in a later annual report.</x:v>
      </x:c>
      <x:c r="S106" s="28" t="str">
        <x:v>تعود المقارنة إلى السنة المرجعية 2024 كما نُشرت في التقريرين السنويين 2024 و2025، ويُعاد الحساب إذا روجع أي من البندين في تقرير سنوي لاحق.</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SRC-CBY-AR2024-BOP; SRC-CBY-AR2025-BOP; K04-CBY-062</x:v>
      </x:c>
      <x:c r="Y106" s="24" t="str">
        <x:v>["SRC-CBY-AR2024-BOP", "SRC-CBY-AR2025-BOP"]</x:v>
      </x:c>
      <x:c r="Z106" t="str">
        <x:v>BOUND_EXACT</x:v>
      </x:c>
    </x:row>
    <x:row r="107">
      <x:c r="A107" s="24" t="str">
        <x:v>CLM-036</x:v>
      </x:c>
      <x:c r="B107" s="24" t="str">
        <x:v>CLAIM</x:v>
      </x:c>
      <x:c r="C107" s="24" t="str">
        <x:v>/remittances/ | /methodology/</x:v>
      </x:c>
      <x:c r="D107" s="24" t="str">
        <x:v>A reconstruction programme is documented; the exact CBY formula is not</x:v>
      </x:c>
      <x:c r="E107" s="28" t="str">
        <x:v>إعادة البناء الإحصائي موثقة، أما صيغة البنك المركزي الدقيقة فليست كذلك</x:v>
      </x:c>
      <x:c r="F107"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7"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7" s="24" t="str">
        <x:v>This record describes the documented work of the IMF with the Central Bank of Yemen – Aden (CBY-Aden) in 2024–2025 to reconstruct external-sector statistics, including a model of personal transfers; it reports no value.</x:v>
      </x:c>
      <x:c r="I107"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7" s="24" t="str">
        <x:v>2014–2025 reconstruction / 2025–26 publication cycle</x:v>
      </x:c>
      <x:c r="K107" s="28" t="str">
        <x:v>إعادة بناء 2014–2025 / دورة النشر 2025–2026</x:v>
      </x:c>
      <x:c r="L107" s="24" t="str">
        <x:v>The IMF's analytical framework for external-sector statistics for areas under the internationally recognized government; component scopes and source methods vary</x:v>
      </x:c>
      <x:c r="M107" s="28" t="str">
        <x:v>الإطار التحليلي لصندوق النقد الدولي لإحصاءات القطاع الخارجي الخاص بمناطق الحكومة المعترف بها دوليًا؛ وتختلف نطاقات المكونات وطرق مصادرها.</x:v>
      </x:c>
      <x:c r="N107" s="24" t="str">
        <x:v>IMF documents: a D4D-II capacity-development progress report and the statistical annex of the IMF 2025 Article IV consultation.</x:v>
      </x:c>
      <x:c r="O107" s="28" t="str">
        <x:v>وثائق صادرة عن صندوق النقد الدولي: تقرير مرحلي لبرنامج D4D-II لتنمية القدرات، والملحق الإحصائي لمشاورات المادة الرابعة لعام 2025.</x:v>
      </x:c>
      <x:c r="P107"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7"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7" s="24" t="str">
        <x:v>The reconstruction work took place in 2024–2025, covers 2014 to 2025 and was documented in IMF publications of 2025–2026. The record describes method rather than a value and does not describe later method work unless newer documentation is published.</x:v>
      </x:c>
      <x:c r="S107"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SRC-IMF-D4D-YEM-ESS-2025; SRC-IMF-YEM-AIV-2025-2026; EP-IMF-CBY-REMIT-METHOD-K04; K04-CBY-060</x:v>
      </x:c>
      <x:c r="Y107" s="24" t="str">
        <x:v>[]</x:v>
      </x:c>
      <x:c r="Z107" t="str">
        <x:v>BOUND_EXACT</x:v>
      </x:c>
    </x:row>
    <x:row r="108">
      <x:c r="A108" s="24" t="str">
        <x:v>CLM-037</x:v>
      </x:c>
      <x:c r="B108" s="24" t="str">
        <x:v>CLAIM</x:v>
      </x:c>
      <x:c r="C108" s="24" t="str">
        <x:v>/remittances/ | /evidence/compare/</x:v>
      </x:c>
      <x:c r="D108" s="24" t="str">
        <x:v>The paths align after normalization; their levels are not equivalent</x:v>
      </x:c>
      <x:c r="E108" s="28" t="str">
        <x:v>يتطابق المساران تقريبًا عند تحويلهما إلى رقم قياسي، لكن مستوياتهما ليست متكافئة</x:v>
      </x:c>
      <x:c r="F108"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8"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8" s="24" t="str">
        <x:v>The annual growth paths of the CBY-Aden and IMF remittance series, each indexed to 2021 = 100, compared over 2021–2024.</x:v>
      </x:c>
      <x:c r="I108"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8" s="24" t="str">
        <x:v>Reference years 2021–2024 (indexed comparison), from the CBY-Aden Annual Report 2025 and the IMF 2025 Article IV consultation</x:v>
      </x:c>
      <x:c r="K108" s="28" t="str">
        <x:v>السنوات المرجعية 2021–2024 (مقارنة بالرقم القياسي)، من التقرير السنوي 2025 للبنك المركزي اليمني – عدن ومشاورات المادة الرابعة لعام 2025 لصندوق النقد الدولي</x:v>
      </x:c>
      <x:c r="L108" s="24" t="str">
        <x:v>The remittance series published by the Central Bank of Yemen – Aden (CBY-Aden) and the IMF series for areas under the internationally recognized government; the exact territorial and conceptual mapping between them remains open</x:v>
      </x:c>
      <x:c r="M108"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8"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8"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8"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8"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8" s="24" t="str">
        <x:v>The latest year compared is 2024, from the CBY-Aden Annual Report 2025 and the IMF 2025 Article IV consultation. It should not be read as describing a later period unless newer comparable editions of both series are published.</x:v>
      </x:c>
      <x:c r="S108"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SRC-CBY-AR2025-BOP; SRC-IMF-YEM-AIV-2025-2026; EP-CBY-REMITTANCE-VINTAGE-K04; EP-IMF-CBY-REMIT-METHOD-K04</x:v>
      </x:c>
      <x:c r="Y108" s="24" t="str">
        <x:v>[]</x:v>
      </x:c>
      <x:c r="Z108" t="str">
        <x:v>BOUND_EXACT</x:v>
      </x:c>
    </x:row>
    <x:row r="109">
      <x:c r="A109" s="24" t="str">
        <x:v>CLM-038</x:v>
      </x:c>
      <x:c r="B109" s="24" t="str">
        <x:v>CLAIM</x:v>
      </x:c>
      <x:c r="C109" s="24" t="str">
        <x:v>/finance/ | /firms/ | /methodology/</x:v>
      </x:c>
      <x:c r="D109" s="24" t="str">
        <x:v>The 2023 valuation change has a precedent and cannot be called the “first ever”</x:v>
      </x:c>
      <x:c r="E109" s="28" t="str">
        <x:v>لتغيير التقييم في 2023 سابقة تاريخية، وليس حدًا يصلح وصفه بأنه «الأول»</x:v>
      </x:c>
      <x:c r="F109"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9"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9" s="24" t="str">
        <x:v>This record traces how foreign-currency positions have been valued in Yemen's banking statistics, from 1996 IMF metadata to the January 2023 change documented by the Central Bank of Yemen – Aden (CBY-Aden); it reports no value.</x:v>
      </x:c>
      <x:c r="I109"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9" s="24" t="str">
        <x:v>1996 historical metadata; 2023 contemporary change; sources reviewed on 10 September 2026</x:v>
      </x:c>
      <x:c r="K109" s="28" t="str">
        <x:v>بيانات وصفية تاريخية من 1996؛ وتغيير معاصر في 2023؛ واطُّلع على المصادر في 10 سبتمبر 2026</x:v>
      </x:c>
      <x:c r="L109" s="24" t="str">
        <x:v>Accounts denominated in foreign currency and banks' foreign-currency positions, within each source's statistical or reporting scope</x:v>
      </x:c>
      <x:c r="M109" s="28" t="str">
        <x:v>الحسابات المقومة بالعملات الأجنبية ومراكز العملات الأجنبية لدى البنوك ضمن نطاقات الإبلاغ أو الإحصاء الخاصة بكل مصدر.</x:v>
      </x:c>
      <x:c r="N109" s="24" t="str">
        <x:v>The valuation method traced across editions of IMF metadata, the CBY annual report and CBY monetary and financial data</x:v>
      </x:c>
      <x:c r="O109" s="28" t="str">
        <x:v>تتبع المنهج عبر نسخ متعددة من بيانات صندوق النقد والتقرير السنوي للبنك المركزي وبياناته النقدية والمالية.</x:v>
      </x:c>
      <x:c r="P109"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9"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9" s="24" t="str">
        <x:v>The record rests on 1996 IMF metadata and the January 2023 change, with sources reviewed on 10 September 2026. It should not be read as describing later valuation practice unless newer documentation is published.</x:v>
      </x:c>
      <x:c r="S109"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This record is drawn from the source(s) listed on this page. Open a source record to reach the original document, and check that the definition, period, population and geography match what is stated here.</x:v>
      </x:c>
      <x:c r="W10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9" s="24" t="str">
        <x:v>SRC-IMF-YEM-EGDDS-VAL-1996; SRC-CBY-AR2023-001; EP-CBY-BANKING-VALUATION-LINEAGE-K04</x:v>
      </x:c>
      <x:c r="Y109" s="24" t="str">
        <x:v>[]</x:v>
      </x:c>
      <x:c r="Z109" t="str">
        <x:v>BOUND_EXACT</x:v>
      </x:c>
    </x:row>
    <x:row r="110">
      <x:c r="A110" s="24" t="str">
        <x:v>CLM-039</x:v>
      </x:c>
      <x:c r="B110" s="24" t="str">
        <x:v>CLAIM</x:v>
      </x:c>
      <x:c r="C110" s="24" t="str">
        <x:v>/remittances/ | /evidence/ | /methodology/</x:v>
      </x:c>
      <x:c r="D110" s="24" t="str">
        <x:v>A public interface is not the same thing as the underlying dataset</x:v>
      </x:c>
      <x:c r="E110" s="28" t="str">
        <x:v>واجهة البيانات العامة ليست هي مجموعة البيانات نفسها</x:v>
      </x:c>
      <x:c r="F110"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10"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10" s="24" t="str">
        <x:v>The difference, as reviewed on 10 September 2026, between the span of Yemen remittance observations shown on one World Bank public data interface and the later observations on other World Bank interfaces and in earlier documented access.</x:v>
      </x:c>
      <x:c r="I110"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10" s="24" t="str">
        <x:v>World Bank public data interfaces as reviewed on 10 September 2026, and earlier documented access</x:v>
      </x:c>
      <x:c r="K110" s="28" t="str">
        <x:v>واجهات بيانات البنك الدولي العامة كما اطُّلع عليها في 10 سبتمبر 2026، ونسخ الوصول السابقة الموثقة</x:v>
      </x:c>
      <x:c r="L110" s="24" t="str">
        <x:v>Specific to each source or display interface</x:v>
      </x:c>
      <x:c r="M110" s="28" t="str">
        <x:v>النطاق الخاص بكل مصدر أو واجهة عرض.</x:v>
      </x:c>
      <x:c r="N110" s="24" t="str">
        <x:v>World Bank data interfaces, including World Development Indicators (WDI), with documented earlier use of the source</x:v>
      </x:c>
      <x:c r="O110" s="28" t="str">
        <x:v>واجهات بيانات البنك الدولي/WDI مع توثيق نسخ الوصول السابقة إلى المصدر.</x:v>
      </x:c>
      <x:c r="P110"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10"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10" s="24" t="str">
        <x:v>The interfaces were reviewed on 10 September 2026, and what each shows may have changed since. The record should not be read as describing a later state of the interfaces unless they are reviewed again.</x:v>
      </x:c>
      <x:c r="S110"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Some figures in this record are drawn from the source(s) listed on this page; other inputs have not yet been linked to a specific original source. Check each figure against a listed source before reuse, and treat any figure you cannot match as unverified.</x:v>
      </x:c>
      <x:c r="W110"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10" s="24" t="str">
        <x:v>SRC-WB-WDI-REMIT-YEM-CURRENT; EP-WB-WDI-REMITTANCE-VINTAGE-K04; CON-045; DS-K04-REMIT-SOURCE-LENSES</x:v>
      </x:c>
      <x:c r="Y110" s="24" t="str">
        <x:v>[]</x:v>
      </x:c>
      <x:c r="Z110" t="str">
        <x:v>BOUND_PARTIAL</x:v>
      </x:c>
    </x:row>
    <x:row r="111">
      <x:c r="A111" s="24" t="str">
        <x:v>CLM-059</x:v>
      </x:c>
      <x:c r="B111" s="24" t="str">
        <x:v>CLAIM</x:v>
      </x:c>
      <x:c r="C111" s="24" t="str">
        <x:v>/firms/</x:v>
      </x:c>
      <x:c r="D111" s="24" t="str">
        <x:v>SMEPS programme reach describes the programme, not all MSMEs in Yemen</x:v>
      </x:c>
      <x:c r="E111" s="28" t="str">
        <x:v>وصول برنامج SMEPS دليل على نطاق البرنامج، لا على حجم قطاع المنشآت في اليمن</x:v>
      </x:c>
      <x:c r="F111"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1"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1" s="24" t="str">
        <x:v>The number of micro, small and medium enterprises (MSMEs) that SMEPS reports supporting, and the programme funds it reports, for 2024 and for 2021–2024.</x:v>
      </x:c>
      <x:c r="I111" s="28" t="str">
        <x:v>عدد المنشآت الأصغر والصغيرة والمتوسطة التي تفيد وكالة SMEPS بأنها دعمتها، والمبالغ البرامجية التي تفيد بها، لعام 2024 وللفترة 2021–2024.</x:v>
      </x:c>
      <x:c r="J111" s="24" t="str">
        <x:v>2024; cumulative 2021–2024</x:v>
      </x:c>
      <x:c r="K111" s="28" t="str">
        <x:v>2024؛ وتراكمي 2021–2024</x:v>
      </x:c>
      <x:c r="L111" s="24" t="str">
        <x:v>Micro, small and medium enterprises supported by SMEPS programmes, and the programme portfolio</x:v>
      </x:c>
      <x:c r="M111" s="28" t="str">
        <x:v>المنشآت الأصغر والصغيرة والمتوسطة التي دعمتها برامج وكالة SMEPS، ومحفظة هذه البرامج.</x:v>
      </x:c>
      <x:c r="N111" s="24" t="str">
        <x:v>Programme outputs and funding as reported by SMEPS in its 2024 annual report.</x:v>
      </x:c>
      <x:c r="O111" s="28" t="str">
        <x:v>مخرجات البرامج وتمويلها كما أوردتها وكالة SMEPS في تقريرها السنوي لعام 2024.</x:v>
      </x:c>
      <x:c r="P111"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1"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1" s="24" t="str">
        <x:v>The latest observation in this record refers to 2024, with a cumulative total for 2021–2024. It should not be read as describing a later period unless a newer comparable observation is published.</x:v>
      </x:c>
      <x:c r="S111" s="28" t="str">
        <x:v>تعود أحدث مشاهدة في هذا السجل إلى عام 2024، مع إجمالي تراكمي للفترة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CLM-060</x:v>
      </x:c>
      <x:c r="B112" s="24" t="str">
        <x:v>CLAIM</x:v>
      </x:c>
      <x:c r="C112" s="24" t="str">
        <x:v>/firms/ | /evidence/</x:v>
      </x:c>
      <x:c r="D112" s="24" t="str">
        <x:v>The SMEPS financial-services KPI is a programme result, not a national MSME rate</x:v>
      </x:c>
      <x:c r="E112" s="28" t="str">
        <x:v>مؤشر SMEPS للوصول إلى الخدمات المالية نتيجة برنامجية، لا معدل وطني للمنشآت</x:v>
      </x:c>
      <x:c r="F112"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2"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2" s="24" t="str">
        <x:v>The share of SMEPS-supported micro, small and medium enterprises that SMEPS reports as having accessed financial services, for 2024 and cumulatively for 2021–2024, with the programme target.</x:v>
      </x:c>
      <x:c r="I112"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2" s="24" t="str">
        <x:v>2024; cumulative/target 2021–2024</x:v>
      </x:c>
      <x:c r="K112" s="28" t="str">
        <x:v>2024؛ والتراكمي/المستهدف 2021–2024</x:v>
      </x:c>
      <x:c r="L112" s="24" t="str">
        <x:v>SMEPS-supported MSMEs under the programme KPI</x:v>
      </x:c>
      <x:c r="M112" s="28" t="str">
        <x:v>المنشآت الأصغر والصغيرة والمتوسطة المدعومة من وكالة SMEPS ضمن قاعدة مؤشر الأداء البرامجي.</x:v>
      </x:c>
      <x:c r="N112" s="24" t="str">
        <x:v>Percentages as reported in the key performance indicator (KPI) table of the SMEPS 2024 annual report.</x:v>
      </x:c>
      <x:c r="O112" s="28" t="str">
        <x:v>النسب كما وردت في جدول مؤشرات الأداء الرئيسية في التقرير السنوي لوكالة SMEPS لعام 2024.</x:v>
      </x:c>
      <x:c r="P112"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2"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2" s="24" t="str">
        <x:v>The latest observation in this record refers to 2024; the cumulative result and the programme target cover 2021–2024. It should not be read as describing a later period unless a newer comparable observation is published.</x:v>
      </x:c>
      <x:c r="S112"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SRC-SMEPS-AR2024-2025</x:v>
      </x:c>
      <x:c r="Y112" s="24" t="str">
        <x:v>[{"source_id":"SRC-SMEPS-AR2024-2025","url":"https://smeps.org.ye/post/85","audit_state":"PASS_AUTHORITY_OR_PROVIDER_LOCATOR"}]</x:v>
      </x:c>
      <x:c r="Z112" t="str">
        <x:v>BOUND_EXACT</x:v>
      </x:c>
    </x:row>
    <x:row r="113">
      <x:c r="A113" s="24" t="str">
        <x:v>CLM-062</x:v>
      </x:c>
      <x:c r="B113" s="24" t="str">
        <x:v>CLAIM</x:v>
      </x:c>
      <x:c r="C113" s="24" t="str">
        <x:v>/firms/ | /evidence/</x:v>
      </x:c>
      <x:c r="D113" s="24" t="str">
        <x:v>Formal firms in the 2022 survey: accounts were common, bank finance for working capital was not</x:v>
      </x:c>
      <x:c r="E113" s="28" t="str">
        <x:v>المنشآت الرسمية في مسح 2022: الحساب المصرفي شائع، أما تمويل البنوك لرأس المال العامل فنادر</x:v>
      </x:c>
      <x:c r="F113"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3"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3" s="24" t="str">
        <x:v>Firm-level financial behaviour reported by a World Bank custom enterprise survey: account holding, average working-capital source shares, financial intermediaries used, and informal firms' account holding.</x:v>
      </x:c>
      <x:c r="I113" s="28" t="str">
        <x:v>سلوك مالي للمنشآت كما أورده مسح مخصص للمنشآت أجراه البنك الدولي: امتلاك الحساب، ومتوسط حصص مصادر رأس المال العامل، والوسطاء الماليون المستخدمون، وامتلاك المنشآت غير الرسمية للحسابات.</x:v>
      </x:c>
      <x:c r="J113" s="24" t="str">
        <x:v>2022 survey (September 2022); published 2024</x:v>
      </x:c>
      <x:c r="K113" s="28" t="str">
        <x:v>مسح 2022 (سبتمبر 2022)؛ نُشر في 2024</x:v>
      </x:c>
      <x:c r="L113" s="24" t="str">
        <x:v>Two separate samples in seven selected governorates: 328 formal enterprises (including micro firms with fewer than five employees) and 217 informal enterprises drawn from activity and location lists. Neither sample represents all Yemeni firms.</x:v>
      </x:c>
      <x:c r="M113"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3" s="24" t="str">
        <x:v>Tabulations reported by the source for the 2022 World Bank custom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3" s="28" t="str">
        <x:v>جداول أوردها المصدر لمسح المنشآت المخصص الذي أجراه البنك الدولي 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3"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3"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3" s="24" t="str">
        <x:v>The latest observation in this record refers to the 2022 survey (September 2022), published in 2024. It should not be read as describing a later period unless a newer comparable observation is published.</x:v>
      </x:c>
      <x:c r="S113" s="28" t="str">
        <x:v>تعود أحدث مشاهدة في هذا السجل إلى مسح 2022 (سبتمبر 2022) الذي نُشر في 2024، ولا تُقرأ على أنها تصف فترة لاحقة ما لم تُنشر مشاهدة أحدث قابلة للمقارنة.</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SRC-WB-FSD-2024-001</x:v>
      </x:c>
      <x:c r="Y113" s="24" t="str">
        <x:v>[{"source_id":"SRC-WB-FSD-2024-001","url":"https://documents1.worldbank.org/curated/en/099102324070011985/pdf/P177631-d18a7ee4-3fcf-4393-9665-77f98b3e43a7.pdf","audit_state":"PASS_AUTHORITY_OR_PROVIDER_LOCATOR"}]</x:v>
      </x:c>
      <x:c r="Z113" t="str">
        <x:v>BOUND_EXACT</x:v>
      </x:c>
    </x:row>
    <x:row r="114">
      <x:c r="A114" s="24" t="str">
        <x:v>FMIIP-BASELINE-2025-01</x:v>
      </x:c>
      <x:c r="B114" s="24" t="str">
        <x:v>TEMPORAL_OBSERVATION</x:v>
      </x:c>
      <x:c r="C114" s="24" t="str">
        <x:v>/reforms/ | /evidence/compare/</x:v>
      </x:c>
      <x:c r="D114" s="24" t="str">
        <x:v>FMIIP project baselines for January 2025 count accounts, access points, merchants and agents — not people</x:v>
      </x:c>
      <x:c r="E114" s="28" t="str">
        <x:v>خطوط الأساس لمشروع FMIIP في يناير 2025 تعدّ الحسابات ونقاط الوصول والتجار والوكلاء، لا الأشخاص</x:v>
      </x:c>
      <x:c r="F114"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4"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4"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4"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4" s="24" t="str">
        <x:v>January 2025 (project baseline)</x:v>
      </x:c>
      <x:c r="K114" s="28" t="str">
        <x:v>يناير 2025 (خط أساس المشروع)</x:v>
      </x:c>
      <x:c r="L114" s="24" t="str">
        <x:v>Project-defined indicators of the FMIIP results framework. The definitions and reporting scope behind each baseline are the project's own and are not documented in the evidence base.</x:v>
      </x:c>
      <x:c r="M114" s="28" t="str">
        <x:v>مؤشرات يعرّفها إطار نتائج مشروع FMIIP. وتعريفات كل خط أساس ونطاق الإبلاغ الخاص به تعود إلى المشروع نفسه، ولا توثقها قاعدة الأدلة.</x:v>
      </x:c>
      <x:c r="N114" s="24" t="str">
        <x:v>Baseline values as reported in the project's results framework.</x:v>
      </x:c>
      <x:c r="O114" s="28" t="str">
        <x:v>قيم خط الأساس كما يوردها إطار نتائج المشروع.</x:v>
      </x:c>
      <x:c r="P114"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4"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4" s="24" t="str">
        <x:v>The baselines refer to January 2025, the project's starting reference. They should not be read as describing a later date; this record contains no later project result.</x:v>
      </x:c>
      <x:c r="S114" s="28" t="str">
        <x:v>تعود خطوط الأساس إلى يناير 2025، نقطة الانطلاق المرجعية للمشروع، ولا تُقرأ على أنها تصف تاريخًا لاحقًا؛ ولا يتضمن هذا السجل أي نتيجة لاحقة للمشروع.</x:v>
      </x:c>
      <x:c r="T114" s="24" t="str">
        <x:v>This record is updated when an authoritative source is revised or replaced, a newer comparable observation becomes available, the definition, population or method changes, or the conditions for public use change.</x:v>
      </x:c>
      <x:c r="U1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4" s="24" t="str">
        <x:v>This record is drawn from the source(s) listed on this page. Open a source record to reach the original document, and check that the definition, period, population and geography match what is stated here.</x:v>
      </x:c>
      <x:c r="W11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4" s="24" t="str">
        <x:v>SRC-WB-FMIIP-P180708</x:v>
      </x:c>
      <x:c r="Y114" s="24" t="str">
        <x:v>[{"source_id":"SRC-WB-FMIIP-P180708","url":"https://maps.worldbank.org/projects/wb/pid/P180708?status=active","audit_state":"PASS_AUTHORITY_OR_PROVIDER_LOCATOR"}]</x:v>
      </x:c>
      <x:c r="Z114"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القيمة المتبقية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x:v>
      </x:c>
      <x:c r="U7" t="str">
        <x:v>Global Findex fieldwork 2022–2023 · POS counts March 2025 – January 2026 · project baseline January 2025, target 2030</x:v>
      </x:c>
      <x:c r="V7" t="str">
        <x:v>العمل الميداني لمسح Findex العالمي 2022–2023 · أعداد نقاط البيع مارس 2025 – يناير 2026 · خط أساس المشروع يناير 2025 ومستهدفه 2030</x:v>
      </x:c>
      <x:c r="W7" t="str">
        <x:v>2026-09-26</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POS counts March 2025 – January 2026 · institutional records June–August 2026</x:v>
      </x:c>
      <x:c r="V8" t="str">
        <x:v>العمل الميداني لمسح Findex العالمي نوفمبر 2022 – يناير 2023 · أعداد نقاط البيع مارس 2025 – يناير 2026 · سجلات مؤسسية يونيو–أغسطس 2026</x:v>
      </x:c>
      <x:c r="W8" t="str">
        <x:v>2026-09-26</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والمحفظة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والمحافظ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المحفظة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والمحفظة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x:v>
      </x:c>
      <x:c r="U10" t="str">
        <x:v>Borrower, saver and portfolio observations for end-2015, end-2020 and 2023 · licensed-bank list checked on 7 September 2026</x:v>
      </x:c>
      <x:c r="V10" t="str">
        <x:v>مشاهدات المقترضين والمدخرين والمحافظ لنهاية 2015 ونهاية 2020 وعام 2023 · قائمة البنوك المرخصة كما رُوجعت في 7 سبتمبر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custom enterprise survey, September 2022, seven governorates · SMEPS programme report for 2024</x:v>
      </x:c>
      <x:c r="V12" t="str">
        <x:v>مسح مخصص للمنشآت أجراه البنك الدولي في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x:v>
      </x:c>
      <x:c r="U13" t="str">
        <x:v>POS counts March 2025 – January 2026 · institutional records June–August 2026 · project results framework January 2025</x:v>
      </x:c>
      <x:c r="V13" t="str">
        <x:v>أعداد نقاط البيع مارس 2025 – يناير 2026 · سجلات مؤسسية يونيو–أغسطس 2026 · إطار نتائج المشروع يناير 2025</x:v>
      </x:c>
      <x:c r="W13" t="str">
        <x:v>2026-09-26</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تُدفع تحويلة نقدية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تمثيلي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سكاني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Provider/rail administrative data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الإداري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provider/rail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12.91 percentage points between women (5.44%) and men (18.35%), and by about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(5.44%) والرجال (18.35%) بمقدار 12.91 نقطة مئوية، وبين البالغين في أفقر 40% (6.5%) وأغنى 60% (15.5%) بحسب دخل الأسرة بنحو 9.0 نقاط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A 2022 survey of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الرسمية الذي شمل سبع محافظات عام 2022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السكان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الهوية/اعرف عميلك التي تولد أكبر احتكاك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26 September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26 September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سكانية تمثيلية أساسية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26 September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26 September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26 سبتمبر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فعالية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فعالية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 9 January 2023; World Bank data year 2022), 11.9% of adults aged 15 and over in the areas the survey covered had an account at a financial institution or with a mobile-money provider. Within the same wave: 5.44% of women and 18.35% of men had an account, a difference of 12.91 percentage points; 6.5% of adults in the poorest 40% and 15.5% in the richest 60% by household income, a difference of about 9.0 percentage points; 6.98% of adults with primary education or less and 19.53% of those with secondary education or more, a difference of 12.55 percentage points; and 5.01% of adults aged 15–24 and 16.11% of those aged 25 and over, a difference of 11.10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5.44% بين النساء و18.35% بين الرجال، بفارق 12.91 نقطة مئوية؛ و6.5% بين البالغين في أفقر 40% و15.5% في أغنى 60% بحسب دخل الأسرة، بفارق يقارب 9.0 نقاط مئوية؛ و6.98% بين من لم يتجاوز تعليمهم المرحلة الابتدائية و19.53% بين الحاصلين على تعليم ثانوي فأعلى، بفارق 12.55 نقطة مئوية؛ و5.01% بين الشباب بعمر 15–24 سنة و16.11% بين البالغين بعمر 25 سنة فأكثر، بفارق 11.10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درجة واحدة</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فعالية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both are kept and neither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وتبقى القيمتان ظاهرتين ولا تُصحَّح أي منهما.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Mar-2025–Jan-2026 monthly</x:v>
      </x:c>
      <x:c r="L16" s="24" t="str">
        <x:v>HIGH_ADMIN</x:v>
      </x:c>
      <x:c r="M16" s="24" t="str">
        <x:v>2025-03→2026-01</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Mar-2025–Jan-2026 monthly</x:v>
      </x:c>
      <x:c r="R16" s="24" t="str">
        <x:v>Raw monthly line with exact month/source detail and an explicit Dec-2025→Jan-2026 contradiction annotation: 1,357→1,473 ≈ +8.55%; source graphic displays +11%.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1,473 in January 2026, within CBY-Aden's reporting scope. Between December 2025 (1,357) and January 2026 (1,473), the raw totals imply growth of 8.55%, while the January source graphic displays +11%; the chart plots the reported totals, the publisher's displayed percentage is given in the chart note, and the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1,473 جهازًا في يناير 2026، ضمن نطاق الإبلاغ لديه. وبين ديسمبر 2025 (1,357) ويناير 2026 (1,473) تعطي الإجماليات الخام نموًا نسبته 8.55%، بينما يعرض الرسم المنشور في مصدر يناير نسبة +11%؛ ويعرض الرسم البياني الإجماليات المنشورة، وتُذكر في ملاحظة الرسم النسبةُ التي عرضها الناشر، ويُسجَّل الفرق بينهما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both stay visible as a discrepancy within the source and neither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تُعرض المعلومتان بوصفهما اختلافًا داخل المصدر، ولا تُصحَّح أي منهما بصمت.</x:v>
      </x:c>
      <x:c r="I17" s="24" t="str">
        <x:v>Shows reported POS transaction activity while making the January source-arithmetic discrepancy inspectable instead of turning either the publisher's percentage or the derived change into uncontested truth.</x:v>
      </x:c>
      <x:c r="J17" s="28" t="str">
        <x:v>يوضح نشاط معاملات نقاط البيع المبلغ عنه مع جعل الاختلاف الحسابي في مصدر يناير قابلًا للفحص، بدل تحويل نسبة الناشر أو النسبة المشتقة إلى حقيقة غير متنازع عليها.</x:v>
      </x:c>
      <x:c r="K17" s="24" t="str">
        <x:v>Mar-2025–Jan-2026 monthly</x:v>
      </x:c>
      <x:c r="L17" s="24" t="str">
        <x:v>HIGH_ADMIN</x:v>
      </x:c>
      <x:c r="M17" s="24" t="str">
        <x:v>2025-03→2026-01</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Mar-2025–Jan-2026 monthly</x:v>
      </x:c>
      <x:c r="R17" s="24" t="str">
        <x:v>Raw monthly line with exact month/source detail and an explicit Dec-2025→Jan-2026 contradiction annotation: 21,099→24,026 ≈ +13.87%; source graphic displays +4.9%.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24,026 in January 2026, within CBY-Aden's reporting scope, but not steadily: the monthly high was 27,187 in July 2025. Between December 2025 (21,099) and January 2026 (24,026), the raw totals imply growth of 13.87%, while the January source graphic displays +4.9%; the chart plots the reported totals, the +4.9% is given in the chart note, and the mismatch is recorded as a discrepancy within the source. Transactions are events, not unique users or merchants, so the series does not measure how many people or businesses used POS services.</x:v>
      </x:c>
      <x:c r="V17" s="28" t="str">
        <x:v>ارتفع عدد معاملات نقاط البيع التي يُبلغ عنها البنك المركزي اليمني – عدن من 8,015 معاملة في مارس 2025 إلى 24,026 معاملة في يناير 2026، ضمن نطاق الإبلاغ لديه، ولكن ليس بصورة مطردة: فقد بلغ أعلى مستوى شهري 27,187 معاملة في يوليو 2025. وبين ديسمبر 2025 (21,099) ويناير 2026 (24,026) تعطي الإجماليات الخام نموًا نسبته 13.87%، بينما يعرض رسم مصدر يناير نسبة +4.9%؛ ويعرض الرسم البياني الإجماليات المنشورة، وتُذكر نسبة +4.9% في ملاحظة الرسم، ويُسجَّل الفرق بينهما بوصفه اختلافًا داخل المصدر. والمعاملة حدث وليست مستخدمًا أو تاجرًا فريدًا، لذلك لا تقيس السلسلة عدد الأشخاص أو المنشآت التي استخدمت نقاط البيع.</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Mar-2025–Jan-2026 monthly with Sep gap</x:v>
      </x:c>
      <x:c r="L18" s="24" t="str">
        <x:v>HIGH_ADMIN</x:v>
      </x:c>
      <x:c r="M18" s="24" t="str">
        <x:v>2025-03→2026-01</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Mar-2025–Jan-2026;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1,262 million in January 2026, within CBY-Aden's reporting scope. The September 2025 value is missing because no verified value is available for that month.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1,262 مليون ريال في يناير 2026، ضمن نطاق الإبلاغ لديه. وقيمة سبتمبر 2025 مفقودة لعدم توفر قيمة متحقق منها لذلك الشهر.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7 September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7 سبتمبر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custom survey</x:v>
      </x:c>
      <x:c r="L23" s="24" t="str">
        <x:v>PRIMARY_SURVEY</x:v>
      </x:c>
      <x:c r="M23" s="24" t="str">
        <x:v>2022 custom survey</x:v>
      </x:c>
      <x:c r="N23" s="24" t="str">
        <x:v>12_FIRM_FINANCE FFM-007</x:v>
      </x:c>
      <x:c r="O23" s="24" t="str">
        <x:v>percent of surveyed firms selecting/reporting constraint</x:v>
      </x:c>
      <x:c r="P23" s="24" t="str">
        <x:v>Formal enterprises in seven selected governorates covered by the 2022 custom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a 2022 custom survey of seven governorates; they are not a national ranking of business constraints for all Yemeni firms. They follow the source's own item wording and are not comparable with the standard Enterprise Survey 'biggest obstacle' indicator.</x:v>
      </x:c>
      <x:c r="T23" s="28" t="str">
        <x:v>تصف النسب المنشآت الرسمية في مسح مخصص شمل سبع محافظات عام 2022، ولا تمثل ترتيبًا وطنيًا لقيود الأعمال لدى جميع منشآت اليمن. وهي تتبع صياغة البنود كما وردت في المصدر، ولا تُقارن بمؤشر «أكبر عائق» في مسوح المنشآت المعيارية للبنك الدولي.</x:v>
      </x:c>
      <x:c r="U23" s="24" t="str">
        <x:v>Among formal firms in the 2022 custom survey of seven governorates, 50% named electricity as a business challenge, 46% fuel shortages, 32% transport or road blockades, 30% tax administration or tax rates, 27% political instability and 22% access to finance; 18% named siege and 17% practices of informal competitors.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المسح المخصص الذي شمل سبع محافظات عام 2022،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custom survey</x:v>
      </x:c>
      <x:c r="L24" s="24" t="str">
        <x:v>MEDIUM_SMALL_N</x:v>
      </x:c>
      <x:c r="M24" s="24" t="str">
        <x:v>2022 custom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custom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and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ولا يُسجَّل أي وضع تشغيلي لاحق.</x:v>
      </x:c>
      <x:c r="U26" s="24" t="str">
        <x:v>The recorded payment-reform steps from June 2024 to August 2026 sit at separate stages. Rules: a decision of the Central Bank of Yemen – Aden (CBY-Aden) requiring exchange companies and money-transfer agents to execute new domestic cash transfers through the unified money-transfer network (26 June 2024), and the mobile e-money amendment (9 July 2025). Project: the World Bank-financed Financial Market Infrastructure and Inclusion Project (FMIIP), approved on 17 June 2025 and started in July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no later operational state is recorded.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للبنك المركزي اليمني – عدن يُلزم شركات الصرافة ووكلاء الحوالات بتنفيذ الحوالات النقدية الداخلية الجديدة عبر الشبكة الموحدة للحوالات المالية (26 يونيو 2024)، وتعديل تعليمات النقود الإلكترونية عبر الهاتف المحمول (9 يوليو 2025). المشروع: مشروع البنية التحتية للأسواق المالية والشمول المالي في اليمن (FMIIP) الممول من البنك الدولي، الذي أُقر في 17 يونيو 2025 وبدأ في يوليو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يُسجَّل أي وضع تشغيلي لاحق.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 Estimates and projections are not observations, and the series is not a measure of informal hawala volume.</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ملايين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 والتقديرات والتوقعات ليست مشاهدات فعلية، ولا تقيس السلسلة حجم التحويلات عبر نظام الحوالة غير الرسمي.</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المحفظة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والمحفظة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التمويل لدى SFD/SMED، عدد 78,686 مقترضًا، وما تسميه 3.3 مليون «مدخر نشط»، ومحفظة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المحفظة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بالرقم القياسي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 accounts, e-wallets, subscribers, terminals and transactions are not unique people unless a documented method converts them.</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 فالحسابات والمحافظ الإلكترونية والمشتركون والأجهزة والمعاملات ليست أشخاصًا فريدين ما لم تحوّلها طريقة موثقة.</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1,473 in January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1,473 جهازًا في يناير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 registered accounts are not unique active people, and the 2016–2019 pattern cannot be extended to national prevalence in 2026.</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 فالحسابات المسجلة ليست أشخاصًا فريدين نشطين، ولا يصح مدّ نمط 2016–2019 إلى الانتشار الوطني في 2026.</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والمحفظة: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والمحفظة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والمحفظة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المحفظة بالريال، ولا تُوصل ملاحظات 2023 غير المتوافقة في سلسلة واحدة. ولا تسمح هذه النقاط بتحديد اتجاه للمقترضين أو للمدخرين أو للمحفظة،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5.44% of women and 18.35% of men had an account, a difference of 12.91 percentage points — and places possible mechanisms in a separate layer of hypotheses to test, not causal arrows.</x:v>
      </x:c>
      <x:c r="H37" s="28" t="str">
        <x:v>يبدأ بالمستويات المقاسة داخل الموجة نفسها — امتلكت 5.44% من النساء و18.35% من الرجال حسابًا، بفارق 12.91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12.91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5.44% of women and 18.35% of men aged 15 and over in the survey's coverage had an account, a difference of 12.91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5.44% من النساء و18.35% من الرجال بعمر 15 سنة فأكثر ضمن تغطية المسح حسابًا، بفارق 12.91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which started in July 2025 with components to support a Fast Payment System in areas under the internationally recognized government, a real-time gross settlement system with an upgrade of CBY-Aden core banking, and an access-point database;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January 2026 within CBY-Aden's reporting scope (1,473 terminals; 24,026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بدأ في يوليو 2025 بمكونات لدعم تطوير نظام للدفع السريع في مناطق الحكومة المعترف بها دوليًا، وإنشاء نظام للتسوية الإجمالية الفورية مع تحديث النظام المصرفي الأساسي للبنك المركزي في عدن، وإنشاء قاعدة بيانات لنقاط الوصول؛ وقرار مجلس إدارة البنك المركزي في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يناير 2026 (1,473 جهازًا و24,026 معاملة)،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t="str">
        <x:v>This event has not yet been checked against the original source document.</x:v>
      </x:c>
      <x:c r="S12" t="str">
        <x:v>لم يُراجَع هذا الحدث بعدُ مقابل وثيقة المصدر الأصلية.</x:v>
      </x:c>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In the IMF's banking data for areas under the internationally recognized government, the liquid-assets to short-term-liabilities ratio fell from 148 in 2022 to 69 in April 2025, while the capital-to-assets ratio fell from about 5 to about 2.5.</x:v>
      </x:c>
      <x:c r="E19" s="28" t="str">
        <x:v>في بيانات صندوق النقد الدولي عن القطاع المصرفي في المناطق الخاضعة للحكومة المعترف بها دوليًا، انخفضت نسبة الأصول السائلة إلى الالتزامات قصيرة الأجل من 148 في 2022 إلى 69 في أبريل 2025، كما تراجعت نسبة رأس المال إلى الأصول من نحو 5 إلى نحو 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This event has not yet been checked against the original source document.</x:v>
      </x:c>
      <x:c r="S19" t="str">
        <x:v>لم يُراجَع هذا الحدث بعدُ مقابل وثيقة المصدر الأصلية.</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for essential imports, improve import transparency and channel FX through the formal banking sector.</x:v>
      </x:c>
      <x:c r="E21" s="28" t="str">
        <x:v>أنشأت الحكومة المعترف بها دوليًا اللجنة الوطنية لتنظيم وتمويل الواردات لإعطاء الأولوية للنقد الأجنبي للواردات الأساسية، وتعزيز شفافية الاستيراد، وتوجيه النقد الأجنبي عبر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t="str">
        <x:v>This event has not yet been checked against the original source document.</x:v>
      </x:c>
      <x:c r="S21" t="str">
        <x:v>لم يُراجَع هذا الحدث بعدُ مقابل وثيقة المصدر الأصلية.</x:v>
      </x:c>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about US$350 million in September 2025, covering roughly one month of imports.</x:v>
      </x:c>
      <x:c r="E23" s="28" t="str">
        <x:v>يفيد صندوق النقد بأن الاحتياطيات التشغيلية من النقد الأجنبي بلغت نحو 350 مليون دولار في سبتمبر 2025، بما يغطي قرابة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event has not yet been checked against the original source document.</x:v>
      </x:c>
      <x:c r="S23" t="str">
        <x:v>لم يُراجَع هذا الحدث بعدُ مقابل وثيقة المصدر الأصلية.</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https://english.cby-ye.com/files/69dfc71a51c14.pdf</x:v>
      </x:c>
      <x:c r="C6" s="24" t="str">
        <x:v>["https://english.cby-ye.com/pages/14", "https://english.cby-ye.com/files/670f66ad9ce87.pdf"]</x:v>
      </x:c>
      <x:c r="D6" s="24" t="str">
        <x:v>DS-PROVIDER-MASTER, DS-PROVIDER-UNIVERSE</x:v>
      </x:c>
      <x:c r="E6" s="24" t="n">
        <x:v>27</x:v>
      </x:c>
      <x:c r="F6" s="168" t="str">
        <x:v>List of licensed banks in the Republic of Yemen (undated; as checked on 7 September 2026)</x:v>
      </x:c>
      <x:c r="G6" s="168" t="str">
        <x:v>Central Bank of Yemen — Aden</x:v>
      </x:c>
      <x:c r="H6" s="168"/>
      <x:c r="I6" s="168"/>
      <x:c r="J6" s="168"/>
      <x:c r="K6" s="168" t="str">
        <x:v>CITATION_CARD</x:v>
      </x:c>
      <x:c r="L6" s="168" t="str">
        <x:v>كشف بالبنوك المرخصة بالجمهورية اليمنية (غير مؤرخ؛ كما اطُّلع عليه في 7 سبتمبر 2026)</x:v>
      </x:c>
      <x:c r="M6" s="168"/>
      <x:c r="N6" s="168"/>
      <x:c r="O6" s="168"/>
      <x:c r="S6" t="str">
        <x:v>NOT_ASSESSED</x:v>
      </x:c>
      <x:c r="V6" t="str">
        <x:v>2026-09-26</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c r="D14" s="24" t="str">
        <x:v>DS-PROVIDER-MASTER,DS-PROVIDER-STATUS-EVENTS</x:v>
      </x:c>
      <x:c r="E14" s="24" t="n">
        <x:v>2</x:v>
      </x:c>
      <x:c r="F14" s="168" t="str">
        <x:v>Governor's Decision No. 10 of 2026 on the licence suspension and closure of a remittance agent</x:v>
      </x:c>
      <x:c r="G14" s="168" t="str">
        <x:v>Central Bank of Yemen — Aden</x:v>
      </x:c>
      <x:c r="H14" s="168"/>
      <x:c r="I14" s="168"/>
      <x:c r="J14" s="168"/>
      <x:c r="K14" s="168" t="str">
        <x:v>CITATION_CARD</x:v>
      </x:c>
      <x:c r="L14" s="168" t="str">
        <x:v>قرار المحافظ رقم (10) لسنة 2026 بشأن إيقاف ترخيص وكيل حوالة وإغلاق مقره</x:v>
      </x:c>
      <x:c r="M14" s="168"/>
      <x:c r="N14" s="168"/>
      <x:c r="O14" s="168"/>
      <x:c r="S14" t="str">
        <x:v>NOT_ASSESSED</x:v>
      </x:c>
      <x:c r="W14" t="str">
        <x:v>decision/enforcement</x:v>
      </x:c>
      <x:c r="X14" t="str">
        <x:v>status event</x:v>
      </x:c>
      <x:c r="Y14" t="str">
        <x:v>البنك المركزي اليمني – عدن</x:v>
      </x:c>
      <x:c r="Z14" t="str">
        <x:v>Enforcement decision</x:v>
      </x:c>
      <x:c r="AA14" t="str">
        <x:v>قرار إنفاذ</x:v>
      </x:c>
    </x:row>
    <x:row r="15">
      <x:c r="A15" s="24" t="str">
        <x:v>SRC-CBY-ENF-11-2026</x:v>
      </x:c>
      <x:c r="B15" s="24" t="str">
        <x:v>https://www.cby-ye.com/news/945</x:v>
      </x:c>
      <x:c r="C15" s="24" t="str"/>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c r="D16" s="24" t="str">
        <x:v>DS-PROVIDER-MASTER,DS-PROVIDER-STATUS-EVENTS</x:v>
      </x:c>
      <x:c r="E16" s="24" t="n">
        <x:v>4</x:v>
      </x:c>
      <x:c r="F16" s="168" t="str">
        <x:v>Governor's Decision No. 13 of 2026 on licence suspensions and closures (6 August 2026)</x:v>
      </x:c>
      <x:c r="G16" s="168" t="str">
        <x:v>Central Bank of Yemen — Aden</x:v>
      </x:c>
      <x:c r="H16" s="168"/>
      <x:c r="I16" s="168"/>
      <x:c r="J16" s="168"/>
      <x:c r="K16" s="168" t="str">
        <x:v>CITATION_CARD</x:v>
      </x:c>
      <x:c r="L16" s="168" t="str">
        <x:v>قرار المحافظ رقم (13) لسنة 2026 بشأن إيقاف تراخيص وإغلاق مقرات (6 أغسطس 2026)</x:v>
      </x:c>
      <x:c r="M16" s="168"/>
      <x:c r="N16" s="168"/>
      <x:c r="O16" s="168"/>
      <x:c r="S16" t="str">
        <x:v>NOT_ASSESSED</x:v>
      </x:c>
      <x:c r="W16" t="str">
        <x:v>decision/enforcement</x:v>
      </x:c>
      <x:c r="X16" t="str">
        <x:v>status event</x:v>
      </x:c>
      <x:c r="Y16" t="str">
        <x:v>البنك المركزي اليمني – عدن</x:v>
      </x:c>
      <x:c r="Z16" t="str">
        <x:v>Enforcement decision</x:v>
      </x:c>
      <x:c r="AA16" t="str">
        <x:v>قرار إنفاذ</x:v>
      </x:c>
      <x:c r="AB16" t="str">
        <x:v>2026-08-06</x:v>
      </x:c>
    </x:row>
    <x:row r="17">
      <x:c r="A17" s="24" t="str">
        <x:v>SRC-CBY-ENF-14-2026</x:v>
      </x:c>
      <x:c r="B17" s="24" t="str">
        <x:v>https://cby-ye.com/news/968</x:v>
      </x:c>
      <x:c r="C17" s="24" t="str"/>
      <x:c r="D17" s="24" t="str">
        <x:v>DS-PROVIDER-MASTER,DS-PROVIDER-STATUS-EVENTS</x:v>
      </x:c>
      <x:c r="E17" s="24" t="n">
        <x:v>4</x:v>
      </x:c>
      <x:c r="F17" s="168" t="str">
        <x:v>Governor's Decision No. 14 of 2026 on licence suspensions and closures (20 August 2026)</x:v>
      </x:c>
      <x:c r="G17" s="168" t="str">
        <x:v>Central Bank of Yemen — Aden</x:v>
      </x:c>
      <x:c r="H17" s="168"/>
      <x:c r="I17" s="168"/>
      <x:c r="J17" s="168"/>
      <x:c r="K17" s="168" t="str">
        <x:v>CITATION_CARD</x:v>
      </x:c>
      <x:c r="L17" s="168" t="str">
        <x:v>قرار المحافظ رقم (14) لسنة 2026 بشأن إيقاف تراخيص وإغلاق مقرات (20 أغسطس 2026)</x:v>
      </x:c>
      <x:c r="M17" s="168"/>
      <x:c r="N17" s="168"/>
      <x:c r="O17" s="168"/>
      <x:c r="S17" t="str">
        <x:v>NOT_ASSESSED</x:v>
      </x:c>
      <x:c r="W17" t="str">
        <x:v>decision/enforcement</x:v>
      </x:c>
      <x:c r="X17" t="str">
        <x:v>status event</x:v>
      </x:c>
      <x:c r="Y17" t="str">
        <x:v>البنك المركزي اليمني – عدن</x:v>
      </x:c>
      <x:c r="Z17" t="str">
        <x:v>Enforcement decision</x:v>
      </x:c>
      <x:c r="AA17" t="str">
        <x:v>قرار إنفاذ</x:v>
      </x:c>
      <x:c r="AB17" t="str">
        <x:v>2026-08-20</x:v>
      </x:c>
    </x:row>
    <x:row r="18">
      <x:c r="A18" s="24" t="str">
        <x:v>SRC-CBY-ENF-15-2026</x:v>
      </x:c>
      <x:c r="B18" s="24" t="str">
        <x:v>https://cby-ye.com/news/969</x:v>
      </x:c>
      <x:c r="C18" s="24" t="str"/>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https://www.cby-ye.com/files/6a87039fd05bb.pdf</x:v>
      </x:c>
      <x:c r="C19" s="24" t="str"/>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SRC-IMF-AIV-2025-STAFF-001</x:v>
      </x:c>
      <x:c r="B34" s="24" t="str">
        <x:v>https://www.elibrary.imf.org/view/journals/002/2026/080/article-A001-en.xml</x:v>
      </x:c>
      <x:c r="C34" s="24" t="str"/>
      <x:c r="D34" s="24" t="str">
        <x:v>DS-REMITTANCES</x:v>
      </x:c>
      <x:c r="E34" s="24" t="n">
        <x:v>7</x:v>
      </x:c>
      <x:c r="F34" s="168" t="str">
        <x:v>Republic of Yemen: 2025 Article IV Consultation — Staff Report (IMF Country Report No. 26/80)</x:v>
      </x:c>
      <x:c r="G34" s="168" t="str">
        <x:v>International Monetary Fund</x:v>
      </x:c>
      <x:c r="H34" s="168"/>
      <x:c r="I34" s="168"/>
      <x:c r="J34" s="168"/>
      <x:c r="K34" s="168" t="str">
        <x:v>CITATION_CARD</x:v>
      </x:c>
      <x:c r="L34" s="168" t="str">
        <x:v>الجمهورية اليمنية: مشاورات المادة الرابعة لعام 2025 — تقرير الخبراء (تقرير صندوق النقد الدولي القُطري رقم 26/80)</x:v>
      </x:c>
      <x:c r="M34" s="168"/>
      <x:c r="N34" s="168"/>
      <x:c r="O34" s="168"/>
      <x:c r="S34" t="str">
        <x:v>NOT_ASSESSED</x:v>
      </x:c>
      <x:c r="Y34" t="str">
        <x:v>صندوق النقد الدولي</x:v>
      </x:c>
      <x:c r="Z34" t="str">
        <x:v>Staff report</x:v>
      </x:c>
      <x:c r="AA34" t="str">
        <x:v>تقرير خبراء</x:v>
      </x:c>
    </x:row>
    <x:row r="35">
      <x:c r="A35" s="24" t="str">
        <x:v>SRC-IMF-AIV-2025-SUPP-001</x:v>
      </x:c>
      <x:c r="B35" s="24" t="str">
        <x:v>https://www.elibrary.imf.org/view/journals/002/2026/080/article-A004-en.xml</x:v>
      </x:c>
      <x:c r="C35" s="24" t="str"/>
      <x:c r="D35" s="24" t="str">
        <x:v>DS-REMITTANCES</x:v>
      </x:c>
      <x:c r="E35" s="24" t="n">
        <x:v>6</x:v>
      </x:c>
      <x:c r="F35" s="168" t="str">
        <x:v>Republic of Yemen: 2025 Article IV Consultation — supplement to the staff report (IMF Country Report No. 26/80)</x:v>
      </x:c>
      <x:c r="G35" s="168" t="str">
        <x:v>International Monetary Fund</x:v>
      </x:c>
      <x:c r="H35" s="168"/>
      <x:c r="I35" s="168"/>
      <x:c r="J35" s="168"/>
      <x:c r="K35" s="168" t="str">
        <x:v>CITATION_CARD</x:v>
      </x:c>
      <x:c r="L35" s="168" t="str">
        <x:v>الجمهورية اليمنية: مشاورات المادة الرابعة لعام 2025 — ملحق تقرير الخبراء (تقرير صندوق النقد الدولي القُطري رقم 26/80)</x:v>
      </x:c>
      <x:c r="M35" s="168"/>
      <x:c r="N35" s="168"/>
      <x:c r="O35" s="168"/>
      <x:c r="S35" t="str">
        <x:v>NOT_ASSESSED</x:v>
      </x:c>
      <x:c r="Y35" t="str">
        <x:v>صندوق النقد الدولي</x:v>
      </x:c>
      <x:c r="Z35" t="str">
        <x:v>Staff report</x:v>
      </x:c>
      <x:c r="AA35" t="str">
        <x:v>تقرير خبراء</x:v>
      </x:c>
    </x:row>
    <x:row r="36">
      <x:c r="A36" s="24" t="str">
        <x:v>SRC-WB-ES-2013-PROFILE-001</x:v>
      </x:c>
      <x:c r="B36" s="24" t="str">
        <x:v>https://www.enterprisesurveys.org/content/dam/enterprisesurveys/documents/country/Yemen-2013.pdf</x:v>
      </x:c>
      <x:c r="C36" s="24" t="str"/>
      <x:c r="D36" s="24" t="str">
        <x:v>DS-FIRM-FINANCE</x:v>
      </x:c>
      <x:c r="E36" s="24" t="n">
        <x:v>7</x:v>
      </x:c>
      <x:c r="F36" s="168" t="str">
        <x:v>Enterprise Surveys: Yemen Country Profile 2013 (survey period 2013–2014)</x:v>
      </x:c>
      <x:c r="G36" s="168" t="str">
        <x:v>World Bank</x:v>
      </x:c>
      <x:c r="H36" s="168"/>
      <x:c r="I36" s="168"/>
      <x:c r="J36" s="168"/>
      <x:c r="K36" s="168" t="str">
        <x:v>CITATION_CARD</x:v>
      </x:c>
      <x:c r="L36" s="168" t="str">
        <x:v>مسوح المنشآت (Enterprise Surveys): الملف القُطري لليمن 2013 (فترة المسح 2013–2014)</x:v>
      </x:c>
      <x:c r="M36" s="168"/>
      <x:c r="N36" s="168"/>
      <x:c r="O36" s="168"/>
      <x:c r="S36" t="str">
        <x:v>NOT_ASSESSED</x:v>
      </x:c>
      <x:c r="Y36" t="str">
        <x:v>البنك الدولي</x:v>
      </x:c>
      <x:c r="Z36" t="str">
        <x:v>Survey dataset or indicator</x:v>
      </x:c>
      <x:c r="AA36" t="str">
        <x:v>مسح أو مؤشر</x:v>
      </x:c>
    </x:row>
    <x:row r="37">
      <x:c r="A37" s="24" t="str">
        <x:v>SRC-WB-FSD-2024-001</x:v>
      </x:c>
      <x:c r="B37" s="24" t="str">
        <x:v>https://documents1.worldbank.org/curated/en/099102324070011985/pdf/P177631-d18a7ee4-3fcf-4393-9665-77f98b3e43a7.pdf</x:v>
      </x:c>
      <x:c r="C37" s="24" t="str"/>
      <x:c r="D37" s="24" t="str">
        <x:v>DS-FIRM-FINANCE,DS-K04-MFB2023-RECON,DS-K04-MFB-TRANSFORM-LENS,DS-K04-CAUSEWAY-READING-003</x:v>
      </x:c>
      <x:c r="E37" s="24" t="n">
        <x:v>81</x:v>
      </x:c>
      <x:c r="F37" s="168" t="str">
        <x:v>Yemen Financial Sector Diagnostics (2024)</x:v>
      </x:c>
      <x:c r="G37" s="168" t="str">
        <x:v>World Bank</x:v>
      </x:c>
      <x:c r="H37" s="168" t="str">
        <x:v>Research and analysis on Yemen’s financial sector</x:v>
      </x:c>
      <x:c r="I37" s="168" t="str">
        <x:v>A major analytical reference covering CBY-Aden, banking, money transfer and exchange services, access to finance, and the 2022 Yemen Enterprise Survey annex; useful for sector structure, historical context and source triangulation.</x:v>
      </x:c>
      <x:c r="J37" s="168" t="str">
        <x:v>A diagnostic is not a current administrative census or regulator statement. Institution-level and survey results retain their own dates, universes, methods and limitations.</x:v>
      </x:c>
      <x:c r="K37" s="168" t="str">
        <x:v>FULL_PUBLIC_CARD</x:v>
      </x:c>
      <x:c r="L37" s="168" t="str">
        <x:v>تشخيص القطاع المالي في اليمن (2024)</x:v>
      </x:c>
      <x:c r="M37" s="168" t="str">
        <x:v>البحوث والتحليلات حول القطاع المالي في اليمن</x:v>
      </x:c>
      <x:c r="N37" s="168" t="str">
        <x:v>مرجع تحليلي رئيسي يغطي البنك المركزي اليمني – عدن والقطاع المصرفي وخدمات الصرافة والتحويل والوصول إلى التمويل، ويتضمن ملحق مسح المنشآت اليمنية لعام 2022؛ ويفيد في فهم هيكل القطاع والسياق التاريخي والمقارنة بين المصادر.</x:v>
      </x:c>
      <x:c r="O37"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37" t="str">
        <x:v>NOT_ASSESSED</x:v>
      </x:c>
      <x:c r="Y37" t="str">
        <x:v>البنك الدولي</x:v>
      </x:c>
      <x:c r="Z37" t="str">
        <x:v>Research or policy paper</x:v>
      </x:c>
      <x:c r="AA37" t="str">
        <x:v>ورقة بحثية أو سياساتية</x:v>
      </x:c>
      <x:c r="AB37" t="str">
        <x:v>2024</x:v>
      </x:c>
    </x:row>
    <x:row r="38">
      <x:c r="A38" s="24" t="str">
        <x:v>SRC-WB-RPW-SA-YEM-2025Q3-001</x:v>
      </x:c>
      <x:c r="B38" s="24" t="str">
        <x:v>https://remittanceprices.worldbank.org/corridor/Saudi%20Arabia/Yemen</x:v>
      </x:c>
      <x:c r="C38" s="24" t="str"/>
      <x:c r="D38" s="24" t="str">
        <x:v>DS-REMITTANCES, DS-K04-REMIT-REGIMES, DS-K04-CASH-FIN-TRANSMISSION</x:v>
      </x:c>
      <x:c r="E38" s="24" t="n">
        <x:v>2</x:v>
      </x:c>
      <x:c r="F38" s="168" t="str">
        <x:v>Remittance Prices Worldwide: Saudi Arabia to Yemen corridor (third quarter of 2025)</x:v>
      </x:c>
      <x:c r="G38" s="168" t="str">
        <x:v>World Bank</x:v>
      </x:c>
      <x:c r="H38" s="168"/>
      <x:c r="I38" s="168"/>
      <x:c r="J38" s="168"/>
      <x:c r="K38" s="168" t="str">
        <x:v>CITATION_CARD</x:v>
      </x:c>
      <x:c r="L38" s="168" t="str">
        <x:v>قاعدة بيانات Remittance Prices Worldwide: ممر الحوالات من المملكة العربية السعودية إلى اليمن (الربع الثالث من 2025)</x:v>
      </x:c>
      <x:c r="M38" s="168"/>
      <x:c r="N38" s="168"/>
      <x:c r="O38" s="168"/>
      <x:c r="S38" t="str">
        <x:v>NOT_ASSESSED</x:v>
      </x:c>
      <x:c r="Y38" t="str">
        <x:v>البنك الدولي</x:v>
      </x:c>
      <x:c r="Z38" t="str">
        <x:v>Database or web interface</x:v>
      </x:c>
      <x:c r="AA38" t="str">
        <x:v>قاعدة بيانات أو واجهة إلكترونية</x:v>
      </x:c>
    </x:row>
    <x:row r="39">
      <x:c r="A39" s="24" t="str">
        <x:v>SRC-WB-RPW-UAE-YEM-2025Q3-001</x:v>
      </x:c>
      <x:c r="B39" s="24" t="str">
        <x:v>https://remittanceprices.worldbank.org/corridor/United%20Arab%20Emirates/Yemen</x:v>
      </x:c>
      <x:c r="C39" s="24" t="str"/>
      <x:c r="D39" s="24" t="str">
        <x:v>DS-REMITTANCES</x:v>
      </x:c>
      <x:c r="E39" s="24" t="n">
        <x:v>2</x:v>
      </x:c>
      <x:c r="F39" s="168" t="str">
        <x:v>Remittance Prices Worldwide: United Arab Emirates to Yemen corridor (third quarter of 2025)</x:v>
      </x:c>
      <x:c r="G39" s="168" t="str">
        <x:v>World Bank</x:v>
      </x:c>
      <x:c r="H39" s="168"/>
      <x:c r="I39" s="168"/>
      <x:c r="J39" s="168"/>
      <x:c r="K39" s="168" t="str">
        <x:v>CITATION_CARD</x:v>
      </x:c>
      <x:c r="L39" s="168" t="str">
        <x:v>قاعدة بيانات Remittance Prices Worldwide: ممر الحوالات من الإمارات العربية المتحدة إلى اليمن (الربع الثالث من 2025)</x:v>
      </x:c>
      <x:c r="M39" s="168"/>
      <x:c r="N39" s="168"/>
      <x:c r="O39" s="168"/>
      <x:c r="S39" t="str">
        <x:v>NOT_ASSESSED</x:v>
      </x:c>
      <x:c r="Y39" t="str">
        <x:v>البنك الدولي</x:v>
      </x:c>
      <x:c r="Z39" t="str">
        <x:v>Database or web interface</x:v>
      </x:c>
      <x:c r="AA39" t="str">
        <x:v>قاعدة بيانات أو واجهة إلكترونية</x:v>
      </x:c>
    </x:row>
    <x:row r="40">
      <x:c r="A40" s="24" t="str">
        <x:v>SRC-YMN-AR-2012-001</x:v>
      </x:c>
      <x:c r="B40" s="24" t="str">
        <x:v>https://yemennetwork.org/wp-content/uploads/2019/05/Annual-report-for-sending-via-email_English.pdf</x:v>
      </x:c>
      <x:c r="C40" s="24" t="str"/>
      <x:c r="D40" s="24" t="str">
        <x:v>DS-MFI-EVIDENCE</x:v>
      </x:c>
      <x:c r="E40" s="24" t="n">
        <x:v>4</x:v>
      </x:c>
      <x:c r="F40" s="168" t="str">
        <x:v>Yemen Microfinance Network (YMN) Annual Report 2012</x:v>
      </x:c>
      <x:c r="G40" s="168" t="str">
        <x:v>Yemen Microfinance Network</x:v>
      </x:c>
      <x:c r="H40" s="168"/>
      <x:c r="I40" s="168"/>
      <x:c r="J40" s="168"/>
      <x:c r="K40" s="168" t="str">
        <x:v>CITATION_CARD</x:v>
      </x:c>
      <x:c r="L40" s="168" t="str">
        <x:v>التقرير السنوي لشبكة اليمن للتمويل الأصغر (YMN) لعام 2012</x:v>
      </x:c>
      <x:c r="M40" s="168"/>
      <x:c r="N40" s="168"/>
      <x:c r="O40" s="168"/>
      <x:c r="S40" t="str">
        <x:v>NOT_ASSESSED</x:v>
      </x:c>
      <x:c r="Y40" t="str">
        <x:v>شبكة اليمن للتمويل الأصغر</x:v>
      </x:c>
      <x:c r="Z40" t="str">
        <x:v>Annual report</x:v>
      </x:c>
      <x:c r="AA40" t="str">
        <x:v>تقرير سنوي</x:v>
      </x:c>
    </x:row>
    <x:row r="41">
      <x:c r="A41" s="24" t="str">
        <x:v>SRC-YMN-IMPACT-2021-001</x:v>
      </x:c>
      <x:c r="B41" s="24" t="str">
        <x:v>https://yemennetwork.org/wp-content/uploads/2022/11/YMN_Impact-Assessment_Final_Arabic_Final_V2.pdf</x:v>
      </x:c>
      <x:c r="C41" s="24" t="str"/>
      <x:c r="D41" s="24" t="str">
        <x:v>DS-MFI-EVIDENCE, DS-MFI-PROVIDER-PANEL</x:v>
      </x:c>
      <x:c r="E41" s="24" t="n">
        <x:v>14</x:v>
      </x:c>
      <x:c r="F41" s="168" t="str">
        <x:v>Impact Assessment of Microfinance Services in Yemen (May 2021)</x:v>
      </x:c>
      <x:c r="G41" s="168" t="str">
        <x:v>Yemen Microfinance Network</x:v>
      </x:c>
      <x:c r="H41" s="168"/>
      <x:c r="I41" s="168"/>
      <x:c r="J41" s="168"/>
      <x:c r="K41" s="168" t="str">
        <x:v>CITATION_CARD</x:v>
      </x:c>
      <x:c r="L41" s="168" t="str">
        <x:v>تقييم أثر خدمات التمويل الأصغر في اليمن (مايو 2021)</x:v>
      </x:c>
      <x:c r="M41" s="168"/>
      <x:c r="N41" s="168"/>
      <x:c r="O41" s="168"/>
      <x:c r="S41" t="str">
        <x:v>NOT_ASSESSED</x:v>
      </x:c>
      <x:c r="Y41" t="str">
        <x:v>شبكة اليمن للتمويل الأصغر</x:v>
      </x:c>
      <x:c r="Z41" t="str">
        <x:v>Research or policy paper</x:v>
      </x:c>
      <x:c r="AA41" t="str">
        <x:v>ورقة بحثية أو سياساتية</x:v>
      </x:c>
      <x:c r="AB41" t="str">
        <x:v>2021-05</x:v>
      </x:c>
    </x:row>
    <x:row r="42">
      <x:c r="A42" s="24" t="str">
        <x:v>SRC-YMN-MEMBERS-2026-001</x:v>
      </x:c>
      <x:c r="B42" s="24" t="str">
        <x:v>https://yemennetwork.org/</x:v>
      </x:c>
      <x:c r="C42" s="24" t="str">
        <x:v>["https://ymn.yemennetwork.org/about-us", "https://yemennetwork.org/banks/", "https://yemennetwork.org/%D9%85%D8%A4%D8%B3%D8%B3%D8%A7%D8%AA/?lang=ar"]</x:v>
      </x:c>
      <x:c r="D42" s="24" t="str">
        <x:v>DS-PROVIDER-UNIVERSE</x:v>
      </x:c>
      <x:c r="E42" s="24" t="n">
        <x:v>1</x:v>
      </x:c>
      <x:c r="F42" s="168" t="str">
        <x:v>Yemen Microfinance Network website: membership pages (observed 7 September 2026)</x:v>
      </x:c>
      <x:c r="G42" s="168" t="str">
        <x:v>Yemen Microfinance Network</x:v>
      </x:c>
      <x:c r="H42" s="168"/>
      <x:c r="I42" s="168"/>
      <x:c r="J42" s="168"/>
      <x:c r="K42" s="168" t="str">
        <x:v>CITATION_CARD</x:v>
      </x:c>
      <x:c r="L42" s="168" t="str">
        <x:v>الموقع الإلكتروني لشبكة اليمن للتمويل الأصغر: صفحات العضوية (كما رُصدت في 7 سبتمبر 2026)</x:v>
      </x:c>
      <x:c r="M42" s="168"/>
      <x:c r="N42" s="168"/>
      <x:c r="O42" s="168"/>
      <x:c r="S42" t="str">
        <x:v>NOT_ASSESSED</x:v>
      </x:c>
      <x:c r="Y42" t="str">
        <x:v>شبكة اليمن للتمويل الأصغر</x:v>
      </x:c>
      <x:c r="Z42" t="str">
        <x:v>Database or web interface</x:v>
      </x:c>
      <x:c r="AA42" t="str">
        <x:v>قاعدة بيانات أو واجهة إلكترونية</x:v>
      </x:c>
    </x:row>
    <x:row r="43">
      <x:c r="A43" s="24" t="str">
        <x:v>SRC-YMN-MFMAG-2014-Q1-001</x:v>
      </x:c>
      <x:c r="B43" s="24" t="str">
        <x:v>https://yemennetwork.org/wp-content/uploads/2015/02/mf_magazine_1st_issue_2014eng..pdf</x:v>
      </x:c>
      <x:c r="C43" s="24" t="str"/>
      <x:c r="D43" s="24" t="str">
        <x:v>DS-MFI-EVIDENCE, DS-MFI-PROVIDER-PANEL</x:v>
      </x:c>
      <x:c r="E43" s="24" t="n">
        <x:v>13</x:v>
      </x:c>
      <x:c r="F43" s="168" t="str">
        <x:v>MicroFinance Magazine, issue no. 1 (2014)</x:v>
      </x:c>
      <x:c r="G43" s="168" t="str">
        <x:v>Yemen Microfinance Network</x:v>
      </x:c>
      <x:c r="H43" s="168"/>
      <x:c r="I43" s="168"/>
      <x:c r="J43" s="168"/>
      <x:c r="K43" s="168" t="str">
        <x:v>CITATION_CARD</x:v>
      </x:c>
      <x:c r="L43" s="168" t="str">
        <x:v>مجلة التمويل الأصغر، العدد الأول (2014)</x:v>
      </x:c>
      <x:c r="M43" s="168"/>
      <x:c r="N43" s="168"/>
      <x:c r="O43" s="168"/>
      <x:c r="S43" t="str">
        <x:v>NOT_ASSESSED</x:v>
      </x:c>
      <x:c r="Y43" t="str">
        <x:v>شبكة اليمن للتمويل الأصغر</x:v>
      </x:c>
      <x:c r="Z43" t="str">
        <x:v>Newsletter</x:v>
      </x:c>
      <x:c r="AA43" t="str">
        <x:v>نشرة دورية</x:v>
      </x:c>
      <x:c r="AB43" t="str">
        <x:v>2014</x:v>
      </x:c>
    </x:row>
    <x:row r="44">
      <x:c r="A44" s="24" t="str">
        <x:v>SRC-YMN-MFMAG-2014-Q2-001</x:v>
      </x:c>
      <x:c r="B44" s="24" t="str">
        <x:v>https://yemennetwork.org/wp-content/uploads/2015/02/mf_magazine_2nd_issue_2014eng..pdf</x:v>
      </x:c>
      <x:c r="C44" s="24" t="str"/>
      <x:c r="D44" s="24" t="str">
        <x:v>DS-MFI-EVIDENCE, DS-MFI-PROVIDER-PANEL</x:v>
      </x:c>
      <x:c r="E44" s="24" t="n">
        <x:v>13</x:v>
      </x:c>
      <x:c r="F44" s="168" t="str">
        <x:v>MicroFinance Magazine, issue no. 2 (2014)</x:v>
      </x:c>
      <x:c r="G44" s="168" t="str">
        <x:v>Yemen Microfinance Network</x:v>
      </x:c>
      <x:c r="H44" s="168"/>
      <x:c r="I44" s="168"/>
      <x:c r="J44" s="168"/>
      <x:c r="K44" s="168" t="str">
        <x:v>CITATION_CARD</x:v>
      </x:c>
      <x:c r="L44" s="168" t="str">
        <x:v>مجلة التمويل الأصغر، العدد الثاني (2014)</x:v>
      </x:c>
      <x:c r="M44" s="168"/>
      <x:c r="N44" s="168"/>
      <x:c r="O44" s="168"/>
      <x:c r="S44" t="str">
        <x:v>NOT_ASSESSED</x:v>
      </x:c>
      <x:c r="Y44" t="str">
        <x:v>شبكة اليمن للتمويل الأصغر</x:v>
      </x:c>
      <x:c r="Z44" t="str">
        <x:v>Newsletter</x:v>
      </x:c>
      <x:c r="AA44" t="str">
        <x:v>نشرة دورية</x:v>
      </x:c>
      <x:c r="AB44" t="str">
        <x:v>2014</x:v>
      </x:c>
    </x:row>
    <x:row r="45">
      <x:c r="A45" s="24" t="str">
        <x:v>SRC-WB-FINDEX-001</x:v>
      </x:c>
      <x:c r="B45" s="24" t="str">
        <x:v>https://microdata.worldbank.org/catalog/5862</x:v>
      </x:c>
      <x:c r="C45" s="24" t="str"/>
      <x:c r="D45" s="24" t="str">
        <x:v>DS-FINDEX-META, DS-FINDEX-VARS, DS-FINDEX-WAVES, DS-FINDEX-RULES, DS-FINDEX-PANEL-CATALOG, DS-FINDEX-SUBGROUP-MATRIX, DS-FINDEX-DENOMINATOR-STRESS, DS-FINDEX-MICRODATA-GATE</x:v>
      </x:c>
      <x:c r="E45" s="24" t="n">
        <x:v>401</x:v>
      </x:c>
      <x:c r="F45" s="168" t="str">
        <x:v>Global Findex 2021 survey for Yemen: study YEM_2022_FINDEX_v01_M (fieldwork 7 November 2022 to 9 January 2023)</x:v>
      </x:c>
      <x:c r="G45" s="168" t="str">
        <x:v>World Bank</x:v>
      </x:c>
      <x:c r="H45" s="168"/>
      <x:c r="I45" s="168"/>
      <x:c r="J45" s="168"/>
      <x:c r="K45" s="168" t="str">
        <x:v>CITATION_CARD</x:v>
      </x:c>
      <x:c r="L45" s="168" t="str">
        <x:v>المؤشر العالمي للشمول المالي (Global Findex) 2021 — مسح اليمن: الدراسة YEM_2022_FINDEX_v01_M (العمل الميداني من 7 نوفمبر 2022 إلى 9 يناير 2023)</x:v>
      </x:c>
      <x:c r="M45" s="168"/>
      <x:c r="N45" s="168"/>
      <x:c r="O45" s="168"/>
      <x:c r="S45" t="str">
        <x:v>NOT_ASSESSED</x:v>
      </x:c>
      <x:c r="W45" t="str">
        <x:v>survey</x:v>
      </x:c>
      <x:c r="X45" t="str">
        <x:v>primary factual evidence</x:v>
      </x:c>
      <x:c r="Y45" t="str">
        <x:v>البنك الدولي</x:v>
      </x:c>
      <x:c r="Z45" t="str">
        <x:v>Survey dataset or indicator</x:v>
      </x:c>
      <x:c r="AA45" t="str">
        <x:v>مسح أو مؤشر</x:v>
      </x:c>
      <x:c r="AB45" t="str">
        <x:v>2023-05-19</x:v>
      </x:c>
    </x:row>
    <x:row r="46">
      <x:c r="A46" s="24" t="str">
        <x:v>SRC-WB-FINDEX-AGG-2022</x:v>
      </x:c>
      <x:c r="B46" s="24" t="str">
        <x:v>https://data.worldbank.org/indicator/FX.OWN.TOTL.ZS?locations=YE</x:v>
      </x:c>
      <x:c r="C46"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46" s="24" t="str">
        <x:v>DS-FINDEX-WAVES, DS-FINDEX-WB-OBS, DS-FINDEX-PANEL-CATALOG, DS-FINDEX-SUBGROUP-MATRIX, DS-FINDEX-ANALYTIC-SURFACES</x:v>
      </x:c>
      <x:c r="E46" s="24" t="n">
        <x:v>247</x:v>
      </x:c>
      <x:c r="F46" s="168" t="str">
        <x:v>Global Findex indicators for Yemen: account ownership, adults 15+, total and by group (World Bank data year 2022)</x:v>
      </x:c>
      <x:c r="G46" s="168" t="str">
        <x:v>World Bank</x:v>
      </x:c>
      <x:c r="H46" s="168"/>
      <x:c r="I46" s="168"/>
      <x:c r="J46" s="168"/>
      <x:c r="K46" s="168" t="str">
        <x:v>CITATION_CARD</x:v>
      </x:c>
      <x:c r="L46" s="168" t="str">
        <x:v>المؤشر العالمي للشمول المالي (Global Findex) — اليمن: امتلاك الحساب لدى البالغين بعمر 15 سنة فأكثر، إجمالًا وحسب الفئة (سنة البيانات لدى البنك الدولي: 2022)</x:v>
      </x:c>
      <x:c r="M46" s="168"/>
      <x:c r="N46" s="168"/>
      <x:c r="O46" s="168"/>
      <x:c r="S46" t="str">
        <x:v>NOT_ASSESSED</x:v>
      </x:c>
      <x:c r="W46" t="str">
        <x:v>dataset</x:v>
      </x:c>
      <x:c r="X46" t="str">
        <x:v>primary factual evidence</x:v>
      </x:c>
      <x:c r="Y46" t="str">
        <x:v>البنك الدولي</x:v>
      </x:c>
      <x:c r="Z46" t="str">
        <x:v>Survey dataset or indicator</x:v>
      </x:c>
      <x:c r="AA46" t="str">
        <x:v>مسح أو مؤشر</x:v>
      </x:c>
    </x:row>
    <x:row r="47">
      <x:c r="A47" s="24" t="str">
        <x:v>SRC-OECD-YEM-RESILIENCE-001</x:v>
      </x:c>
      <x:c r="B47" s="24" t="str">
        <x:v>https://doi.org/10.1787/81ed2898-en</x:v>
      </x:c>
      <x:c r="C47" s="24" t="str"/>
      <x:c r="D47" s="24" t="str">
        <x:v>DS-OECD-NARRATIVE, DS-OECD-POLICY, DS-SYSTEM-CONSEQ</x:v>
      </x:c>
      <x:c r="E47" s="24" t="n">
        <x:v>48</x:v>
      </x:c>
      <x:c r="F47" s="168" t="str">
        <x:v>Promoting Economic Resilience in Yemen (2026)</x:v>
      </x:c>
      <x:c r="G47" s="168" t="str">
        <x:v>OECD</x:v>
      </x:c>
      <x:c r="H47" s="168" t="str">
        <x:v>Research and analysis on Yemen’s financial sector</x:v>
      </x:c>
      <x:c r="I47"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47" s="168" t="str">
        <x:v>An OECD synthesis does not replace the underlying Yemen datasets or regulator records, establish current provider operation, or prove causal effects on financial inclusion.</x:v>
      </x:c>
      <x:c r="K47" s="168" t="str">
        <x:v>FULL_PUBLIC_CARD</x:v>
      </x:c>
      <x:c r="L47" s="168" t="str">
        <x:v>تعزيز المرونة الاقتصادية في اليمن (2026)</x:v>
      </x:c>
      <x:c r="M47" s="168" t="str">
        <x:v>البحوث والتحليلات حول القطاع المالي في اليمن</x:v>
      </x:c>
      <x:c r="N47"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47"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47" t="str">
        <x:v>NOT_ASSESSED</x:v>
      </x:c>
      <x:c r="Y47" t="str">
        <x:v>منظمة التعاون الاقتصادي والتنمية</x:v>
      </x:c>
      <x:c r="Z47" t="str">
        <x:v>Research or policy paper</x:v>
      </x:c>
      <x:c r="AA47" t="str">
        <x:v>ورقة بحثية أو سياساتية</x:v>
      </x:c>
      <x:c r="AB47" t="str">
        <x:v>2026</x:v>
      </x:c>
    </x:row>
    <x:row r="48">
      <x:c r="A48" s="24" t="str">
        <x:v>SRC-OCHA-FTS-YEM-2026-001</x:v>
      </x:c>
      <x:c r="B48" s="24" t="str">
        <x:v>https://fts.unocha.org/countries/248/flows/2026</x:v>
      </x:c>
      <x:c r="C48" s="24" t="str"/>
      <x:c r="D48" s="24" t="str">
        <x:v>DS-OCHA-FTS-2026, DS-OCHA-LINKS</x:v>
      </x:c>
      <x:c r="E48" s="24" t="n">
        <x:v>77</x:v>
      </x:c>
      <x:c r="F48" s="168" t="str">
        <x:v>Financial Tracking Service: Yemen funding flows, 2026 (snapshot of 7 September 2026)</x:v>
      </x:c>
      <x:c r="G48" s="168" t="str">
        <x:v>UN OCHA</x:v>
      </x:c>
      <x:c r="H48" s="168"/>
      <x:c r="I48" s="168"/>
      <x:c r="J48" s="168"/>
      <x:c r="K48" s="168" t="str">
        <x:v>CITATION_CARD</x:v>
      </x:c>
      <x:c r="L48" s="168" t="str">
        <x:v>خدمة تتبع التمويل (FTS): تدفقات التمويل إلى اليمن لعام 2026 (كما رُصدت في 7 سبتمبر 2026)</x:v>
      </x:c>
      <x:c r="M48" s="168"/>
      <x:c r="N48" s="168"/>
      <x:c r="O48" s="168"/>
      <x:c r="S48" t="str">
        <x:v>NOT_ASSESSED</x:v>
      </x:c>
      <x:c r="Y48" t="str">
        <x:v>مكتب الأمم المتحدة لتنسيق الشؤون الإنسانية</x:v>
      </x:c>
      <x:c r="Z48" t="str">
        <x:v>Database or web interface</x:v>
      </x:c>
      <x:c r="AA48" t="str">
        <x:v>قاعدة بيانات أو واجهة إلكترونية</x:v>
      </x:c>
    </x:row>
    <x:row r="49">
      <x:c r="A49" s="24" t="str">
        <x:v>SRC-WB-YEM-MFI-2004-001</x:v>
      </x:c>
      <x:c r="B49" s="24" t="str">
        <x:v>https://documents1.worldbank.org/curated/en/494591468320937438/pdf/925610BRI0Box30e0for0Small0Business.pdf</x:v>
      </x:c>
      <x:c r="C49" s="24" t="str"/>
      <x:c r="D49" s="24" t="str">
        <x:v>DS-WB2004-NARR, DS-WB2004-CASES, DS-WB2004-CHRON, DS-WB2004-CONTROLS</x:v>
      </x:c>
      <x:c r="E49" s="24" t="n">
        <x:v>18</x:v>
      </x:c>
      <x:c r="F49" s="168" t="str">
        <x:v>Yemen: Microfinance for Small Business (3 May 2004)</x:v>
      </x:c>
      <x:c r="G49" s="168" t="str">
        <x:v>World Bank</x:v>
      </x:c>
      <x:c r="H49" s="168"/>
      <x:c r="I49" s="168"/>
      <x:c r="J49" s="168"/>
      <x:c r="K49" s="168" t="str">
        <x:v>CITATION_CARD</x:v>
      </x:c>
      <x:c r="L49" s="168" t="str">
        <x:v>اليمن: التمويل الأصغر للمنشآت الصغيرة (3 مايو 2004)</x:v>
      </x:c>
      <x:c r="M49" s="168"/>
      <x:c r="N49" s="168"/>
      <x:c r="O49" s="168"/>
      <x:c r="S49" t="str">
        <x:v>NOT_ASSESSED</x:v>
      </x:c>
      <x:c r="Y49" t="str">
        <x:v>البنك الدولي</x:v>
      </x:c>
      <x:c r="Z49" t="str">
        <x:v>News release</x:v>
      </x:c>
      <x:c r="AA49" t="str">
        <x:v>بيان صحفي</x:v>
      </x:c>
      <x:c r="AB49" t="str">
        <x:v>2004-05-03</x:v>
      </x:c>
    </x:row>
    <x:row r="50">
      <x:c r="A50" s="24" t="str">
        <x:v>SRC-AJMBFS-CBY-FI-2025-001</x:v>
      </x:c>
      <x:c r="B50" s="24" t="str">
        <x:v>https://ojs.aambfsye.org/index.php/arab-Journal/article/view/18</x:v>
      </x:c>
      <x:c r="C50" s="24" t="str">
        <x:v>["https://doi.org/10.59559/ajmbfs.1.1.4"]</x:v>
      </x:c>
      <x:c r="D50" s="24" t="str">
        <x:v>DS-LIT-CBY-FI,DS-PRIMARY-POINTERS</x:v>
      </x:c>
      <x:c r="E50" s="24" t="n">
        <x:v>10</x:v>
      </x:c>
      <x:c r="F50" s="168" t="str">
        <x:v>The Impact of the Efforts and Measures of the Yemeni Central Bank on Promoting Financial Inclusion in Yemen (April 2025)</x:v>
      </x:c>
      <x:c r="G50" s="168" t="str">
        <x:v>Arab Journal of Management, Banking, and Financial Studies</x:v>
      </x:c>
      <x:c r="H50" s="168"/>
      <x:c r="I50" s="168"/>
      <x:c r="J50" s="168"/>
      <x:c r="K50" s="168" t="str">
        <x:v>CITATION_CARD</x:v>
      </x:c>
      <x:c r="L50" s="168" t="str">
        <x:v>أثر جهود وإجراءات البنك المركزي اليمني في تعزيز الشمول المالي في اليمن (أبريل 2025)</x:v>
      </x:c>
      <x:c r="M50" s="168"/>
      <x:c r="N50" s="168"/>
      <x:c r="O50" s="168"/>
      <x:c r="S50" t="str">
        <x:v>NOT_ASSESSED</x:v>
      </x:c>
      <x:c r="Y50" t="str">
        <x:v>المجلة العربية للإدارة والدراسات المصرفية والمالية</x:v>
      </x:c>
      <x:c r="Z50" t="str">
        <x:v>Research or policy paper</x:v>
      </x:c>
      <x:c r="AA50" t="str">
        <x:v>ورقة بحثية أو سياساتية</x:v>
      </x:c>
      <x:c r="AB50" t="str">
        <x:v>2025-04-27</x:v>
      </x:c>
    </x:row>
    <x:row r="51">
      <x:c r="A51" s="24" t="str">
        <x:v>SRC-KFW-RMMV-2023-001</x:v>
      </x:c>
      <x:c r="B51" s="24" t="str">
        <x:v>https://www.kfw-entwicklungsbank.de/Service/RMMV-conference-2023/</x:v>
      </x:c>
      <x:c r="C51" s="24" t="str">
        <x:v>["https://www.kfw-entwicklungsbank.de/PDF/Entwicklungsfinanzierung/RMMV/Booklet-of-RMMV-Service-Providers.pdf"]</x:v>
      </x:c>
      <x:c r="D51" s="24" t="str">
        <x:v>DS-CONTRADICTIONS</x:v>
      </x:c>
      <x:c r="E51" s="24" t="n">
        <x:v>1</x:v>
      </x:c>
      <x:c r="F51" s="168" t="str">
        <x:v>Interactive Conference on Remote Management, Monitoring and Verification (RMMV) and booklet of RMMV tools and service providers (8–9 February 2023)</x:v>
      </x:c>
      <x:c r="G51" s="168" t="str">
        <x:v>KfW Development Bank</x:v>
      </x:c>
      <x:c r="H51" s="168"/>
      <x:c r="I51" s="168"/>
      <x:c r="J51" s="168"/>
      <x:c r="K51" s="168" t="str">
        <x:v>CITATION_CARD</x:v>
      </x:c>
      <x:c r="L51" s="168" t="str">
        <x:v>المؤتمر التفاعلي حول الإدارة والرصد والتحقق عن بُعد (RMMV) وكتيّب أدوات RMMV ومقدمي خدماتها (8–9 فبراير 2023)</x:v>
      </x:c>
      <x:c r="M51" s="168"/>
      <x:c r="N51" s="168"/>
      <x:c r="O51" s="168"/>
      <x:c r="S51" t="str">
        <x:v>NOT_ASSESSED</x:v>
      </x:c>
      <x:c r="Y51" t="str">
        <x:v>بنك التنمية الألماني KfW</x:v>
      </x:c>
      <x:c r="Z51" t="str">
        <x:v>Event or programme page</x:v>
      </x:c>
      <x:c r="AA51" t="str">
        <x:v>صفحة فعالية أو برنامج</x:v>
      </x:c>
    </x:row>
    <x:row r="52">
      <x:c r="A52" s="24" t="str">
        <x:v>SRC-CBY-GMW-2023-001</x:v>
      </x:c>
      <x:c r="B52" s="24" t="str">
        <x:v>https://www.cby-ye.com/news/481</x:v>
      </x:c>
      <x:c r="C52" s="24" t="str"/>
      <x:c r="D52" s="24" t="str">
        <x:v>DS-PRIMARY-AUTHORITY, DS-EVIDENCE-PASSPORTS</x:v>
      </x:c>
      <x:c r="E52" s="24" t="n">
        <x:v>2</x:v>
      </x:c>
      <x:c r="F52" s="168" t="str">
        <x:v>Global Money Week 2023: launch and activity programme (20–26 March 2023)</x:v>
      </x:c>
      <x:c r="G52" s="168" t="str">
        <x:v>Central Bank of Yemen — Aden</x:v>
      </x:c>
      <x:c r="H52" s="168"/>
      <x:c r="I52" s="168"/>
      <x:c r="J52" s="168"/>
      <x:c r="K52" s="168" t="str">
        <x:v>CITATION_CARD</x:v>
      </x:c>
      <x:c r="L52" s="168" t="str">
        <x:v>الأسبوع العالمي للمال 2023: الإطلاق وبرنامج الأنشطة (20–26 مارس 2023)</x:v>
      </x:c>
      <x:c r="M52" s="168"/>
      <x:c r="N52" s="168"/>
      <x:c r="O52" s="168"/>
      <x:c r="S52" t="str">
        <x:v>NOT_ASSESSED</x:v>
      </x:c>
      <x:c r="Y52" t="str">
        <x:v>البنك المركزي اليمني – عدن</x:v>
      </x:c>
      <x:c r="Z52" t="str">
        <x:v>News release</x:v>
      </x:c>
      <x:c r="AA52" t="str">
        <x:v>بيان صحفي</x:v>
      </x:c>
    </x:row>
    <x:row r="53">
      <x:c r="A53" s="24" t="str">
        <x:v>SRC-CBY-GMW-2024-001</x:v>
      </x:c>
      <x:c r="B53" s="24" t="str">
        <x:v>https://cby-ye.com/news/648</x:v>
      </x:c>
      <x:c r="C53" s="24" t="str"/>
      <x:c r="D53" s="24" t="str">
        <x:v>DS-PRIMARY-AUTHORITY, DS-EVIDENCE-PASSPORTS</x:v>
      </x:c>
      <x:c r="E53" s="24" t="n">
        <x:v>2</x:v>
      </x:c>
      <x:c r="F53" s="168" t="str">
        <x:v>Launch of Global Money Week 2024 (18 March 2024)</x:v>
      </x:c>
      <x:c r="G53" s="168" t="str">
        <x:v>Central Bank of Yemen — Aden</x:v>
      </x:c>
      <x:c r="H53" s="168"/>
      <x:c r="I53" s="168"/>
      <x:c r="J53" s="168"/>
      <x:c r="K53" s="168" t="str">
        <x:v>CITATION_CARD</x:v>
      </x:c>
      <x:c r="L53" s="168" t="str">
        <x:v>إطلاق الأسبوع العالمي للمال 2024 (18 مارس 2024)</x:v>
      </x:c>
      <x:c r="M53" s="168"/>
      <x:c r="N53" s="168"/>
      <x:c r="O53" s="168"/>
      <x:c r="S53" t="str">
        <x:v>NOT_ASSESSED</x:v>
      </x:c>
      <x:c r="Y53" t="str">
        <x:v>البنك المركزي اليمني – عدن</x:v>
      </x:c>
      <x:c r="Z53" t="str">
        <x:v>News release</x:v>
      </x:c>
      <x:c r="AA53" t="str">
        <x:v>بيان صحفي</x:v>
      </x:c>
    </x:row>
    <x:row r="54">
      <x:c r="A54" s="24" t="str">
        <x:v>SRC-CBY-GMW-2024-CLOSE-001</x:v>
      </x:c>
      <x:c r="B54" s="24" t="str">
        <x:v>https://cby-ye.com/news/660</x:v>
      </x:c>
      <x:c r="C54" s="24" t="str"/>
      <x:c r="D54" s="24" t="str">
        <x:v>DS-PRIMARY-AUTHORITY, DS-EVIDENCE-PASSPORTS</x:v>
      </x:c>
      <x:c r="E54" s="24" t="n">
        <x:v>2</x:v>
      </x:c>
      <x:c r="F54" s="168" t="str">
        <x:v>Conclusion of Global Money Week 2024 and recognition of participating institutions (3 April 2024)</x:v>
      </x:c>
      <x:c r="G54" s="168" t="str">
        <x:v>Central Bank of Yemen — Aden</x:v>
      </x:c>
      <x:c r="H54" s="168"/>
      <x:c r="I54" s="168"/>
      <x:c r="J54" s="168"/>
      <x:c r="K54" s="168" t="str">
        <x:v>CITATION_CARD</x:v>
      </x:c>
      <x:c r="L54" s="168" t="str">
        <x:v>اختتام الأسبوع العالمي للمال 2024 وتكريم الجهات المشاركة (3 أبريل 2024)</x:v>
      </x:c>
      <x:c r="M54" s="168"/>
      <x:c r="N54" s="168"/>
      <x:c r="O54" s="168"/>
      <x:c r="S54" t="str">
        <x:v>NOT_ASSESSED</x:v>
      </x:c>
      <x:c r="Y54" t="str">
        <x:v>البنك المركزي اليمني – عدن</x:v>
      </x:c>
      <x:c r="Z54" t="str">
        <x:v>News release</x:v>
      </x:c>
      <x:c r="AA54" t="str">
        <x:v>بيان صحفي</x:v>
      </x:c>
    </x:row>
    <x:row r="55">
      <x:c r="A55" s="24" t="str">
        <x:v>SRC-CBY-GMW-2025-001</x:v>
      </x:c>
      <x:c r="B55" s="24" t="str">
        <x:v>https://cby-ye.com/news/790</x:v>
      </x:c>
      <x:c r="C55" s="24" t="str"/>
      <x:c r="D55" s="24" t="str">
        <x:v>DS-PRIMARY-AUTHORITY, DS-EVIDENCE-PASSPORTS</x:v>
      </x:c>
      <x:c r="E55" s="24" t="n">
        <x:v>2</x:v>
      </x:c>
      <x:c r="F55" s="168" t="str">
        <x:v>Global Money Week 2025: launch and programme (16–22 March 2025)</x:v>
      </x:c>
      <x:c r="G55" s="168" t="str">
        <x:v>Central Bank of Yemen — Aden</x:v>
      </x:c>
      <x:c r="H55" s="168"/>
      <x:c r="I55" s="168"/>
      <x:c r="J55" s="168"/>
      <x:c r="K55" s="168" t="str">
        <x:v>CITATION_CARD</x:v>
      </x:c>
      <x:c r="L55" s="168" t="str">
        <x:v>الأسبوع العالمي للمال 2025: الإطلاق والبرنامج (16–22 مارس 2025)</x:v>
      </x:c>
      <x:c r="M55" s="168"/>
      <x:c r="N55" s="168"/>
      <x:c r="O55" s="168"/>
      <x:c r="S55" t="str">
        <x:v>NOT_ASSESSED</x:v>
      </x:c>
      <x:c r="Y55" t="str">
        <x:v>البنك المركزي اليمني – عدن</x:v>
      </x:c>
      <x:c r="Z55" t="str">
        <x:v>News release</x:v>
      </x:c>
      <x:c r="AA55" t="str">
        <x:v>بيان صحفي</x:v>
      </x:c>
    </x:row>
    <x:row r="56">
      <x:c r="A56" s="24" t="str">
        <x:v>SRC-CBY-FCP-INSTR-2023-001</x:v>
      </x:c>
      <x:c r="B56" s="24" t="str">
        <x:v>https://cby-ye.com/news/567</x:v>
      </x:c>
      <x:c r="C56" s="24" t="str">
        <x:v>["https://www.cby-ye.com/files/64e6f1e87e2a1.pdf"]</x:v>
      </x:c>
      <x:c r="D56" s="24" t="str">
        <x:v>DS-PRIMARY-AUTHORITY, DS-EVIDENCE-PASSPORTS, DS-REFORM-EVENTS</x:v>
      </x:c>
      <x:c r="E56" s="24" t="n">
        <x:v>3</x:v>
      </x:c>
      <x:c r="F56" s="168" t="str">
        <x:v>Regulatory Instructions for Financial Consumer Protection (issuance announced 28 August 2023)</x:v>
      </x:c>
      <x:c r="G56" s="168" t="str">
        <x:v>Central Bank of Yemen — Aden</x:v>
      </x:c>
      <x:c r="H56" s="168"/>
      <x:c r="I56" s="168"/>
      <x:c r="J56" s="168"/>
      <x:c r="K56" s="168" t="str">
        <x:v>CITATION_CARD</x:v>
      </x:c>
      <x:c r="L56" s="168" t="str">
        <x:v>التعليمات التنظيمية لحماية المستهلك المالي (أُعلن إصدارها في 28 أغسطس 2023)</x:v>
      </x:c>
      <x:c r="M56" s="168"/>
      <x:c r="N56" s="168"/>
      <x:c r="O56" s="168"/>
      <x:c r="S56" t="str">
        <x:v>NOT_ASSESSED</x:v>
      </x:c>
      <x:c r="W56" t="str">
        <x:v>instruction/circular</x:v>
      </x:c>
      <x:c r="Y56" t="str">
        <x:v>البنك المركزي اليمني – عدن</x:v>
      </x:c>
      <x:c r="Z56" t="str">
        <x:v>Circular or instruction</x:v>
      </x:c>
      <x:c r="AA56" t="str">
        <x:v>تعميم أو تعليمات</x:v>
      </x:c>
      <x:c r="AB56" t="str">
        <x:v>2023-08-28</x:v>
      </x:c>
    </x:row>
    <x:row r="57">
      <x:c r="A57" s="24" t="str">
        <x:v>SRC-CBY-FCP-AWARE-2024-001</x:v>
      </x:c>
      <x:c r="B57" s="24" t="str">
        <x:v>https://cby-ye.com/news/652</x:v>
      </x:c>
      <x:c r="C57" s="24" t="str"/>
      <x:c r="D57" s="24" t="str">
        <x:v>DS-PRIMARY-AUTHORITY</x:v>
      </x:c>
      <x:c r="E57" s="24" t="n">
        <x:v>1</x:v>
      </x:c>
      <x:c r="F57" s="168" t="str">
        <x:v>Awareness brochure 'Financial Consumer Protection in Yemen' issued during Global Money Week (23 March 2024)</x:v>
      </x:c>
      <x:c r="G57" s="168" t="str">
        <x:v>Central Bank of Yemen — Aden</x:v>
      </x:c>
      <x:c r="H57" s="168"/>
      <x:c r="I57" s="168"/>
      <x:c r="J57" s="168"/>
      <x:c r="K57" s="168" t="str">
        <x:v>CITATION_CARD</x:v>
      </x:c>
      <x:c r="L57" s="168" t="str">
        <x:v>إصدار الكتيّب التوعوي «حماية المستهلك المالي في اليمن» خلال الأسبوع العالمي للمال (23 مارس 2024)</x:v>
      </x:c>
      <x:c r="M57" s="168"/>
      <x:c r="N57" s="168"/>
      <x:c r="O57" s="168"/>
      <x:c r="S57" t="str">
        <x:v>NOT_ASSESSED</x:v>
      </x:c>
      <x:c r="Y57" t="str">
        <x:v>البنك المركزي اليمني – عدن</x:v>
      </x:c>
      <x:c r="Z57" t="str">
        <x:v>News release</x:v>
      </x:c>
      <x:c r="AA57" t="str">
        <x:v>بيان صحفي</x:v>
      </x:c>
    </x:row>
    <x:row r="58">
      <x:c r="A58" s="24" t="str">
        <x:v>SRC-CBY-PSP-RULES-2022-001</x:v>
      </x:c>
      <x:c r="B58" s="24" t="str">
        <x:v>https://cby-ye.com/files/632b0c240dc11.pdf</x:v>
      </x:c>
      <x:c r="C58" s="24" t="str">
        <x:v>["https://cby-ye.com/news/376"]</x:v>
      </x:c>
      <x:c r="D58" s="24" t="str">
        <x:v>DS-PRIMARY-AUTHORITY</x:v>
      </x:c>
      <x:c r="E58" s="24" t="n">
        <x:v>1</x:v>
      </x:c>
      <x:c r="F58" s="168" t="str">
        <x:v>Instructions governing payment service providers and payment system operators (14 September 2022)</x:v>
      </x:c>
      <x:c r="G58" s="168" t="str">
        <x:v>Central Bank of Yemen — Aden</x:v>
      </x:c>
      <x:c r="H58" s="168"/>
      <x:c r="I58" s="168"/>
      <x:c r="J58" s="168"/>
      <x:c r="K58" s="168" t="str">
        <x:v>CITATION_CARD</x:v>
      </x:c>
      <x:c r="L58" s="168" t="str">
        <x:v>تعليمات بشأن مقدمي خدمات الدفع ومشغلي أنظمة الدفع (14 سبتمبر 2022)</x:v>
      </x:c>
      <x:c r="M58" s="168"/>
      <x:c r="N58" s="168"/>
      <x:c r="O58" s="168"/>
      <x:c r="S58" t="str">
        <x:v>NOT_ASSESSED</x:v>
      </x:c>
      <x:c r="W58" t="str">
        <x:v>regulation</x:v>
      </x:c>
      <x:c r="Y58" t="str">
        <x:v>البنك المركزي اليمني – عدن</x:v>
      </x:c>
      <x:c r="Z58" t="str">
        <x:v>Regulation</x:v>
      </x:c>
      <x:c r="AA58" t="str">
        <x:v>لائحة تنظيمية</x:v>
      </x:c>
      <x:c r="AB58" t="str">
        <x:v>2022-09-14</x:v>
      </x:c>
    </x:row>
    <x:row r="59">
      <x:c r="A59" s="24" t="str">
        <x:v>SRC-CBY-PAY-BOARD-2026-001</x:v>
      </x:c>
      <x:c r="B59" s="24" t="str">
        <x:v>https://cby-ye.com/news/922</x:v>
      </x:c>
      <x:c r="C59" s="24" t="str"/>
      <x:c r="D59" s="24" t="str">
        <x:v>DS-PRIMARY-AUTHORITY, DS-REFORM-EVENTS</x:v>
      </x:c>
      <x:c r="E59" s="24" t="n">
        <x:v>2</x:v>
      </x:c>
      <x:c r="F59" s="168" t="str">
        <x:v>Board of Directors' decisions on a national QR standard, e-wallet interconnection and the fast payment system operator (29 March 2026)</x:v>
      </x:c>
      <x:c r="G59" s="168" t="str">
        <x:v>Central Bank of Yemen — Aden</x:v>
      </x:c>
      <x:c r="H59" s="168"/>
      <x:c r="I59" s="168"/>
      <x:c r="J59" s="168"/>
      <x:c r="K59" s="168" t="str">
        <x:v>CITATION_CARD</x:v>
      </x:c>
      <x:c r="L59" s="168" t="str">
        <x:v>قرارات مجلس الإدارة بشأن معيار QR وطني وربط المحافظ الإلكترونية والشركة المشغّلة لنظام الدفع السريع (29 مارس 2026)</x:v>
      </x:c>
      <x:c r="M59" s="168"/>
      <x:c r="N59" s="168"/>
      <x:c r="O59" s="168"/>
      <x:c r="S59" t="str">
        <x:v>NOT_ASSESSED</x:v>
      </x:c>
      <x:c r="Y59" t="str">
        <x:v>البنك المركزي اليمني – عدن</x:v>
      </x:c>
      <x:c r="Z59" t="str">
        <x:v>News release</x:v>
      </x:c>
      <x:c r="AA59" t="str">
        <x:v>بيان صحفي</x:v>
      </x:c>
    </x:row>
    <x:row r="60">
      <x:c r="A60" s="24" t="str">
        <x:v>SRC-CBY-FCP-BROCHURE-2024-001</x:v>
      </x:c>
      <x:c r="B60" s="24" t="str">
        <x:v>https://cby-ye.com/files/65fe1e8d2ec08.pdf</x:v>
      </x:c>
      <x:c r="C60" s="24" t="str">
        <x:v>["https://cby-ye.com/news/652"]</x:v>
      </x:c>
      <x:c r="D60" s="24" t="str">
        <x:v>DS-FCP-ARCH, DS-PRIMARY-AUTHORITY, DS-EVIDENCE-PASSPORTS</x:v>
      </x:c>
      <x:c r="E60" s="24" t="n">
        <x:v>11</x:v>
      </x:c>
      <x:c r="F60" s="168" t="str">
        <x:v>Financial Consumer Protection in Yemen (awareness brochure, 23 March 2024)</x:v>
      </x:c>
      <x:c r="G60" s="168" t="str">
        <x:v>Central Bank of Yemen — Aden</x:v>
      </x:c>
      <x:c r="H60" s="168"/>
      <x:c r="I60" s="168"/>
      <x:c r="J60" s="168"/>
      <x:c r="K60" s="168" t="str">
        <x:v>CITATION_CARD</x:v>
      </x:c>
      <x:c r="L60" s="168" t="str">
        <x:v>حماية المستهلك المالي في اليمن (كتيّب توعوي، 23 مارس 2024)</x:v>
      </x:c>
      <x:c r="M60" s="168"/>
      <x:c r="N60" s="168"/>
      <x:c r="O60" s="168"/>
      <x:c r="S60" t="str">
        <x:v>NOT_ASSESSED</x:v>
      </x:c>
      <x:c r="Y60" t="str">
        <x:v>البنك المركزي اليمني – عدن</x:v>
      </x:c>
      <x:c r="Z60" t="str">
        <x:v>Guidance or awareness material</x:v>
      </x:c>
      <x:c r="AA60" t="str">
        <x:v>مواد إرشادية أو توعوية</x:v>
      </x:c>
      <x:c r="AB60" t="str">
        <x:v>2024-03-23</x:v>
      </x:c>
    </x:row>
    <x:row r="61">
      <x:c r="A61" s="24" t="str">
        <x:v>SRC-CBY-EMONEY-2023-001</x:v>
      </x:c>
      <x:c r="B61" s="24" t="str">
        <x:v>https://cby-ye.com/files/64dde85e0a84f.pdf</x:v>
      </x:c>
      <x:c r="C61" s="24" t="str"/>
      <x:c r="D61" s="24" t="str">
        <x:v>DS-EMONEY-REG, DS-PRIMARY-AUTHORITY, DS-REFORM-EVENTS</x:v>
      </x:c>
      <x:c r="E61" s="24" t="n">
        <x:v>4</x:v>
      </x:c>
      <x:c r="F61" s="168" t="str">
        <x:v>Instructions on mobile e-money services provided by non-bank financial institutions (9 August 2023)</x:v>
      </x:c>
      <x:c r="G61" s="168" t="str">
        <x:v>Central Bank of Yemen — Aden</x:v>
      </x:c>
      <x:c r="H61" s="168"/>
      <x:c r="I61" s="168"/>
      <x:c r="J61" s="168"/>
      <x:c r="K61" s="168" t="str">
        <x:v>CITATION_CARD</x:v>
      </x:c>
      <x:c r="L61" s="168" t="str">
        <x:v>تعليمات خدمات النقود الإلكترونية عبر الهاتف المحمول التي تقدمها المؤسسات المالية غير المصرفية (9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2023-08-09</x:v>
      </x:c>
    </x:row>
    <x:row r="62">
      <x:c r="A62" s="24" t="str">
        <x:v>SRC-CBY-EMONEY-AMD-2025-001</x:v>
      </x:c>
      <x:c r="B62" s="24" t="str">
        <x:v>https://cby-ye.com/files/6875fc55a253e.pdf</x:v>
      </x:c>
      <x:c r="C62" s="24" t="str"/>
      <x:c r="D62" s="24" t="str">
        <x:v>DS-EMONEY-REG, DS-PRIMARY-AUTHORITY, DS-REFORM-EVENTS</x:v>
      </x:c>
      <x:c r="E62" s="24" t="n">
        <x:v>9</x:v>
      </x:c>
      <x:c r="F62" s="168" t="str">
        <x:v>Governor's Decision No. 4 of 2025 amending the mobile e-money instructions (9 July 2025)</x:v>
      </x:c>
      <x:c r="G62" s="168" t="str">
        <x:v>Central Bank of Yemen — Aden</x:v>
      </x:c>
      <x:c r="H62" s="168"/>
      <x:c r="I62" s="168"/>
      <x:c r="J62" s="168"/>
      <x:c r="K62" s="168" t="str">
        <x:v>CITATION_CARD</x:v>
      </x:c>
      <x:c r="L62" s="168" t="str">
        <x:v>قرار المحافظ رقم (4) لسنة 2025 بتعديل تعليمات خدمات النقود الإلكترونية عبر الهاتف المحمول (9 يوليو 2025)</x:v>
      </x:c>
      <x:c r="M62" s="168"/>
      <x:c r="N62" s="168"/>
      <x:c r="O62" s="168"/>
      <x:c r="S62" t="str">
        <x:v>NOT_ASSESSED</x:v>
      </x:c>
      <x:c r="W62" t="str">
        <x:v>decision/enforcement</x:v>
      </x:c>
      <x:c r="Y62" t="str">
        <x:v>البنك المركزي اليمني – عدن</x:v>
      </x:c>
      <x:c r="Z62" t="str">
        <x:v>Regulatory decision</x:v>
      </x:c>
      <x:c r="AA62" t="str">
        <x:v>قرار تنظيمي</x:v>
      </x:c>
      <x:c r="AB62" t="str">
        <x:v>2025-07-09</x:v>
      </x:c>
    </x:row>
    <x:row r="63">
      <x:c r="A63" s="24" t="str">
        <x:v>SRC-CBY-DIGITAL-EXPO-2026-001</x:v>
      </x:c>
      <x:c r="B63" s="24" t="str">
        <x:v>https://cby-ye.com/news/915</x:v>
      </x:c>
      <x:c r="C63" s="24" t="str"/>
      <x:c r="D63" s="24" t="str">
        <x:v>DS-PRIMARY-AUTHORITY,DS-REFORM-EVENTS,DS-STRATEGIC-INSIGHTS,DS-WALLET-COUNT-RECON</x:v>
      </x:c>
      <x:c r="E63" s="24" t="n">
        <x:v>4</x:v>
      </x:c>
      <x:c r="F63" s="168" t="str">
        <x:v>Digital payments exhibition, with remarks on the unified transfer network (22 January 2026)</x:v>
      </x:c>
      <x:c r="G63" s="168" t="str">
        <x:v>Central Bank of Yemen — Aden</x:v>
      </x:c>
      <x:c r="H63" s="168"/>
      <x:c r="I63" s="168"/>
      <x:c r="J63" s="168"/>
      <x:c r="K63" s="168" t="str">
        <x:v>CITATION_CARD</x:v>
      </x:c>
      <x:c r="L63" s="168" t="str">
        <x:v>معرض المدفوعات الرقمية، مع تصريحات بشأن الشبكة الموحدة للحوالات (22 يناير 2026)</x:v>
      </x:c>
      <x:c r="M63" s="168"/>
      <x:c r="N63" s="168"/>
      <x:c r="O63" s="168"/>
      <x:c r="S63" t="str">
        <x:v>NOT_ASSESSED</x:v>
      </x:c>
      <x:c r="Y63" t="str">
        <x:v>البنك المركزي اليمني – عدن</x:v>
      </x:c>
      <x:c r="Z63" t="str">
        <x:v>News release</x:v>
      </x:c>
      <x:c r="AA63" t="str">
        <x:v>بيان صحفي</x:v>
      </x:c>
    </x:row>
    <x:row r="64">
      <x:c r="A64" s="24" t="str">
        <x:v>SRC-CBY-UNLICENSED-EWALLET-2024-001</x:v>
      </x:c>
      <x:c r="B64" s="24" t="str">
        <x:v>https://cby-ye.com/files/667c32dabd223.pdf</x:v>
      </x:c>
      <x:c r="C64" s="24" t="str">
        <x:v>["https://cby-ye.com/news/703"]</x:v>
      </x:c>
      <x:c r="D64" s="24" t="str">
        <x:v>DS-PROVIDER-NEGATIVE-AUTHORITY,DS-PROVIDER-OBSERVABILITY,DS-PROVIDER-STATUS-EVENTS</x:v>
      </x:c>
      <x:c r="E64" s="24" t="n">
        <x:v>13</x:v>
      </x:c>
      <x:c r="F64" s="168" t="str">
        <x:v>Circular prohibiting dealings with unlicensed electronic wallets and payment services (26 June 2024)</x:v>
      </x:c>
      <x:c r="G64" s="168" t="str">
        <x:v>Central Bank of Yemen — Aden</x:v>
      </x:c>
      <x:c r="H64" s="168"/>
      <x:c r="I64" s="168"/>
      <x:c r="J64" s="168"/>
      <x:c r="K64" s="168" t="str">
        <x:v>CITATION_CARD</x:v>
      </x:c>
      <x:c r="L64" s="168" t="str">
        <x:v>تعميم بحظر التعامل مع محافظ إلكترونية وخدمات دفع إلكتروني غير مرخصة (26 يونيو 2024)</x:v>
      </x:c>
      <x:c r="M64" s="168"/>
      <x:c r="N64" s="168"/>
      <x:c r="O64" s="168"/>
      <x:c r="S64" t="str">
        <x:v>NOT_ASSESSED</x:v>
      </x:c>
      <x:c r="W64" t="str">
        <x:v>provider-status instrument</x:v>
      </x:c>
      <x:c r="X64" t="str">
        <x:v>status event</x:v>
      </x:c>
      <x:c r="Y64" t="str">
        <x:v>البنك المركزي اليمني – عدن</x:v>
      </x:c>
      <x:c r="Z64" t="str">
        <x:v>Circular or instruction</x:v>
      </x:c>
      <x:c r="AA64" t="str">
        <x:v>تعميم أو تعليمات</x:v>
      </x:c>
      <x:c r="AB64" t="str">
        <x:v>2024-06-26</x:v>
      </x:c>
    </x:row>
    <x:row r="65">
      <x:c r="A65" s="24" t="str">
        <x:v>SRC-CBY-EXCH-LIST-2025-001</x:v>
      </x:c>
      <x:c r="B65" s="24" t="str">
        <x:v>https://cby-ye.com/files/69561aafe8942.pdf</x:v>
      </x:c>
      <x:c r="C65" s="24" t="str"/>
      <x:c r="D65" s="24" t="str">
        <x:v>DS-PROVIDER-BASELINE-2025,DS-PROVIDER-OBSERVABILITY</x:v>
      </x:c>
      <x:c r="E65" s="24" t="n">
        <x:v>4</x:v>
      </x:c>
      <x:c r="F65" s="168" t="str">
        <x:v>Roster of exchange companies, exchange establishments and remittance agents (2025)</x:v>
      </x:c>
      <x:c r="G65" s="168" t="str">
        <x:v>Central Bank of Yemen — Aden</x:v>
      </x:c>
      <x:c r="H65" s="168"/>
      <x:c r="I65" s="168"/>
      <x:c r="J65" s="168"/>
      <x:c r="K65" s="168" t="str">
        <x:v>CITATION_CARD</x:v>
      </x:c>
      <x:c r="L65" s="168" t="str">
        <x:v>قائمة شركات ومنشآت الصرافة ووكلاء الحوالات (2025)</x:v>
      </x:c>
      <x:c r="M65" s="168"/>
      <x:c r="N65" s="168"/>
      <x:c r="O65" s="168"/>
      <x:c r="S65" t="str">
        <x:v>NOT_ASSESSED</x:v>
      </x:c>
      <x:c r="W65" t="str">
        <x:v>provider-status instrument</x:v>
      </x:c>
      <x:c r="X65" t="str">
        <x:v>primary factual evidence</x:v>
      </x:c>
      <x:c r="Y65" t="str">
        <x:v>البنك المركزي اليمني – عدن</x:v>
      </x:c>
      <x:c r="Z65" t="str">
        <x:v>Official list or roster</x:v>
      </x:c>
      <x:c r="AA65" t="str">
        <x:v>قائمة رسمية</x:v>
      </x:c>
    </x:row>
    <x:row r="66">
      <x:c r="A66" s="24" t="str">
        <x:v>SRC-CBY-BANK-NETWORK-MTG-2026-001</x:v>
      </x:c>
      <x:c r="B66" s="24" t="str">
        <x:v>https://cby-ye.com/news/946</x:v>
      </x:c>
      <x:c r="C66" s="24" t="str"/>
      <x:c r="D66" s="24" t="str">
        <x:v>DS-PAYMENT-CURRENTNESS,DS-REFORM-EVENTS</x:v>
      </x:c>
      <x:c r="E66" s="24" t="n">
        <x:v>2</x:v>
      </x:c>
      <x:c r="F66" s="168" t="str">
        <x:v>Meeting on completing integration among banks and financial-service providers through the unified network (17 June 2026)</x:v>
      </x:c>
      <x:c r="G66" s="168" t="str">
        <x:v>Central Bank of Yemen — Aden</x:v>
      </x:c>
      <x:c r="H66" s="168"/>
      <x:c r="I66" s="168"/>
      <x:c r="J66" s="168"/>
      <x:c r="K66" s="168" t="str">
        <x:v>CITATION_CARD</x:v>
      </x:c>
      <x:c r="L66" s="168" t="str">
        <x:v>اجتماع بشأن استكمال الربط بين البنوك ومقدمي الخدمات المالية عبر الشبكة الموحدة (17 يونيو 2026)</x:v>
      </x:c>
      <x:c r="M66" s="168"/>
      <x:c r="N66" s="168"/>
      <x:c r="O66" s="168"/>
      <x:c r="S66" t="str">
        <x:v>NOT_ASSESSED</x:v>
      </x:c>
      <x:c r="Y66" t="str">
        <x:v>البنك المركزي اليمني – عدن</x:v>
      </x:c>
      <x:c r="Z66" t="str">
        <x:v>News release</x:v>
      </x:c>
      <x:c r="AA66" t="str">
        <x:v>بيان صحفي</x:v>
      </x:c>
    </x:row>
    <x:row r="67">
      <x:c r="A67" s="24" t="str">
        <x:v>SRC-CBY-UNIFIED-NET-2026-001</x:v>
      </x:c>
      <x:c r="B67" s="24" t="str">
        <x:v>https://cby-ye.com/news/957</x:v>
      </x:c>
      <x:c r="C67" s="24" t="str"/>
      <x:c r="D67" s="24" t="str">
        <x:v>DS-PAYMENT-CURRENTNESS,DS-REFORM-EVENTS</x:v>
      </x:c>
      <x:c r="E67" s="24" t="n">
        <x:v>2</x:v>
      </x:c>
      <x:c r="F67" s="168" t="str">
        <x:v>Unified Money Network company: restructuring, capital increase and a wider bank shareholder base (27 July 2026)</x:v>
      </x:c>
      <x:c r="G67" s="168" t="str">
        <x:v>Central Bank of Yemen — Aden</x:v>
      </x:c>
      <x:c r="H67" s="168"/>
      <x:c r="I67" s="168"/>
      <x:c r="J67" s="168"/>
      <x:c r="K67" s="168" t="str">
        <x:v>CITATION_CARD</x:v>
      </x:c>
      <x:c r="L67" s="168" t="str">
        <x:v>شركة الشبكة الموحدة للأموال: إعادة الهيكلة وزيادة رأس المال وتوسيع قاعدة البنوك المساهمة (27 يوليو 2026)</x:v>
      </x:c>
      <x:c r="M67" s="168"/>
      <x:c r="N67" s="168"/>
      <x:c r="O67" s="168"/>
      <x:c r="S67" t="str">
        <x:v>NOT_ASSESSED</x:v>
      </x:c>
      <x:c r="Y67" t="str">
        <x:v>البنك المركزي اليمني – عدن</x:v>
      </x:c>
      <x:c r="Z67" t="str">
        <x:v>News release</x:v>
      </x:c>
      <x:c r="AA67" t="str">
        <x:v>بيان صحفي</x:v>
      </x:c>
    </x:row>
    <x:row r="68">
      <x:c r="A68" s="24" t="str">
        <x:v>SRC-CBY-YPCC-FOUND-2026-001</x:v>
      </x:c>
      <x:c r="B68" s="24" t="str">
        <x:v>https://cby-ye.com/news/961</x:v>
      </x:c>
      <x:c r="C68" s="24" t="str"/>
      <x:c r="D68" s="24" t="str">
        <x:v>DS-PAYMENT-CURRENTNESS,DS-REFORM-EVENTS</x:v>
      </x:c>
      <x:c r="E68" s="24" t="n">
        <x:v>2</x:v>
      </x:c>
      <x:c r="F68" s="168" t="str">
        <x:v>Founding general assembly of the Yemeni Payments and Clearing Company (3 August 2026)</x:v>
      </x:c>
      <x:c r="G68" s="168" t="str">
        <x:v>Central Bank of Yemen — Aden</x:v>
      </x:c>
      <x:c r="H68" s="168"/>
      <x:c r="I68" s="168"/>
      <x:c r="J68" s="168"/>
      <x:c r="K68" s="168" t="str">
        <x:v>CITATION_CARD</x:v>
      </x:c>
      <x:c r="L68" s="168" t="str">
        <x:v>الجمعية التأسيسية للشركة اليمنية للمدفوعات والمقاصة (3 أغسطس 2026)</x:v>
      </x:c>
      <x:c r="M68" s="168"/>
      <x:c r="N68" s="168"/>
      <x:c r="O68" s="168"/>
      <x:c r="S68" t="str">
        <x:v>NOT_ASSESSED</x:v>
      </x:c>
      <x:c r="Y68" t="str">
        <x:v>البنك المركزي اليمني – عدن</x:v>
      </x:c>
      <x:c r="Z68" t="str">
        <x:v>News release</x:v>
      </x:c>
      <x:c r="AA68" t="str">
        <x:v>بيان صحفي</x:v>
      </x:c>
    </x:row>
    <x:row r="69">
      <x:c r="A69" s="24" t="str">
        <x:v>SRC-CBY-YPCC-BOARD-2026-001</x:v>
      </x:c>
      <x:c r="B69" s="24" t="str">
        <x:v>https://cby-ye.com/news/962</x:v>
      </x:c>
      <x:c r="C69" s="24" t="str"/>
      <x:c r="D69" s="24" t="str">
        <x:v>DS-PAYMENT-CURRENTNESS,DS-REFORM-EVENTS</x:v>
      </x:c>
      <x:c r="E69" s="24" t="n">
        <x:v>2</x:v>
      </x:c>
      <x:c r="F69" s="168" t="str">
        <x:v>First board meeting of the Yemeni Payments and Clearing Company (4 August 2026)</x:v>
      </x:c>
      <x:c r="G69" s="168" t="str">
        <x:v>Central Bank of Yemen — Aden</x:v>
      </x:c>
      <x:c r="H69" s="168"/>
      <x:c r="I69" s="168"/>
      <x:c r="J69" s="168"/>
      <x:c r="K69" s="168" t="str">
        <x:v>CITATION_CARD</x:v>
      </x:c>
      <x:c r="L69" s="168" t="str">
        <x:v>أول اجتماع لمجلس إدارة الشركة اليمنية للمدفوعات والمقاصة (4 أغسطس 2026)</x:v>
      </x:c>
      <x:c r="M69" s="168"/>
      <x:c r="N69" s="168"/>
      <x:c r="O69" s="168"/>
      <x:c r="S69" t="str">
        <x:v>NOT_ASSESSED</x:v>
      </x:c>
      <x:c r="Y69" t="str">
        <x:v>البنك المركزي اليمني – عدن</x:v>
      </x:c>
      <x:c r="Z69" t="str">
        <x:v>News release</x:v>
      </x:c>
      <x:c r="AA69" t="str">
        <x:v>بيان صحفي</x:v>
      </x:c>
    </x:row>
    <x:row r="70">
      <x:c r="A70" s="24" t="str">
        <x:v>SRC-CBY-POS-PUBLICATION-PAGE-2026-001</x:v>
      </x:c>
      <x:c r="B70" s="24" t="str">
        <x:v>https://english.cby-ye.com/pages/27</x:v>
      </x:c>
      <x:c r="C70" s="24" t="str">
        <x:v>["https://cby-ye.com/pages/11"]</x:v>
      </x:c>
      <x:c r="D70" s="24" t="str">
        <x:v>DS-PAYMENT-CURRENTNESS</x:v>
      </x:c>
      <x:c r="E70" s="24" t="n">
        <x:v>1</x:v>
      </x:c>
      <x:c r="F70" s="168" t="str">
        <x:v>Monthly Point of Sale Transactions: publication page (as checked on 26 September 2026)</x:v>
      </x:c>
      <x:c r="G70" s="168" t="str">
        <x:v>Central Bank of Yemen — Aden</x:v>
      </x:c>
      <x:c r="H70" s="168"/>
      <x:c r="I70" s="168"/>
      <x:c r="J70" s="168"/>
      <x:c r="K70" s="168" t="str">
        <x:v>CITATION_CARD</x:v>
      </x:c>
      <x:c r="L70" s="168" t="str">
        <x:v>معاملات نقاط البيع الشهرية: صفحة الإصدارات (كما اطُّلع عليها في 26 سبتمبر 2026)</x:v>
      </x:c>
      <x:c r="M70" s="168"/>
      <x:c r="N70" s="168"/>
      <x:c r="O70" s="168"/>
      <x:c r="S70" t="str">
        <x:v>NOT_ASSESSED</x:v>
      </x:c>
      <x:c r="V70" t="str">
        <x:v>2026-09-26</x:v>
      </x:c>
      <x:c r="Y70" t="str">
        <x:v>البنك المركزي اليمني – عدن</x:v>
      </x:c>
      <x:c r="Z70" t="str">
        <x:v>Web page</x:v>
      </x:c>
      <x:c r="AA70" t="str">
        <x:v>صفحة إلكترونية</x:v>
      </x:c>
    </x:row>
    <x:row r="71">
      <x:c r="A71" s="24" t="str">
        <x:v>SRC-SFD-HIST-2004-Q3-001</x:v>
      </x:c>
      <x:c r="B71" s="24" t="str">
        <x:v>https://www.sfd-yemen.org/uploads/issues/Newsletter-2004-Q3-20120331-111302.pdf</x:v>
      </x:c>
      <x:c r="C71" s="24" t="str"/>
      <x:c r="D71" s="24" t="str">
        <x:v>DS-MF-ORIGIN-CHRONOLOGY</x:v>
      </x:c>
      <x:c r="E71" s="24" t="n">
        <x:v>1</x:v>
      </x:c>
      <x:c r="F71" s="168" t="str">
        <x:v>Social Fund for Development (SFD) Newsletter (2004)</x:v>
      </x:c>
      <x:c r="G71" s="168" t="str">
        <x:v>Social Fund for Development (SFD)</x:v>
      </x:c>
      <x:c r="H71" s="168"/>
      <x:c r="I71" s="168"/>
      <x:c r="J71" s="168"/>
      <x:c r="K71" s="168" t="str">
        <x:v>CITATION_CARD</x:v>
      </x:c>
      <x:c r="L71" s="168" t="str">
        <x:v>النشرة الإخبارية للصندوق الاجتماعي للتنمية (2004)</x:v>
      </x:c>
      <x:c r="M71" s="168"/>
      <x:c r="N71" s="168"/>
      <x:c r="O71" s="168"/>
      <x:c r="S71" t="str">
        <x:v>NOT_ASSESSED</x:v>
      </x:c>
      <x:c r="Y71" t="str">
        <x:v>الصندوق الاجتماعي للتنمية</x:v>
      </x:c>
      <x:c r="Z71" t="str">
        <x:v>Newsletter</x:v>
      </x:c>
      <x:c r="AA71" t="str">
        <x:v>نشرة دورية</x:v>
      </x:c>
      <x:c r="AB71" t="str">
        <x:v>2004</x:v>
      </x:c>
    </x:row>
    <x:row r="72">
      <x:c r="A72" s="24" t="str">
        <x:v>SRC-SFD-MF-HISTORY-TOR-2012-001</x:v>
      </x:c>
      <x:c r="B72" s="24" t="str">
        <x:v>https://www.sfd-yemen.org/uploads/issues/Microfinance%20Islamic%20Products%20Study%28TOR%29-20130109-132034.pdf</x:v>
      </x:c>
      <x:c r="C72" s="24" t="str"/>
      <x:c r="D72" s="24" t="str">
        <x:v>DS-MF-ORIGIN-CHRONOLOGY,DS-MFI-YEAR-COVERAGE</x:v>
      </x:c>
      <x:c r="E72" s="24" t="n">
        <x:v>2</x:v>
      </x:c>
      <x:c r="F72" s="168"/>
      <x:c r="G72" s="168"/>
      <x:c r="H72" s="168"/>
      <x:c r="I72" s="168"/>
      <x:c r="J72" s="168"/>
      <x:c r="K72" s="168" t="str">
        <x:v>LOCATOR_ONLY</x:v>
      </x:c>
      <x:c r="L72" s="168"/>
      <x:c r="M72" s="168"/>
      <x:c r="N72" s="168"/>
      <x:c r="O72" s="168"/>
      <x:c r="S72" t="str">
        <x:v>NOT_ASSESSED</x:v>
      </x:c>
    </x:row>
    <x:row r="73">
      <x:c r="A73" s="24" t="str">
        <x:v>SRC-SFD-NEWSLETTER-2000-Q4-001</x:v>
      </x:c>
      <x:c r="B73" s="24" t="str">
        <x:v>https://www.sfd-yemen.org/uploads/issues/Newsletter-12-ENGLISH%20-20120718-113859.pdf</x:v>
      </x:c>
      <x:c r="C73" s="24" t="str"/>
      <x:c r="D73" s="24" t="str">
        <x:v>DS-MF-ORIGIN-CHRONOLOGY</x:v>
      </x:c>
      <x:c r="E73" s="24" t="n">
        <x:v>1</x:v>
      </x:c>
      <x:c r="F73" s="168" t="str">
        <x:v>Social Fund for Development (SFD) Newsletter (programme portfolios as of 31 December 2000)</x:v>
      </x:c>
      <x:c r="G73" s="168" t="str">
        <x:v>Social Fund for Development (SFD)</x:v>
      </x:c>
      <x:c r="H73" s="168"/>
      <x:c r="I73" s="168"/>
      <x:c r="J73" s="168"/>
      <x:c r="K73" s="168" t="str">
        <x:v>CITATION_CARD</x:v>
      </x:c>
      <x:c r="L73" s="168" t="str">
        <x:v>النشرة الإخبارية للصندوق الاجتماعي للتنمية (محافظ البرامج كما في 31 ديسمبر 2000)</x:v>
      </x:c>
      <x:c r="M73" s="168"/>
      <x:c r="N73" s="168"/>
      <x:c r="O73" s="168"/>
      <x:c r="S73" t="str">
        <x:v>NOT_ASSESSED</x:v>
      </x:c>
      <x:c r="Y73" t="str">
        <x:v>الصندوق الاجتماعي للتنمية</x:v>
      </x:c>
      <x:c r="Z73" t="str">
        <x:v>Newsletter</x:v>
      </x:c>
      <x:c r="AA73" t="str">
        <x:v>نشرة دورية</x:v>
      </x:c>
    </x:row>
    <x:row r="74">
      <x:c r="A74" s="24" t="str">
        <x:v>SRC-SFD-Q4-2009-001</x:v>
      </x:c>
      <x:c r="B74" s="24" t="str">
        <x:v>https://www.sfd-yemen.org/uploads/issues/Newsletter-2009-Q4-20120331-122623.pdf</x:v>
      </x:c>
      <x:c r="C74" s="24" t="str"/>
      <x:c r="D74" s="24" t="str">
        <x:v>DS-MFI-YEAR-COVERAGE</x:v>
      </x:c>
      <x:c r="E74" s="24" t="n">
        <x:v>1</x:v>
      </x:c>
      <x:c r="F74" s="168" t="str">
        <x:v>Social Fund for Development (SFD) Newsletter (fourth quarter of 2009)</x:v>
      </x:c>
      <x:c r="G74" s="168" t="str">
        <x:v>Social Fund for Development (SFD)</x:v>
      </x:c>
      <x:c r="H74" s="168"/>
      <x:c r="I74" s="168"/>
      <x:c r="J74" s="168"/>
      <x:c r="K74" s="168" t="str">
        <x:v>CITATION_CARD</x:v>
      </x:c>
      <x:c r="L74" s="168" t="str">
        <x:v>النشرة الإخبارية للصندوق الاجتماعي للتنمية (الربع الرابع من 2009)</x:v>
      </x:c>
      <x:c r="M74" s="168"/>
      <x:c r="N74" s="168"/>
      <x:c r="O74" s="168"/>
      <x:c r="S74" t="str">
        <x:v>NOT_ASSESSED</x:v>
      </x:c>
      <x:c r="Y74" t="str">
        <x:v>الصندوق الاجتماعي للتنمية</x:v>
      </x:c>
      <x:c r="Z74" t="str">
        <x:v>Newsletter</x:v>
      </x:c>
      <x:c r="AA74" t="str">
        <x:v>نشرة دورية</x:v>
      </x:c>
    </x:row>
    <x:row r="75">
      <x:c r="A75" s="24" t="str">
        <x:v>SRC-SFD-Q4-2010-001</x:v>
      </x:c>
      <x:c r="B75" s="24" t="str">
        <x:v>https://www.sfd-yemen.org/uploads/issues/Newsletter-2010-Q4-20120331-122753.pdf</x:v>
      </x:c>
      <x:c r="C75" s="24" t="str"/>
      <x:c r="D75" s="24" t="str">
        <x:v>DS-MFI-YEAR-COVERAGE,DS-MFI-TEMPORAL-SPINE,DS-MFI-METRIC-COVERAGE</x:v>
      </x:c>
      <x:c r="E75" s="24" t="n">
        <x:v>3</x:v>
      </x:c>
      <x:c r="F75" s="168" t="str">
        <x:v>Social Fund for Development (SFD) Newsletter (fourth quarter of 2010)</x:v>
      </x:c>
      <x:c r="G75" s="168" t="str">
        <x:v>Social Fund for Development (SFD)</x:v>
      </x:c>
      <x:c r="H75" s="168"/>
      <x:c r="I75" s="168"/>
      <x:c r="J75" s="168"/>
      <x:c r="K75" s="168" t="str">
        <x:v>CITATION_CARD</x:v>
      </x:c>
      <x:c r="L75" s="168" t="str">
        <x:v>النشرة الإخبارية للصندوق الاجتماعي للتنمية (الربع الرابع من 2010)</x:v>
      </x:c>
      <x:c r="M75" s="168"/>
      <x:c r="N75" s="168"/>
      <x:c r="O75" s="168"/>
      <x:c r="S75" t="str">
        <x:v>NOT_ASSESSED</x:v>
      </x:c>
      <x:c r="Y75" t="str">
        <x:v>الصندوق الاجتماعي للتنمية</x:v>
      </x:c>
      <x:c r="Z75" t="str">
        <x:v>Newsletter</x:v>
      </x:c>
      <x:c r="AA75" t="str">
        <x:v>نشرة دورية</x:v>
      </x:c>
    </x:row>
    <x:row r="76">
      <x:c r="A76" s="24" t="str">
        <x:v>SRC-SFD-Q4-2011-001</x:v>
      </x:c>
      <x:c r="B76" s="24" t="str">
        <x:v>https://www.sfd-yemen.org/uploads/issues/Newsletter-2011-Q4-20120505-151457.pdf</x:v>
      </x:c>
      <x:c r="C76" s="24" t="str"/>
      <x:c r="D76" s="24" t="str">
        <x:v>DS-MFI-YEAR-COVERAGE,DS-MFI-TEMPORAL-SPINE,DS-MFI-METRIC-COVERAGE</x:v>
      </x:c>
      <x:c r="E76" s="24" t="n">
        <x:v>3</x:v>
      </x:c>
      <x:c r="F76" s="168" t="str">
        <x:v>Social Fund for Development (SFD) Newsletter (fourth quarter of 2011)</x:v>
      </x:c>
      <x:c r="G76" s="168" t="str">
        <x:v>Social Fund for Development (SFD)</x:v>
      </x:c>
      <x:c r="H76" s="168"/>
      <x:c r="I76" s="168"/>
      <x:c r="J76" s="168"/>
      <x:c r="K76" s="168" t="str">
        <x:v>CITATION_CARD</x:v>
      </x:c>
      <x:c r="L76" s="168" t="str">
        <x:v>النشرة الإخبارية للصندوق الاجتماعي للتنمية (الربع الرابع من 2011)</x:v>
      </x:c>
      <x:c r="M76" s="168"/>
      <x:c r="N76" s="168"/>
      <x:c r="O76" s="168"/>
      <x:c r="S76" t="str">
        <x:v>NOT_ASSESSED</x:v>
      </x:c>
      <x:c r="Y76" t="str">
        <x:v>الصندوق الاجتماعي للتنمية</x:v>
      </x:c>
      <x:c r="Z76" t="str">
        <x:v>Newsletter</x:v>
      </x:c>
      <x:c r="AA76" t="str">
        <x:v>نشرة دورية</x:v>
      </x:c>
    </x:row>
    <x:row r="77">
      <x:c r="A77" s="24" t="str">
        <x:v>SRC-SFD-Q1-2012-001</x:v>
      </x:c>
      <x:c r="B77" s="24" t="str">
        <x:v>https://www.sfd-yemen.org/uploads/issues/DESIGN%201st%20NL%202012%20-%20No-20121222-162100.pdf</x:v>
      </x:c>
      <x:c r="C77" s="24" t="str"/>
      <x:c r="D77" s="24" t="str">
        <x:v>DS-MFI-TEMPORAL-SPINE,DS-MFI-METRIC-COVERAGE</x:v>
      </x:c>
      <x:c r="E77" s="24" t="n">
        <x:v>2</x:v>
      </x:c>
      <x:c r="F77" s="168" t="str">
        <x:v>Social Fund for Development (SFD) Newsletter (first quarter of 2012)</x:v>
      </x:c>
      <x:c r="G77" s="168" t="str">
        <x:v>Social Fund for Development (SFD)</x:v>
      </x:c>
      <x:c r="H77" s="168"/>
      <x:c r="I77" s="168"/>
      <x:c r="J77" s="168"/>
      <x:c r="K77" s="168" t="str">
        <x:v>CITATION_CARD</x:v>
      </x:c>
      <x:c r="L77" s="168" t="str">
        <x:v>النشرة الإخبارية للصندوق الاجتماعي للتنمية (الربع الأول من 2012)</x:v>
      </x:c>
      <x:c r="M77" s="168"/>
      <x:c r="N77" s="168"/>
      <x:c r="O77" s="168"/>
      <x:c r="S77" t="str">
        <x:v>NOT_ASSESSED</x:v>
      </x:c>
      <x:c r="Y77" t="str">
        <x:v>الصندوق الاجتماعي للتنمية</x:v>
      </x:c>
      <x:c r="Z77" t="str">
        <x:v>Newsletter</x:v>
      </x:c>
      <x:c r="AA77" t="str">
        <x:v>نشرة دورية</x:v>
      </x:c>
    </x:row>
    <x:row r="78">
      <x:c r="A78" s="24" t="str">
        <x:v>SRC-SFD-Q4-2012-001</x:v>
      </x:c>
      <x:c r="B78" s="24" t="str">
        <x:v>https://www.sfd-yemen.org/uploads/issues/SFD_Nwesletter_en-6-20130422-060753.pdf</x:v>
      </x:c>
      <x:c r="C78" s="24" t="str"/>
      <x:c r="D78" s="24" t="str">
        <x:v>DS-MFI-YEAR-COVERAGE,DS-MFI-TEMPORAL-SPINE,DS-MFI-METRIC-COVERAGE,DS-MF-ORIGIN-CHRONOLOGY</x:v>
      </x:c>
      <x:c r="E78" s="24" t="n">
        <x:v>4</x:v>
      </x:c>
      <x:c r="F78" s="168" t="str">
        <x:v>Social Fund for Development (SFD) Newsletter (fourth quarter of 2012)</x:v>
      </x:c>
      <x:c r="G78" s="168" t="str">
        <x:v>Social Fund for Development (SFD)</x:v>
      </x:c>
      <x:c r="H78" s="168"/>
      <x:c r="I78" s="168"/>
      <x:c r="J78" s="168"/>
      <x:c r="K78" s="168" t="str">
        <x:v>CITATION_CARD</x:v>
      </x:c>
      <x:c r="L78" s="168" t="str">
        <x:v>النشرة الإخبارية للصندوق الاجتماعي للتنمية (الربع الرابع من 2012)</x:v>
      </x:c>
      <x:c r="M78" s="168"/>
      <x:c r="N78" s="168"/>
      <x:c r="O78" s="168"/>
      <x:c r="S78" t="str">
        <x:v>NOT_ASSESSED</x:v>
      </x:c>
      <x:c r="Y78" t="str">
        <x:v>الصندوق الاجتماعي للتنمية</x:v>
      </x:c>
      <x:c r="Z78" t="str">
        <x:v>Newsletter</x:v>
      </x:c>
      <x:c r="AA78" t="str">
        <x:v>نشرة دورية</x:v>
      </x:c>
    </x:row>
    <x:row r="79">
      <x:c r="A79" s="24" t="str">
        <x:v>SRC-SFD-Q2-2013-001</x:v>
      </x:c>
      <x:c r="B79" s="24" t="str">
        <x:v>https://sfd.sfd-yemen.org/uploads/issues/SFD_Nwesletter_en-62-2%20NEW2-20140312-132450.pdf</x:v>
      </x:c>
      <x:c r="C79" s="24" t="str"/>
      <x:c r="D79" s="24" t="str">
        <x:v>DS-MFI-YEAR-COVERAGE,DS-MFI-TEMPORAL-SPINE,DS-MFI-METRIC-COVERAGE</x:v>
      </x:c>
      <x:c r="E79" s="24" t="n">
        <x:v>3</x:v>
      </x:c>
      <x:c r="F79" s="168" t="str">
        <x:v>Social Fund for Development (SFD) Newsletter (second quarter of 2013)</x:v>
      </x:c>
      <x:c r="G79" s="168" t="str">
        <x:v>Social Fund for Development (SFD)</x:v>
      </x:c>
      <x:c r="H79" s="168"/>
      <x:c r="I79" s="168"/>
      <x:c r="J79" s="168"/>
      <x:c r="K79" s="168" t="str">
        <x:v>CITATION_CARD</x:v>
      </x:c>
      <x:c r="L79" s="168" t="str">
        <x:v>النشرة الإخبارية للصندوق الاجتماعي للتنمية (الربع الثاني من 2013)</x:v>
      </x:c>
      <x:c r="M79" s="168"/>
      <x:c r="N79" s="168"/>
      <x:c r="O79" s="168"/>
      <x:c r="S79" t="str">
        <x:v>NOT_ASSESSED</x:v>
      </x:c>
      <x:c r="Y79" t="str">
        <x:v>الصندوق الاجتماعي للتنمية</x:v>
      </x:c>
      <x:c r="Z79" t="str">
        <x:v>Newsletter</x:v>
      </x:c>
      <x:c r="AA79" t="str">
        <x:v>نشرة دورية</x:v>
      </x:c>
    </x:row>
    <x:row r="80">
      <x:c r="A80" s="24" t="str">
        <x:v>SRC-SFD-Q2-2014-001</x:v>
      </x:c>
      <x:c r="B80" s="24" t="str">
        <x:v>https://www.sfd-yemen.org/uploads/issues/SFD_Nwesletter_en66%20final-20141224-124427.pdf</x:v>
      </x:c>
      <x:c r="C80" s="24" t="str"/>
      <x:c r="D80" s="24" t="str">
        <x:v>DS-MFI-YEAR-COVERAGE,DS-MFI-TEMPORAL-SPINE,DS-MFI-METRIC-COVERAGE</x:v>
      </x:c>
      <x:c r="E80" s="24" t="n">
        <x:v>3</x:v>
      </x:c>
      <x:c r="F80" s="168" t="str">
        <x:v>Social Fund for Development (SFD) Newsletter (second quarter of 2014)</x:v>
      </x:c>
      <x:c r="G80" s="168" t="str">
        <x:v>Social Fund for Development (SFD)</x:v>
      </x:c>
      <x:c r="H80" s="168"/>
      <x:c r="I80" s="168"/>
      <x:c r="J80" s="168"/>
      <x:c r="K80" s="168" t="str">
        <x:v>CITATION_CARD</x:v>
      </x:c>
      <x:c r="L80" s="168" t="str">
        <x:v>النشرة الإخبارية للصندوق الاجتماعي للتنمية (الربع الثاني من 2014)</x:v>
      </x:c>
      <x:c r="M80" s="168"/>
      <x:c r="N80" s="168"/>
      <x:c r="O80" s="168"/>
      <x:c r="S80" t="str">
        <x:v>NOT_ASSESSED</x:v>
      </x:c>
      <x:c r="Y80" t="str">
        <x:v>الصندوق الاجتماعي للتنمية</x:v>
      </x:c>
      <x:c r="Z80" t="str">
        <x:v>Newsletter</x:v>
      </x:c>
      <x:c r="AA80" t="str">
        <x:v>نشرة دورية</x:v>
      </x:c>
    </x:row>
    <x:row r="81">
      <x:c r="A81" s="24" t="str">
        <x:v>SRC-SFD-Q1-2015-001</x:v>
      </x:c>
      <x:c r="B81" s="24" t="str">
        <x:v>https://www.sfd-yemen.org/uploads/issues/NL69E-20160208-100802.pdf</x:v>
      </x:c>
      <x:c r="C81" s="24" t="str"/>
      <x:c r="D81" s="24" t="str">
        <x:v>DS-MFI-YEAR-COVERAGE,DS-MFI-TEMPORAL-SPINE,DS-MFI-METRIC-COVERAGE,DS-MF-ORIGIN-CHRONOLOGY</x:v>
      </x:c>
      <x:c r="E81" s="24" t="n">
        <x:v>4</x:v>
      </x:c>
      <x:c r="F81" s="168" t="str">
        <x:v>Social Fund for Development (SFD) Newsletter (first quarter of 2015)</x:v>
      </x:c>
      <x:c r="G81" s="168" t="str">
        <x:v>Social Fund for Development (SFD)</x:v>
      </x:c>
      <x:c r="H81" s="168"/>
      <x:c r="I81" s="168"/>
      <x:c r="J81" s="168"/>
      <x:c r="K81" s="168" t="str">
        <x:v>CITATION_CARD</x:v>
      </x:c>
      <x:c r="L81" s="168" t="str">
        <x:v>النشرة الإخبارية للصندوق الاجتماعي للتنمية (الربع الأول من 2015)</x:v>
      </x:c>
      <x:c r="M81" s="168"/>
      <x:c r="N81" s="168"/>
      <x:c r="O81" s="168"/>
      <x:c r="S81" t="str">
        <x:v>NOT_ASSESSED</x:v>
      </x:c>
      <x:c r="Y81" t="str">
        <x:v>الصندوق الاجتماعي للتنمية</x:v>
      </x:c>
      <x:c r="Z81" t="str">
        <x:v>Newsletter</x:v>
      </x:c>
      <x:c r="AA81" t="str">
        <x:v>نشرة دورية</x:v>
      </x:c>
    </x:row>
    <x:row r="82">
      <x:c r="A82" s="24" t="str">
        <x:v>SRC-SFD-Q3-2015-001</x:v>
      </x:c>
      <x:c r="B82" s="24" t="str">
        <x:v>https://www.sfd-yemen.org/uploads/issues/71E-20161101-183137.pdf</x:v>
      </x:c>
      <x:c r="C82" s="24" t="str"/>
      <x:c r="D82" s="24" t="str">
        <x:v>DS-MFI-YEAR-COVERAGE,DS-MFI-TEMPORAL-SPINE,DS-MFI-METRIC-COVERAGE,DS-MF-ORIGIN-CHRONOLOGY</x:v>
      </x:c>
      <x:c r="E82" s="24" t="n">
        <x:v>4</x:v>
      </x:c>
      <x:c r="F82" s="168" t="str">
        <x:v>Social Fund for Development (SFD) Newsletter (third quarter of 2015)</x:v>
      </x:c>
      <x:c r="G82" s="168" t="str">
        <x:v>Social Fund for Development (SFD)</x:v>
      </x:c>
      <x:c r="H82" s="168"/>
      <x:c r="I82" s="168"/>
      <x:c r="J82" s="168"/>
      <x:c r="K82" s="168" t="str">
        <x:v>CITATION_CARD</x:v>
      </x:c>
      <x:c r="L82" s="168" t="str">
        <x:v>النشرة الإخبارية للصندوق الاجتماعي للتنمية (الربع الثالث من 2015)</x:v>
      </x:c>
      <x:c r="M82" s="168"/>
      <x:c r="N82" s="168"/>
      <x:c r="O82" s="168"/>
      <x:c r="S82" t="str">
        <x:v>NOT_ASSESSED</x:v>
      </x:c>
      <x:c r="Y82" t="str">
        <x:v>الصندوق الاجتماعي للتنمية</x:v>
      </x:c>
      <x:c r="Z82" t="str">
        <x:v>Newsletter</x:v>
      </x:c>
      <x:c r="AA82" t="str">
        <x:v>نشرة دورية</x:v>
      </x:c>
    </x:row>
    <x:row r="83">
      <x:c r="A83" s="24" t="str">
        <x:v>SRC-SFD-Q4-2015-001</x:v>
      </x:c>
      <x:c r="B83" s="24" t="str">
        <x:v>https://www.sfd-yemen.org/uploads/issues/72E%282%29-20170212-184036.pdf</x:v>
      </x:c>
      <x:c r="C83" s="24" t="str"/>
      <x:c r="D83" s="24" t="str">
        <x:v>DS-MFI-YEAR-COVERAGE,DS-MFI-TEMPORAL-SPINE,DS-MFI-METRIC-COVERAGE,DS-MF-ORIGIN-CHRONOLOGY,DS-CONTRADICTIONS</x:v>
      </x:c>
      <x:c r="E83" s="24" t="n">
        <x:v>5</x:v>
      </x:c>
      <x:c r="F83" s="168" t="str">
        <x:v>Social Fund for Development (SFD) Newsletter (fourth quarter of 2015)</x:v>
      </x:c>
      <x:c r="G83" s="168" t="str">
        <x:v>Social Fund for Development (SFD)</x:v>
      </x:c>
      <x:c r="H83" s="168"/>
      <x:c r="I83" s="168"/>
      <x:c r="J83" s="168"/>
      <x:c r="K83" s="168" t="str">
        <x:v>CITATION_CARD</x:v>
      </x:c>
      <x:c r="L83" s="168" t="str">
        <x:v>النشرة الإخبارية للصندوق الاجتماعي للتنمية (الربع الرابع من 2015)</x:v>
      </x:c>
      <x:c r="M83" s="168"/>
      <x:c r="N83" s="168"/>
      <x:c r="O83" s="168"/>
      <x:c r="S83" t="str">
        <x:v>NOT_ASSESSED</x:v>
      </x:c>
      <x:c r="Y83" t="str">
        <x:v>الصندوق الاجتماعي للتنمية</x:v>
      </x:c>
      <x:c r="Z83" t="str">
        <x:v>Newsletter</x:v>
      </x:c>
      <x:c r="AA83" t="str">
        <x:v>نشرة دورية</x:v>
      </x:c>
    </x:row>
    <x:row r="84">
      <x:c r="A84" s="24" t="str">
        <x:v>SRC-SFD-Q3-2016-001</x:v>
      </x:c>
      <x:c r="B84" s="24" t="str">
        <x:v>https://www.sfd-yemen.org/uploads/issues/3rd_2016-en-Final-20170322-184916.pdf</x:v>
      </x:c>
      <x:c r="C84" s="24" t="str"/>
      <x:c r="D84" s="24" t="str">
        <x:v>DS-MFI-YEAR-COVERAGE,DS-MFI-TEMPORAL-SPINE,DS-MFI-METRIC-COVERAGE</x:v>
      </x:c>
      <x:c r="E84" s="24" t="n">
        <x:v>3</x:v>
      </x:c>
      <x:c r="F84" s="168" t="str">
        <x:v>Social Fund for Development (SFD) Newsletter (third quarter of 2016)</x:v>
      </x:c>
      <x:c r="G84" s="168" t="str">
        <x:v>Social Fund for Development (SFD)</x:v>
      </x:c>
      <x:c r="H84" s="168"/>
      <x:c r="I84" s="168"/>
      <x:c r="J84" s="168"/>
      <x:c r="K84" s="168" t="str">
        <x:v>CITATION_CARD</x:v>
      </x:c>
      <x:c r="L84" s="168" t="str">
        <x:v>النشرة الإخبارية للصندوق الاجتماعي للتنمية (الربع الثالث من 2016)</x:v>
      </x:c>
      <x:c r="M84" s="168"/>
      <x:c r="N84" s="168"/>
      <x:c r="O84" s="168"/>
      <x:c r="S84" t="str">
        <x:v>NOT_ASSESSED</x:v>
      </x:c>
      <x:c r="Y84" t="str">
        <x:v>الصندوق الاجتماعي للتنمية</x:v>
      </x:c>
      <x:c r="Z84" t="str">
        <x:v>Newsletter</x:v>
      </x:c>
      <x:c r="AA84" t="str">
        <x:v>نشرة دورية</x:v>
      </x:c>
    </x:row>
    <x:row r="85">
      <x:c r="A85" s="24" t="str">
        <x:v>SRC-SFD-Q4-2017-001</x:v>
      </x:c>
      <x:c r="B85" s="24" t="str">
        <x:v>https://www.sfd-yemen.org/uploads/issues/Newsletter%20Eng%204th-2017%20%20-20-4-18-20190129-214133.pdf</x:v>
      </x:c>
      <x:c r="C85" s="24" t="str"/>
      <x:c r="D85" s="24" t="str">
        <x:v>DS-MFI-YEAR-COVERAGE,DS-MFI-TEMPORAL-SPINE,DS-MFI-METRIC-COVERAGE</x:v>
      </x:c>
      <x:c r="E85" s="24" t="n">
        <x:v>3</x:v>
      </x:c>
      <x:c r="F85" s="168" t="str">
        <x:v>Social Fund for Development (SFD) Newsletter (fourth quarter of 2017)</x:v>
      </x:c>
      <x:c r="G85" s="168" t="str">
        <x:v>Social Fund for Development (SFD)</x:v>
      </x:c>
      <x:c r="H85" s="168"/>
      <x:c r="I85" s="168"/>
      <x:c r="J85" s="168"/>
      <x:c r="K85" s="168" t="str">
        <x:v>CITATION_CARD</x:v>
      </x:c>
      <x:c r="L85" s="168" t="str">
        <x:v>النشرة الإخبارية للصندوق الاجتماعي للتنمية (الربع الرابع من 2017)</x:v>
      </x:c>
      <x:c r="M85" s="168"/>
      <x:c r="N85" s="168"/>
      <x:c r="O85" s="168"/>
      <x:c r="S85" t="str">
        <x:v>NOT_ASSESSED</x:v>
      </x:c>
      <x:c r="Y85" t="str">
        <x:v>الصندوق الاجتماعي للتنمية</x:v>
      </x:c>
      <x:c r="Z85" t="str">
        <x:v>Newsletter</x:v>
      </x:c>
      <x:c r="AA85" t="str">
        <x:v>نشرة دورية</x:v>
      </x:c>
    </x:row>
    <x:row r="86">
      <x:c r="A86" s="24" t="str">
        <x:v>SRC-SFD-Q4-2018-001</x:v>
      </x:c>
      <x:c r="B86" s="24" t="str">
        <x:v>https://www.sfd-yemen.org/uploads/issues/EnglishNewsletter4thNL2018-20191202-201206.pdf</x:v>
      </x:c>
      <x:c r="C86" s="24" t="str"/>
      <x:c r="D86" s="24" t="str">
        <x:v>DS-MFI-YEAR-COVERAGE,DS-MFI-TEMPORAL-SPINE,DS-MFI-METRIC-COVERAGE,DS-CONTRADICTIONS</x:v>
      </x:c>
      <x:c r="E86" s="24" t="n">
        <x:v>4</x:v>
      </x:c>
      <x:c r="F86" s="168" t="str">
        <x:v>Social Fund for Development (SFD) Newsletter (fourth quarter of 2018)</x:v>
      </x:c>
      <x:c r="G86" s="168" t="str">
        <x:v>Social Fund for Development (SFD)</x:v>
      </x:c>
      <x:c r="H86" s="168"/>
      <x:c r="I86" s="168"/>
      <x:c r="J86" s="168"/>
      <x:c r="K86" s="168" t="str">
        <x:v>CITATION_CARD</x:v>
      </x:c>
      <x:c r="L86" s="168" t="str">
        <x:v>النشرة الإخبارية للصندوق الاجتماعي للتنمية (الربع الرابع من 2018)</x:v>
      </x:c>
      <x:c r="M86" s="168"/>
      <x:c r="N86" s="168"/>
      <x:c r="O86" s="168"/>
      <x:c r="S86" t="str">
        <x:v>NOT_ASSESSED</x:v>
      </x:c>
      <x:c r="Y86" t="str">
        <x:v>الصندوق الاجتماعي للتنمية</x:v>
      </x:c>
      <x:c r="Z86" t="str">
        <x:v>Newsletter</x:v>
      </x:c>
      <x:c r="AA86" t="str">
        <x:v>نشرة دورية</x:v>
      </x:c>
    </x:row>
    <x:row r="87">
      <x:c r="A87" s="24" t="str">
        <x:v>SRC-SFD-Q1-2019-001</x:v>
      </x:c>
      <x:c r="B87" s="24" t="str">
        <x:v>https://www.sfd-yemen.org/uploads/issues/1st%20NL%202019-20200123-102323.pdf</x:v>
      </x:c>
      <x:c r="C87" s="24" t="str"/>
      <x:c r="D87" s="24" t="str">
        <x:v>DS-MFI-YEAR-COVERAGE,DS-MFI-TEMPORAL-SPINE,DS-MFI-METRIC-COVERAGE</x:v>
      </x:c>
      <x:c r="E87" s="24" t="n">
        <x:v>3</x:v>
      </x:c>
      <x:c r="F87" s="168" t="str">
        <x:v>Social Fund for Development (SFD) Newsletter (first quarter of 2019)</x:v>
      </x:c>
      <x:c r="G87" s="168" t="str">
        <x:v>Social Fund for Development (SFD)</x:v>
      </x:c>
      <x:c r="H87" s="168"/>
      <x:c r="I87" s="168"/>
      <x:c r="J87" s="168"/>
      <x:c r="K87" s="168" t="str">
        <x:v>CITATION_CARD</x:v>
      </x:c>
      <x:c r="L87" s="168" t="str">
        <x:v>النشرة الإخبارية للصندوق الاجتماعي للتنمية (الربع الأول من 2019)</x:v>
      </x:c>
      <x:c r="M87" s="168"/>
      <x:c r="N87" s="168"/>
      <x:c r="O87" s="168"/>
      <x:c r="S87" t="str">
        <x:v>NOT_ASSESSED</x:v>
      </x:c>
      <x:c r="Y87" t="str">
        <x:v>الصندوق الاجتماعي للتنمية</x:v>
      </x:c>
      <x:c r="Z87" t="str">
        <x:v>Newsletter</x:v>
      </x:c>
      <x:c r="AA87" t="str">
        <x:v>نشرة دورية</x:v>
      </x:c>
    </x:row>
    <x:row r="88">
      <x:c r="A88" s="24" t="str">
        <x:v>SRC-SFD-Q4-2020-001</x:v>
      </x:c>
      <x:c r="B88" s="24" t="str">
        <x:v>https://sfd-yemen.org/uploads/issues/4th%20NL%202020-20211125-090031.pdf</x:v>
      </x:c>
      <x:c r="C88" s="24" t="str"/>
      <x:c r="D88" s="24" t="str">
        <x:v>DS-MFI-YEAR-COVERAGE,DS-MFI-TEMPORAL-SPINE,DS-MFI-METRIC-COVERAGE</x:v>
      </x:c>
      <x:c r="E88" s="24" t="n">
        <x:v>3</x:v>
      </x:c>
      <x:c r="F88" s="168" t="str">
        <x:v>Social Fund for Development (SFD) Newsletter (fourth quarter of 2020)</x:v>
      </x:c>
      <x:c r="G88" s="168" t="str">
        <x:v>Social Fund for Development (SFD)</x:v>
      </x:c>
      <x:c r="H88" s="168"/>
      <x:c r="I88" s="168"/>
      <x:c r="J88" s="168"/>
      <x:c r="K88" s="168" t="str">
        <x:v>CITATION_CARD</x:v>
      </x:c>
      <x:c r="L88" s="168" t="str">
        <x:v>النشرة الإخبارية للصندوق الاجتماعي للتنمية (الربع الرابع من 2020)</x:v>
      </x:c>
      <x:c r="M88" s="168"/>
      <x:c r="N88" s="168"/>
      <x:c r="O88" s="168"/>
      <x:c r="S88" t="str">
        <x:v>NOT_ASSESSED</x:v>
      </x:c>
      <x:c r="Y88" t="str">
        <x:v>الصندوق الاجتماعي للتنمية</x:v>
      </x:c>
      <x:c r="Z88" t="str">
        <x:v>Newsletter</x:v>
      </x:c>
      <x:c r="AA88" t="str">
        <x:v>نشرة دورية</x:v>
      </x:c>
    </x:row>
    <x:row r="89">
      <x:c r="A89" s="24" t="str">
        <x:v>SRC-WB-FINDEX-003</x:v>
      </x:c>
      <x:c r="B89" s="24" t="str">
        <x:v>https://microdata.worldbank.org/catalog/1096/study-description</x:v>
      </x:c>
      <x:c r="C89" s="24" t="str"/>
      <x:c r="D89" s="24" t="str">
        <x:v>DS-FINDEX-PUBLIC-HISTORY,DS-FINDEX-HISTORY-CROSSWALK</x:v>
      </x:c>
      <x:c r="E89" s="24" t="n">
        <x:v>1</x:v>
      </x:c>
      <x:c r="F89" s="168" t="str">
        <x:v>Global Financial Inclusion (Global Findex) Database 2011: Yemen (2011 survey)</x:v>
      </x:c>
      <x:c r="G89" s="168" t="str">
        <x:v>World Bank</x:v>
      </x:c>
      <x:c r="H89" s="168"/>
      <x:c r="I89" s="168"/>
      <x:c r="J89" s="168"/>
      <x:c r="K89" s="168" t="str">
        <x:v>CITATION_CARD</x:v>
      </x:c>
      <x:c r="L89" s="168" t="str">
        <x:v>قاعدة بيانات المؤشر العالمي للشمول المالي (Global Findex) لعام 2011: اليمن (مسح 2011)</x:v>
      </x:c>
      <x:c r="M89" s="168"/>
      <x:c r="N89" s="168"/>
      <x:c r="O89" s="168"/>
      <x:c r="S89" t="str">
        <x:v>NOT_ASSESSED</x:v>
      </x:c>
      <x:c r="Y89" t="str">
        <x:v>البنك الدولي</x:v>
      </x:c>
      <x:c r="Z89" t="str">
        <x:v>Survey dataset or indicator</x:v>
      </x:c>
      <x:c r="AA89" t="str">
        <x:v>مسح أو مؤشر</x:v>
      </x:c>
      <x:c r="AB89" t="str">
        <x:v>2015-04-03</x:v>
      </x:c>
    </x:row>
    <x:row r="90">
      <x:c r="A90" s="24" t="str">
        <x:v>SRC-WB-FINDEX-2014-001</x:v>
      </x:c>
      <x:c r="B90" s="24" t="str">
        <x:v>https://microdata.worldbank.org/catalog/2513</x:v>
      </x:c>
      <x:c r="C90" s="24" t="str"/>
      <x:c r="D90" s="24" t="str">
        <x:v>DS-FINDEX-PUBLIC-HISTORY,DS-FINDEX-HISTORY-CROSSWALK,DS-DEMAND-VINTAGE-LENS</x:v>
      </x:c>
      <x:c r="E90" s="24" t="n">
        <x:v>1</x:v>
      </x:c>
      <x:c r="F90" s="168" t="str">
        <x:v>Global Financial Inclusion (Global Findex) Database 2014: Yemen (2014 survey)</x:v>
      </x:c>
      <x:c r="G90" s="168" t="str">
        <x:v>World Bank</x:v>
      </x:c>
      <x:c r="H90" s="168"/>
      <x:c r="I90" s="168"/>
      <x:c r="J90" s="168"/>
      <x:c r="K90" s="168" t="str">
        <x:v>CITATION_CARD</x:v>
      </x:c>
      <x:c r="L90" s="168" t="str">
        <x:v>قاعدة بيانات المؤشر العالمي للشمول المالي (Global Findex) لعام 2014: اليمن (مسح 2014)</x:v>
      </x:c>
      <x:c r="M90" s="168"/>
      <x:c r="N90" s="168"/>
      <x:c r="O90" s="168"/>
      <x:c r="S90" t="str">
        <x:v>NOT_ASSESSED</x:v>
      </x:c>
      <x:c r="Y90" t="str">
        <x:v>البنك الدولي</x:v>
      </x:c>
      <x:c r="Z90" t="str">
        <x:v>Survey dataset or indicator</x:v>
      </x:c>
      <x:c r="AA90" t="str">
        <x:v>مسح أو مؤشر</x:v>
      </x:c>
      <x:c r="AB90" t="str">
        <x:v>2015-08-27</x:v>
      </x:c>
    </x:row>
    <x:row r="91">
      <x:c r="A91" s="24" t="str">
        <x:v>SRC-WB-FINDEX-LDB-2015-001</x:v>
      </x:c>
      <x:c r="B91" s="24" t="str">
        <x:v>https://documents1.worldbank.org/curated/en/621891468329460041/pdf/956790PUB097810til0Apr170at011300am.pdf</x:v>
      </x:c>
      <x:c r="C91" s="24" t="str">
        <x:v>["https://thedocs.worldbank.org/en/doc/215611483565355628-0050022017/original/LDB2015final.pdf"]</x:v>
      </x:c>
      <x:c r="D91" s="24" t="str">
        <x:v>DS-FINDEX-PUBLIC-HISTORY,DS-FINDEX-HISTORY-CROSSWALK,DS-DEMAND-VINTAGE-LENS</x:v>
      </x:c>
      <x:c r="E91" s="24" t="n">
        <x:v>42</x:v>
      </x:c>
      <x:c r="F91" s="168" t="str">
        <x:v>The Little Data Book on Financial Inclusion 2015 (Yemen data for 2014, with selected 2011 comparators)</x:v>
      </x:c>
      <x:c r="G91" s="168" t="str">
        <x:v>World Bank</x:v>
      </x:c>
      <x:c r="H91" s="168"/>
      <x:c r="I91" s="168"/>
      <x:c r="J91" s="168"/>
      <x:c r="K91" s="168" t="str">
        <x:v>CITATION_CARD</x:v>
      </x:c>
      <x:c r="L91" s="168" t="str">
        <x:v>كتيّب البيانات الموجز عن الشمول المالي 2015 (The Little Data Book on Financial Inclusion): بيانات اليمن لعام 2014 مع مقارنات مختارة لعام 2011</x:v>
      </x:c>
      <x:c r="M91" s="168"/>
      <x:c r="N91" s="168"/>
      <x:c r="O91" s="168"/>
      <x:c r="S91" t="str">
        <x:v>NOT_ASSESSED</x:v>
      </x:c>
      <x:c r="Y91" t="str">
        <x:v>البنك الدولي</x:v>
      </x:c>
      <x:c r="Z91" t="str">
        <x:v>Survey dataset or indicator</x:v>
      </x:c>
      <x:c r="AA91" t="str">
        <x:v>مسح أو مؤشر</x:v>
      </x:c>
      <x:c r="AB91" t="str">
        <x:v>2015</x:v>
      </x:c>
    </x:row>
    <x:row r="92">
      <x:c r="A92" s="24" t="str">
        <x:v>SRC-WB-NFID-RFX-2026-001</x:v>
      </x:c>
      <x:c r="B92" s="24" t="str">
        <x:v>https://www.worldbank.org/en/about/corporate-procurement/business-opportunities/administrative-procurement</x:v>
      </x:c>
      <x:c r="C92" s="24"/>
      <x:c r="D92" s="24" t="str">
        <x:v>DS-NFID-EOI-ALIGNMENT</x:v>
      </x:c>
      <x:c r="E92" s="24" t="n">
        <x:v>2</x:v>
      </x:c>
      <x:c r="F92" s="168"/>
      <x:c r="G92" s="168"/>
      <x:c r="H92" s="168"/>
      <x:c r="I92" s="168"/>
      <x:c r="J92" s="168"/>
      <x:c r="K92" s="168" t="str">
        <x:v>LOCATOR_ONLY</x:v>
      </x:c>
      <x:c r="L92" s="168"/>
      <x:c r="M92" s="168"/>
      <x:c r="N92" s="168"/>
      <x:c r="O92" s="168"/>
      <x:c r="S92" t="str">
        <x:v>NOT_ASSESSED</x:v>
      </x:c>
    </x:row>
    <x:row r="93">
      <x:c r="A93" s="24" t="str">
        <x:v>SRC-WB-FMIIP-ISR2-2026-001</x:v>
      </x:c>
      <x:c r="B93" s="24" t="str">
        <x:v>https://documents.worldbank.org/en/publication/documents-reports/documentdetail/099040826144025755</x:v>
      </x:c>
      <x:c r="C93" s="24" t="str"/>
      <x:c r="D93" s="24" t="str">
        <x:v>DS-NFID-EOI-ALIGNMENT,DS-REFORM-EVENTS,DS-FMIIP-IMPLEMENTATION-2026</x:v>
      </x:c>
      <x:c r="E93" s="24" t="n">
        <x:v>1</x:v>
      </x:c>
      <x:c r="F93" s="168" t="str">
        <x:v>Yemen Financial Market Infrastructure and Inclusion Project (FMIIP): Implementation Status and Results Report, sequence 2 (8 April 2026)</x:v>
      </x:c>
      <x:c r="G93" s="168" t="str">
        <x:v>World Bank</x:v>
      </x:c>
      <x:c r="H93" s="168" t="str">
        <x:v>Programmes and projects in Yemen</x:v>
      </x:c>
      <x:c r="I93" s="168" t="str">
        <x:v>Provides a dated public snapshot of FMIIP's implementation status, helping distinguish reported implementation progress from the project's end targets and from later operational outcomes.</x:v>
      </x:c>
      <x:c r="J93" s="168" t="str">
        <x:v>The existence of an implementation report, rating or milestone does not by itself prove that the fast payment system (FPS) or the real-time gross settlement (RTGS) system is fully live, reliable, widely used or delivering inclusion outcomes.</x:v>
      </x:c>
      <x:c r="K93" s="168" t="str">
        <x:v>FULL_PUBLIC_CARD</x:v>
      </x:c>
      <x:c r="L93" s="168" t="str">
        <x:v>مشروع البنية التحتية للأسواق المالية والشمول المالي في اليمن (FMIIP): تقرير حالة التنفيذ والنتائج، التسلسل 2 (8 أبريل 2026)</x:v>
      </x:c>
      <x:c r="M93" s="168" t="str">
        <x:v>البرامج والمشروعات في اليمن</x:v>
      </x:c>
      <x:c r="N93"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3"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3" t="str">
        <x:v>NOT_ASSESSED</x:v>
      </x:c>
      <x:c r="Y93" t="str">
        <x:v>البنك الدولي</x:v>
      </x:c>
      <x:c r="Z93" t="str">
        <x:v>Project document</x:v>
      </x:c>
      <x:c r="AA93" t="str">
        <x:v>وثيقة مشروع</x:v>
      </x:c>
      <x:c r="AB93" t="str">
        <x:v>2026-04-08</x:v>
      </x:c>
    </x:row>
    <x:row r="94">
      <x:c r="A94" s="24" t="str">
        <x:v>SRC-CBY-HIST-METHOD-001</x:v>
      </x:c>
      <x:c r="B94" s="24" t="str">
        <x:v>https://english.cby-ye.com/files/615d821b9d52b.pdf</x:v>
      </x:c>
      <x:c r="C94" s="24" t="str"/>
      <x:c r="D94" s="24" t="str">
        <x:v>DS-K04-CBY-CORPUS, DS-K04-CBY-OBJECTS</x:v>
      </x:c>
      <x:c r="E94" s="24" t="n">
        <x:v>3</x:v>
      </x:c>
      <x:c r="F94" s="168" t="str">
        <x:v>Quarterly Bulletin, Issue No. 1 (December 2020)</x:v>
      </x:c>
      <x:c r="G94" s="168" t="str">
        <x:v>Central Bank of Yemen — Aden</x:v>
      </x:c>
      <x:c r="H94" s="168"/>
      <x:c r="I94" s="168"/>
      <x:c r="J94" s="168"/>
      <x:c r="K94" s="168" t="str">
        <x:v>CITATION_CARD</x:v>
      </x:c>
      <x:c r="L94" s="168" t="str">
        <x:v>النشرة الفصلية، العدد 1 (ديسمبر 2020)</x:v>
      </x:c>
      <x:c r="M94" s="168"/>
      <x:c r="N94" s="168"/>
      <x:c r="O94" s="168"/>
      <x:c r="S94" t="str">
        <x:v>NOT_ASSESSED</x:v>
      </x:c>
      <x:c r="V94" t="str">
        <x:v>2026-09-26</x:v>
      </x:c>
      <x:c r="Y94" t="str">
        <x:v>البنك المركزي اليمني – عدن</x:v>
      </x:c>
      <x:c r="Z94" t="str">
        <x:v>Periodic statistical report</x:v>
      </x:c>
      <x:c r="AA94" t="str">
        <x:v>تقرير إحصائي دوري</x:v>
      </x:c>
      <x:c r="AB94" t="str">
        <x:v>2020-12</x:v>
      </x:c>
    </x:row>
    <x:row r="95">
      <x:c r="A95" s="24" t="str">
        <x:v>SRC-CBY-AR2015-HIST-001</x:v>
      </x:c>
      <x:c r="B95" s="24" t="str">
        <x:v>http://centralbank.gov.ye/App_Upload/Ann_rep2015AR.pdf</x:v>
      </x:c>
      <x:c r="C95" s="24" t="str"/>
      <x:c r="D95" s="24" t="str">
        <x:v>DS-K04-CBY-CORPUS, DS-K04-CBY-OBJECTS</x:v>
      </x:c>
      <x:c r="E95" s="24" t="n">
        <x:v>1</x:v>
      </x:c>
      <x:c r="F95" s="168"/>
      <x:c r="G95" s="168"/>
      <x:c r="H95" s="168"/>
      <x:c r="I95" s="168"/>
      <x:c r="J95" s="168"/>
      <x:c r="K95" s="168" t="str">
        <x:v>LOCATOR_ONLY</x:v>
      </x:c>
      <x:c r="L95" s="168"/>
      <x:c r="M95" s="168"/>
      <x:c r="N95" s="168"/>
      <x:c r="O95" s="168"/>
      <x:c r="S95" t="str">
        <x:v>NOT_ASSESSED</x:v>
      </x:c>
    </x:row>
    <x:row r="96">
      <x:c r="A96" s="24" t="str">
        <x:v>SRC-CBY-SANAA-C12-2024</x:v>
      </x:c>
      <x:c r="B96" s="24" t="str">
        <x:v>https://yemeneco.org/wp-content/uploads/2024/03/تعميم-رقم-12-خدمات-البنوك-والمؤسسات-المالية-العاملة-في-خدمات-الحوالات-الخارجية.pdf</x:v>
      </x:c>
      <x:c r="C96" s="24" t="str"/>
      <x:c r="D96" s="24" t="str">
        <x:v>DS-K04-CBY-CORPUS, DS-K04-CBY-OBJECTS</x:v>
      </x:c>
      <x:c r="E96" s="24" t="n">
        <x:v>1</x:v>
      </x:c>
      <x:c r="F96" s="168"/>
      <x:c r="G96" s="168"/>
      <x:c r="H96" s="168"/>
      <x:c r="I96" s="168"/>
      <x:c r="J96" s="168"/>
      <x:c r="K96" s="168" t="str">
        <x:v>LOCATOR_ONLY</x:v>
      </x:c>
      <x:c r="L96" s="168"/>
      <x:c r="M96" s="168"/>
      <x:c r="N96" s="168"/>
      <x:c r="O96" s="168"/>
      <x:c r="S96" t="str">
        <x:v>NOT_ASSESSED</x:v>
      </x:c>
    </x:row>
    <x:row r="97">
      <x:c r="A97" s="24" t="str">
        <x:v>SRC-CBY-SANAA-C14-2024</x:v>
      </x:c>
      <x:c r="B97" s="24" t="str">
        <x:v>https://www.ecoi.net/en/file/local/2117585/n2425953.pdf</x:v>
      </x:c>
      <x:c r="C97" s="24" t="str"/>
      <x:c r="D97" s="24" t="str">
        <x:v>DS-K04-CBY-CORPUS, DS-K04-CBY-OBJECTS</x:v>
      </x:c>
      <x:c r="E97" s="24" t="n">
        <x:v>1</x:v>
      </x:c>
      <x:c r="F97" s="168"/>
      <x:c r="G97" s="168"/>
      <x:c r="H97" s="168"/>
      <x:c r="I97" s="168"/>
      <x:c r="J97" s="168"/>
      <x:c r="K97" s="168" t="str">
        <x:v>LOCATOR_ONLY</x:v>
      </x:c>
      <x:c r="L97" s="168"/>
      <x:c r="M97" s="168"/>
      <x:c r="N97" s="168"/>
      <x:c r="O97" s="168"/>
      <x:c r="S97" t="str">
        <x:v>NOT_ASSESSED</x:v>
      </x:c>
    </x:row>
    <x:row r="98">
      <x:c r="A98" s="24" t="str">
        <x:v>SRC-CBY-SANAA-CURR-2024</x:v>
      </x:c>
      <x:c r="B98" s="24" t="str">
        <x:v>https://www.saba.ye/ar/news3337222.htm</x:v>
      </x:c>
      <x:c r="C98" s="24" t="str">
        <x:v>["https://centralbank.gov.ye/upldImgAndFile/file/urgent.pdf"]</x:v>
      </x:c>
      <x:c r="D98" s="24" t="str">
        <x:v>DS-K04-CBY-CORPUS, DS-K04-CBY-OBJECTS</x:v>
      </x:c>
      <x:c r="E98" s="24" t="n">
        <x:v>1</x:v>
      </x:c>
      <x:c r="F98" s="168" t="str">
        <x:v>News item concerning the Central Bank of Yemen — Sana'a (2024)</x:v>
      </x:c>
      <x:c r="G98" s="168" t="str">
        <x:v>Saba News Agency (saba.ye)</x:v>
      </x:c>
      <x:c r="H98" s="168"/>
      <x:c r="I98" s="168"/>
      <x:c r="J98" s="168"/>
      <x:c r="K98" s="168" t="str">
        <x:v>CITATION_CARD</x:v>
      </x:c>
      <x:c r="L98" s="168" t="str">
        <x:v>خبر يتعلق بالبنك المركزي اليمني – صنعاء (2024)</x:v>
      </x:c>
      <x:c r="M98" s="168"/>
      <x:c r="N98" s="168"/>
      <x:c r="O98" s="168"/>
      <x:c r="S98" t="str">
        <x:v>NOT_ASSESSED</x:v>
      </x:c>
      <x:c r="V98" t="str">
        <x:v>2026-09-26</x:v>
      </x:c>
      <x:c r="Y98" t="str">
        <x:v>وكالة الأنباء اليمنية سبأ (saba.ye)</x:v>
      </x:c>
      <x:c r="Z98" t="str">
        <x:v>Web page</x:v>
      </x:c>
      <x:c r="AA98" t="str">
        <x:v>صفحة إلكترونية</x:v>
      </x:c>
    </x:row>
    <x:row r="99">
      <x:c r="A99" s="24" t="str">
        <x:v>SRC-IMF-YEM-AIV-2025-2026</x:v>
      </x:c>
      <x:c r="B99" s="24" t="str">
        <x:v>https://www.imf.org/-/media/files/publications/cr/2026/english/1yemea2026001-source-pdf.pdf</x:v>
      </x:c>
      <x:c r="C99" s="24" t="str"/>
      <x:c r="D99" s="24" t="str">
        <x:v>DS-K04-REMIT-METHOD-RECON,DS-K04-REMIT-SOURCE-LENSES,DS-K04-V034-RECON-GATE</x:v>
      </x:c>
      <x:c r="E99" s="24" t="n">
        <x:v>8</x:v>
      </x:c>
      <x:c r="F99" s="168" t="str">
        <x:v>Republic of Yemen: 2025 Article IV Consultation (IMF Country Report No. 26/80)</x:v>
      </x:c>
      <x:c r="G99" s="168" t="str">
        <x:v>International Monetary Fund</x:v>
      </x:c>
      <x:c r="H99" s="168" t="str">
        <x:v>Yemen’s economy and policy context</x:v>
      </x:c>
      <x:c r="I99" s="168" t="str">
        <x:v>Provides the most recent IMF Article IV macro-financial framework, external-sector and banking context, and methodological information used to interpret remittances, reserves, banking conditions and reform context.</x:v>
      </x:c>
      <x:c r="J99" s="168" t="str">
        <x:v>The IMF macro framework and aggregates are not population financial-inclusion measures and should not be treated as whole-Yemen prevalence or as evidence that reform outcomes have been achieved.</x:v>
      </x:c>
      <x:c r="K99" s="168" t="str">
        <x:v>FULL_PUBLIC_CARD</x:v>
      </x:c>
      <x:c r="L99" s="168" t="str">
        <x:v>الجمهورية اليمنية: مشاورات المادة الرابعة لعام 2025 (تقرير صندوق النقد الدولي القُطري رقم 26/80)</x:v>
      </x:c>
      <x:c r="M99" s="168" t="str">
        <x:v>السياق الاقتصادي والسياساتي في اليمن</x:v>
      </x:c>
      <x:c r="N99"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99"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99" t="str">
        <x:v>NOT_ASSESSED</x:v>
      </x:c>
      <x:c r="Y99" t="str">
        <x:v>صندوق النقد الدولي</x:v>
      </x:c>
      <x:c r="Z99" t="str">
        <x:v>Staff report</x:v>
      </x:c>
      <x:c r="AA99" t="str">
        <x:v>تقرير خبراء</x:v>
      </x:c>
    </x:row>
    <x:row r="100">
      <x:c r="A100" s="24" t="str">
        <x:v>SRC-IMF-YEM-EGDDS-VAL-1996</x:v>
      </x:c>
      <x:c r="B100" s="24" t="str">
        <x:v>https://dsbb.imf.org/e-gdds/dqaf-base/country/YEM/category/AAB00</x:v>
      </x:c>
      <x:c r="C100" s="24" t="str"/>
      <x:c r="D100" s="24" t="str">
        <x:v>DS-K04-BANK-VALUATION-RECON</x:v>
      </x:c>
      <x:c r="E100" s="24" t="n">
        <x:v>1</x:v>
      </x:c>
      <x:c r="F100" s="168" t="str">
        <x:v>Yemen: e-GDDS metadata on market-rate valuation of foreign-currency accounts (historical reference 1996)</x:v>
      </x:c>
      <x:c r="G100" s="168" t="str">
        <x:v>International Monetary Fund</x:v>
      </x:c>
      <x:c r="H100" s="168"/>
      <x:c r="I100" s="168"/>
      <x:c r="J100" s="168"/>
      <x:c r="K100" s="168" t="str">
        <x:v>CITATION_CARD</x:v>
      </x:c>
      <x:c r="L100" s="168" t="str">
        <x:v>اليمن: البيانات الوصفية ضمن النظام العام المعزَّز لنشر البيانات (e-GDDS) بشأن تقييم حسابات العملات الأجنبية بسعر السوق (مرجع تاريخي: 1996)</x:v>
      </x:c>
      <x:c r="M100" s="168"/>
      <x:c r="N100" s="168"/>
      <x:c r="O100" s="168"/>
      <x:c r="S100" t="str">
        <x:v>NOT_ASSESSED</x:v>
      </x:c>
      <x:c r="Y100" t="str">
        <x:v>صندوق النقد الدولي</x:v>
      </x:c>
      <x:c r="Z100" t="str">
        <x:v>Method or standard</x:v>
      </x:c>
      <x:c r="AA100" t="str">
        <x:v>منهج أو معيار</x:v>
      </x:c>
    </x:row>
    <x:row r="101">
      <x:c r="A101" s="24" t="str">
        <x:v>SRC-WB-WDI-REMIT-YEM-CURRENT</x:v>
      </x:c>
      <x:c r="B101" s="24" t="str">
        <x:v>https://data.worldbank.org/indicator/BX.TRF.PWKR.CD.DT?locations=YE</x:v>
      </x:c>
      <x:c r="C101" s="24" t="str"/>
      <x:c r="D101" s="24" t="str">
        <x:v>DS-K04-REMIT-SOURCE-LENSES,DS-K04-PUBLICATION-BENCHMARK,DS-K04-REMIT-REGIMES</x:v>
      </x:c>
      <x:c r="E101" s="24" t="n">
        <x:v>2</x:v>
      </x:c>
      <x:c r="F101" s="168" t="str">
        <x:v>World Development Indicators: personal remittances received, Yemen (public data page reviewed 10 September 2026)</x:v>
      </x:c>
      <x:c r="G101" s="168" t="str">
        <x:v>World Bank</x:v>
      </x:c>
      <x:c r="H101" s="168"/>
      <x:c r="I101" s="168"/>
      <x:c r="J101" s="168"/>
      <x:c r="K101" s="168" t="str">
        <x:v>CITATION_CARD</x:v>
      </x:c>
      <x:c r="L101" s="168" t="str">
        <x:v>مؤشرات التنمية العالمية: التحويلات الشخصية الواردة، اليمن (صفحة البيانات العامة كما اطُّلع عليها في 10 سبتمبر 2026)</x:v>
      </x:c>
      <x:c r="M101" s="168"/>
      <x:c r="N101" s="168"/>
      <x:c r="O101" s="168"/>
      <x:c r="S101" t="str">
        <x:v>NOT_ASSESSED</x:v>
      </x:c>
      <x:c r="W101" t="str">
        <x:v>dataset</x:v>
      </x:c>
      <x:c r="Y101" t="str">
        <x:v>البنك الدولي</x:v>
      </x:c>
      <x:c r="Z101" t="str">
        <x:v>Survey dataset or indicator</x:v>
      </x:c>
      <x:c r="AA101" t="str">
        <x:v>مسح أو مؤشر</x:v>
      </x:c>
    </x:row>
    <x:row r="102">
      <x:c r="A102" s="24" t="str">
        <x:v>SRC-IGC-AIDDATA-REMIT-YEM-2026</x:v>
      </x:c>
      <x:c r="B102" s="24" t="str">
        <x:v>https://www.theigc.org/publications/cash-capital-leveraging-remittances-yemens-economic-future</x:v>
      </x:c>
      <x:c r="C102" s="24" t="str"/>
      <x:c r="D102" s="24" t="str">
        <x:v>DS-K04-REMIT-SOURCE-LENSES,DS-K04-PUBLICATION-BENCHMARK,DS-K04-CAUSEWAY-READING-001</x:v>
      </x:c>
      <x:c r="E102" s="24" t="n">
        <x:v>2</x:v>
      </x:c>
      <x:c r="F102" s="168" t="str">
        <x:v>From cash to capital: leveraging remittances for Yemen's economic future (February 2026)</x:v>
      </x:c>
      <x:c r="G102" s="168" t="str">
        <x:v>International Growth Centre (IGC), with AidData</x:v>
      </x:c>
      <x:c r="H102" s="168"/>
      <x:c r="I102" s="168"/>
      <x:c r="J102" s="168"/>
      <x:c r="K102" s="168" t="str">
        <x:v>CITATION_CARD</x:v>
      </x:c>
      <x:c r="L102" s="168" t="str">
        <x:v>من النقد إلى رأس المال: توظيف التحويلات لمستقبل اليمن الاقتصادي (فبراير 2026)</x:v>
      </x:c>
      <x:c r="M102" s="168"/>
      <x:c r="N102" s="168"/>
      <x:c r="O102" s="168"/>
      <x:c r="S102" t="str">
        <x:v>NOT_ASSESSED</x:v>
      </x:c>
      <x:c r="Y102" t="str">
        <x:v>المركز الدولي للنمو (IGC) بالشراكة مع AidData</x:v>
      </x:c>
      <x:c r="Z102" t="str">
        <x:v>Research or policy paper</x:v>
      </x:c>
      <x:c r="AA102" t="str">
        <x:v>ورقة بحثية أو سياساتية</x:v>
      </x:c>
      <x:c r="AB102" t="str">
        <x:v>2026-02</x:v>
      </x:c>
    </x:row>
    <x:row r="103">
      <x:c r="A103" s="24" t="str">
        <x:v>SRC-WB-MDB40-2024</x:v>
      </x:c>
      <x:c r="B103" s="24" t="str">
        <x:v>https://documents1.worldbank.org/curated/en/099714008132436612/pdf/IDU-a9cf73b5-fcad-425a-a0dd-cc8f2f3331ce.pdf</x:v>
      </x:c>
      <x:c r="C103" s="24" t="str"/>
      <x:c r="D103" s="24" t="str">
        <x:v>DS-K04-REMIT-SOURCE-LENSES</x:v>
      </x:c>
      <x:c r="E103" s="24" t="n">
        <x:v>1</x:v>
      </x:c>
      <x:c r="F103" s="168" t="str">
        <x:v>Remittances Slowed in 2023, Expected to Grow Faster in 2024: Migration and Development Brief 40 (June 2024)</x:v>
      </x:c>
      <x:c r="G103" s="168" t="str">
        <x:v>World Bank</x:v>
      </x:c>
      <x:c r="H103" s="168"/>
      <x:c r="I103" s="168"/>
      <x:c r="J103" s="168"/>
      <x:c r="K103" s="168" t="str">
        <x:v>CITATION_CARD</x:v>
      </x:c>
      <x:c r="L103" s="168" t="str">
        <x:v>تباطأت التحويلات في 2023 ويُتوقع أن تنمو بوتيرة أسرع في 2024: موجز الهجرة والتنمية رقم 40 (يونيو 2024)</x:v>
      </x:c>
      <x:c r="M103" s="168"/>
      <x:c r="N103" s="168"/>
      <x:c r="O103" s="168"/>
      <x:c r="S103" t="str">
        <x:v>NOT_ASSESSED</x:v>
      </x:c>
      <x:c r="Y103" t="str">
        <x:v>البنك الدولي</x:v>
      </x:c>
      <x:c r="Z103" t="str">
        <x:v>Research or policy paper</x:v>
      </x:c>
      <x:c r="AA103" t="str">
        <x:v>ورقة بحثية أو سياساتية</x:v>
      </x:c>
      <x:c r="AB103" t="str">
        <x:v>2024-06</x:v>
      </x:c>
    </x:row>
    <x:row r="104">
      <x:c r="A104" s="24" t="str">
        <x:v>SRC-SC-TRADE-FIN-YEM-2026</x:v>
      </x:c>
      <x:c r="B104" s="24" t="str">
        <x:v>https://sanaacenter.org/publications/policy-research/26389</x:v>
      </x:c>
      <x:c r="C104" s="24" t="str"/>
      <x:c r="D104" s="24" t="str">
        <x:v>DS-K04-PUBLICATION-BENCHMARK,DS-K04-REMIT-SOURCE-LENSES,DS-K04-CAUSEWAY-READING-001</x:v>
      </x:c>
      <x:c r="E104" s="24" t="n">
        <x:v>2</x:v>
      </x:c>
      <x:c r="F104" s="168" t="str">
        <x:v>Supporting Trade Finance in Yemen Amid Uncertainty (February 2026)</x:v>
      </x:c>
      <x:c r="G104" s="168" t="str">
        <x:v>Sana’a Center for Strategic Studies</x:v>
      </x:c>
      <x:c r="H104" s="168"/>
      <x:c r="I104" s="168"/>
      <x:c r="J104" s="168"/>
      <x:c r="K104" s="168" t="str">
        <x:v>CITATION_CARD</x:v>
      </x:c>
      <x:c r="L104" s="168" t="str">
        <x:v>دعم تمويل التجارة في اليمن في ظل حالة عدم اليقين (فبراير 2026)</x:v>
      </x:c>
      <x:c r="M104" s="168"/>
      <x:c r="N104" s="168"/>
      <x:c r="O104" s="168"/>
      <x:c r="S104" t="str">
        <x:v>NOT_ASSESSED</x:v>
      </x:c>
      <x:c r="Y104" t="str">
        <x:v>مركز صنعاء للدراسات الاستراتيجية</x:v>
      </x:c>
      <x:c r="Z104" t="str">
        <x:v>Research or policy paper</x:v>
      </x:c>
      <x:c r="AA104" t="str">
        <x:v>ورقة بحثية أو سياساتية</x:v>
      </x:c>
      <x:c r="AB104" t="str">
        <x:v>2026-02-17</x:v>
      </x:c>
    </x:row>
    <x:row r="105">
      <x:c r="A105" s="24" t="str">
        <x:v>SRC-ACAPS-YEM-REMIT-2021</x:v>
      </x:c>
      <x:c r="B105" s="24" t="str">
        <x:v>https://www.acaps.org/fileadmin/Data_Product/Main_media/20211015_acaps_yemen_analysis_hub_impact_of_remittances_on_yemens_economy.pdf</x:v>
      </x:c>
      <x:c r="C105" s="24" t="str"/>
      <x:c r="D105" s="24" t="str">
        <x:v>DS-K04-REMIT-SOURCE-LENSES,DS-K04-PUBLICATION-BENCHMARK</x:v>
      </x:c>
      <x:c r="E105" s="24" t="n">
        <x:v>1</x:v>
      </x:c>
      <x:c r="F105" s="168" t="str">
        <x:v>The impact of remittances on Yemen's economy (October 2021)</x:v>
      </x:c>
      <x:c r="G105" s="168" t="str">
        <x:v>ACAPS (Yemen Analysis Hub)</x:v>
      </x:c>
      <x:c r="H105" s="168"/>
      <x:c r="I105" s="168"/>
      <x:c r="J105" s="168"/>
      <x:c r="K105" s="168" t="str">
        <x:v>CITATION_CARD</x:v>
      </x:c>
      <x:c r="L105" s="168" t="str">
        <x:v>أثر التحويلات في اقتصاد اليمن (أكتوبر 2021)</x:v>
      </x:c>
      <x:c r="M105" s="168"/>
      <x:c r="N105" s="168"/>
      <x:c r="O105" s="168"/>
      <x:c r="S105" t="str">
        <x:v>NOT_ASSESSED</x:v>
      </x:c>
      <x:c r="Y105" t="str">
        <x:v>ACAPS (مركز تحليل اليمن)</x:v>
      </x:c>
      <x:c r="Z105" t="str">
        <x:v>Research or policy paper</x:v>
      </x:c>
      <x:c r="AA105" t="str">
        <x:v>ورقة بحثية أو سياساتية</x:v>
      </x:c>
      <x:c r="AB105" t="str">
        <x:v>2021-10-15</x:v>
      </x:c>
    </x:row>
    <x:row r="106">
      <x:c r="A106" s="24" t="str">
        <x:v>SRC-IMF-D4D-YEM-ESS-2025</x:v>
      </x:c>
      <x:c r="B106" s="24" t="str">
        <x:v>https://www.imf.org/-/media/files/capacity-developement/d4d/january-2026/d4d-fund-implementation-progress-fy26-midyear-january-2026.pdf</x:v>
      </x:c>
      <x:c r="C106" s="24" t="str"/>
      <x:c r="D106" s="24" t="str">
        <x:v>DS-K04-REMIT-REGIMES,DS-K04-BOP-COMPONENT-XWALK,DS-K04-V035-RECON-GATE</x:v>
      </x:c>
      <x:c r="E106" s="24" t="n">
        <x:v>2</x:v>
      </x:c>
      <x:c r="F106" s="168" t="str">
        <x:v>D4D-II implementation progress report (January 2026)</x:v>
      </x:c>
      <x:c r="G106" s="168" t="str">
        <x:v>International Monetary Fund</x:v>
      </x:c>
      <x:c r="H106" s="168"/>
      <x:c r="I106" s="168"/>
      <x:c r="J106" s="168"/>
      <x:c r="K106" s="168" t="str">
        <x:v>CITATION_CARD</x:v>
      </x:c>
      <x:c r="L106" s="168" t="str">
        <x:v>تقرير التقدم في التنفيذ لصندوق D4D-II (يناير 2026)</x:v>
      </x:c>
      <x:c r="M106" s="168"/>
      <x:c r="N106" s="168"/>
      <x:c r="O106" s="168"/>
      <x:c r="S106" t="str">
        <x:v>NOT_ASSESSED</x:v>
      </x:c>
      <x:c r="Y106" t="str">
        <x:v>صندوق النقد الدولي</x:v>
      </x:c>
      <x:c r="Z106" t="str">
        <x:v>Project document</x:v>
      </x:c>
      <x:c r="AA106" t="str">
        <x:v>وثيقة مشروع</x:v>
      </x:c>
      <x:c r="AB106" t="str">
        <x:v>2026-01</x:v>
      </x:c>
    </x:row>
    <x:row r="107">
      <x:c r="A107" s="24" t="str">
        <x:v>SRC-CBY-AR2025-BOP</x:v>
      </x:c>
      <x:c r="B107" s="24" t="str">
        <x:v>https://english.cby-ye.com/files/6a54b8fcd8b68.pdf</x:v>
      </x:c>
      <x:c r="C107" s="24"/>
      <x:c r="D107" s="24" t="str">
        <x:v>DS-K04-BOP-RESIDUAL-STRESS,DS-K04-BOP-COMPONENT-XWALK</x:v>
      </x:c>
      <x:c r="E107" s="24" t="n">
        <x:v>2</x:v>
      </x:c>
      <x:c r="F107" s="168" t="str">
        <x:v>Annual Report 2025</x:v>
      </x:c>
      <x:c r="G107" s="168" t="str">
        <x:v>Central Bank of Yemen — Aden</x:v>
      </x:c>
      <x:c r="H107" s="168" t="str">
        <x:v>Official Yemen documents and statistics</x:v>
      </x:c>
      <x:c r="I107" s="168" t="str">
        <x:v>Provides the 2025 edition of the annual report, used to examine revisions to remittance values in the balance of payments and to related external-sector series.</x:v>
      </x:c>
      <x:c r="J107" s="168" t="str">
        <x:v>A revision between editions of the report does not by itself establish an economic change between years, the volume of informal hawala transfers, or a financial-inclusion outcome for the population.</x:v>
      </x:c>
      <x:c r="K107" s="168" t="str">
        <x:v>FULL_PUBLIC_CARD</x:v>
      </x:c>
      <x:c r="L107" s="168" t="str">
        <x:v>التقرير السنوي 2025</x:v>
      </x:c>
      <x:c r="M107" s="168" t="str">
        <x:v>الوثائق والإحصاءات الرسمية في اليمن</x:v>
      </x:c>
      <x:c r="N107" s="168" t="str">
        <x:v>يوفر إصدار عام 2025 من التقرير السنوي، المستخدم لفحص التعديلات على قيم التحويلات في ميزان المدفوعات وعلى السلاسل ذات الصلة بالقطاع الخارجي.</x:v>
      </x:c>
      <x:c r="O107"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07" t="str">
        <x:v>NOT_ASSESSED</x:v>
      </x:c>
      <x:c r="Y107" t="str">
        <x:v>البنك المركزي اليمني – عدن</x:v>
      </x:c>
      <x:c r="Z107" t="str">
        <x:v>Annual report</x:v>
      </x:c>
      <x:c r="AA107" t="str">
        <x:v>تقرير سنوي</x:v>
      </x:c>
    </x:row>
    <x:row r="108">
      <x:c r="A108" s="24" t="str">
        <x:v>SRC-CBY-AR2024-BOP</x:v>
      </x:c>
      <x:c r="B108" s="24" t="str">
        <x:v>https://english.cby-ye.com/files/68c2ef16b4225.pdf</x:v>
      </x:c>
      <x:c r="C108" s="24"/>
      <x:c r="D108" s="24" t="str">
        <x:v>DS-K04-REMIT-REGIMES,DS-K04-BOP-COMPONENT-XWALK</x:v>
      </x:c>
      <x:c r="E108" s="24" t="n">
        <x:v>2</x:v>
      </x:c>
      <x:c r="F108" s="168" t="str">
        <x:v>Annual Report 2024</x:v>
      </x:c>
      <x:c r="G108" s="168" t="str">
        <x:v>Central Bank of Yemen — Aden</x:v>
      </x:c>
      <x:c r="H108" s="168" t="str">
        <x:v>Official Yemen documents and statistics</x:v>
      </x:c>
      <x:c r="I108" s="168" t="str">
        <x:v>Provides the 2024 edition of the annual report, used to compare remittance and balance-of-payments values for the same reference year across successive annual reports.</x:v>
      </x:c>
      <x:c r="J108" s="168" t="str">
        <x:v>A value published in this edition must not be compared directly with a later restated value without recording which edition each value comes from.</x:v>
      </x:c>
      <x:c r="K108" s="168" t="str">
        <x:v>FULL_PUBLIC_CARD</x:v>
      </x:c>
      <x:c r="L108" s="168" t="str">
        <x:v>التقرير السنوي 2024</x:v>
      </x:c>
      <x:c r="M108" s="168" t="str">
        <x:v>الوثائق والإحصاءات الرسمية في اليمن</x:v>
      </x:c>
      <x:c r="N108"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08" s="168" t="str">
        <x:v>لا يجوز مقارنة قيمة منشورة في هذا الإصدار مباشرةً بقيمة معدَّلة في إصدار لاحق من دون تحديد الإصدار الذي صدرت فيه كل قيمة.</x:v>
      </x:c>
      <x:c r="S108" t="str">
        <x:v>NOT_ASSESSED</x:v>
      </x:c>
      <x:c r="Y108" t="str">
        <x:v>البنك المركزي اليمني – عدن</x:v>
      </x:c>
      <x:c r="Z108" t="str">
        <x:v>Annual report</x:v>
      </x:c>
      <x:c r="AA108" t="str">
        <x:v>تقرير سنوي</x:v>
      </x:c>
    </x:row>
    <x:row r="109">
      <x:c r="A109" s="24" t="str">
        <x:v>SRC-IMF-BPM6</x:v>
      </x:c>
      <x:c r="B109" s="24" t="str">
        <x:v>https://data.imf.org/-/media/iData/External-Storage/Documents/73FBCD5B6CDE4D289C60B9B0CAA40622/en/2-bpm6.pdf</x:v>
      </x:c>
      <x:c r="C109" s="24" t="str"/>
      <x:c r="D109" s="24" t="str">
        <x:v>DS-K04-BOP-IIP-RECON-SPEC</x:v>
      </x:c>
      <x:c r="E109" s="24" t="n">
        <x:v>2</x:v>
      </x:c>
      <x:c r="F109" s="168" t="str">
        <x:v>Balance of Payments and International Investment Position Manual, sixth edition (BPM6)</x:v>
      </x:c>
      <x:c r="G109" s="168" t="str">
        <x:v>International Monetary Fund</x:v>
      </x:c>
      <x:c r="H109" s="168"/>
      <x:c r="I109" s="168"/>
      <x:c r="J109" s="168"/>
      <x:c r="K109" s="168" t="str">
        <x:v>CITATION_CARD</x:v>
      </x:c>
      <x:c r="L109" s="168" t="str">
        <x:v>دليل ميزان المدفوعات ووضع الاستثمار الدولي، الطبعة السادسة (BPM6)</x:v>
      </x:c>
      <x:c r="M109" s="168"/>
      <x:c r="N109" s="168"/>
      <x:c r="O109" s="168"/>
      <x:c r="S109" t="str">
        <x:v>NOT_ASSESSED</x:v>
      </x:c>
      <x:c r="W109" t="str">
        <x:v>method/standard</x:v>
      </x:c>
      <x:c r="X109" t="str">
        <x:v>global method reference</x:v>
      </x:c>
      <x:c r="Y109" t="str">
        <x:v>صندوق النقد الدولي</x:v>
      </x:c>
      <x:c r="Z109" t="str">
        <x:v>Method or standard</x:v>
      </x:c>
      <x:c r="AA109" t="str">
        <x:v>منهج أو معيار</x:v>
      </x:c>
    </x:row>
    <x:row r="110">
      <x:c r="A110" s="24" t="str">
        <x:v>SRC-IMF-BPM6-COMP-GUIDE</x:v>
      </x:c>
      <x:c r="B110" s="24" t="str">
        <x:v>https://www.imf.org/external/pubs/ft/bop/2014/pdf/guide.pdf</x:v>
      </x:c>
      <x:c r="C110" s="24" t="str"/>
      <x:c r="D110" s="24" t="str">
        <x:v>DS-K04-BOP-IIP-RECON-SPEC</x:v>
      </x:c>
      <x:c r="E110" s="24" t="n">
        <x:v>2</x:v>
      </x:c>
      <x:c r="F110" s="168" t="str">
        <x:v>Balance of Payments and International Investment Position Compilation Guide (companion to BPM6)</x:v>
      </x:c>
      <x:c r="G110" s="168" t="str">
        <x:v>International Monetary Fund</x:v>
      </x:c>
      <x:c r="H110" s="168"/>
      <x:c r="I110" s="168"/>
      <x:c r="J110" s="168"/>
      <x:c r="K110" s="168" t="str">
        <x:v>CITATION_CARD</x:v>
      </x:c>
      <x:c r="L110" s="168" t="str">
        <x:v>دليل تجميع إحصاءات ميزان المدفوعات ووضع الاستثمار الدولي (المرافق للطبعة السادسة BPM6)</x:v>
      </x:c>
      <x:c r="M110" s="168"/>
      <x:c r="N110" s="168"/>
      <x:c r="O110" s="168"/>
      <x:c r="S110" t="str">
        <x:v>NOT_ASSESSED</x:v>
      </x:c>
      <x:c r="W110" t="str">
        <x:v>method/standard</x:v>
      </x:c>
      <x:c r="X110" t="str">
        <x:v>global method reference</x:v>
      </x:c>
      <x:c r="Y110" t="str">
        <x:v>صندوق النقد الدولي</x:v>
      </x:c>
      <x:c r="Z110" t="str">
        <x:v>Method or standard</x:v>
      </x:c>
      <x:c r="AA110" t="str">
        <x:v>منهج أو معيار</x:v>
      </x:c>
    </x:row>
    <x:row r="111">
      <x:c r="A111" s="24" t="str">
        <x:v>SRC-IMF-BPM7-IMPLEMENTATION</x:v>
      </x:c>
      <x:c r="B111" s="24" t="str">
        <x:v>https://www.imf.org/en/publications/policy-papers/issues/2025/07/10/release-of-new-standards-for-macroeconomic-statistics-bpm7-568453</x:v>
      </x:c>
      <x:c r="C111" s="24" t="str"/>
      <x:c r="D111" s="24" t="str">
        <x:v>DS-K04-BOP-IIP-RECON-SPEC,DS-K04-V035-RECON-GATE</x:v>
      </x:c>
      <x:c r="E111" s="24" t="n">
        <x:v>2</x:v>
      </x:c>
      <x:c r="F111" s="168" t="str">
        <x:v>Release of BPM7 and its implementation strategy (2025)</x:v>
      </x:c>
      <x:c r="G111" s="168" t="str">
        <x:v>International Monetary Fund</x:v>
      </x:c>
      <x:c r="H111" s="168"/>
      <x:c r="I111" s="168"/>
      <x:c r="J111" s="168"/>
      <x:c r="K111" s="168" t="str">
        <x:v>CITATION_CARD</x:v>
      </x:c>
      <x:c r="L111" s="168" t="str">
        <x:v>إصدار الطبعة السابعة من دليل ميزان المدفوعات (BPM7) واستراتيجية تطبيقها (2025)</x:v>
      </x:c>
      <x:c r="M111" s="168"/>
      <x:c r="N111" s="168"/>
      <x:c r="O111" s="168"/>
      <x:c r="S111" t="str">
        <x:v>NOT_ASSESSED</x:v>
      </x:c>
      <x:c r="W111" t="str">
        <x:v>method/standard</x:v>
      </x:c>
      <x:c r="X111" t="str">
        <x:v>global method reference</x:v>
      </x:c>
      <x:c r="Y111" t="str">
        <x:v>صندوق النقد الدولي</x:v>
      </x:c>
      <x:c r="Z111" t="str">
        <x:v>Method or standard</x:v>
      </x:c>
      <x:c r="AA111" t="str">
        <x:v>منهج أو معيار</x:v>
      </x:c>
    </x:row>
    <x:row r="112">
      <x:c r="A112" s="24" t="str">
        <x:v>SRC-IMF-YEM-SMP-2026</x:v>
      </x:c>
      <x:c r="B112" s="24" t="str">
        <x:v>https://www.imf.org/en/news/articles/2026/07/16/pr26249-yemen-imf-reaches-sla-on-new-staff-monitored-program</x:v>
      </x:c>
      <x:c r="C112" s="24" t="str"/>
      <x:c r="D112" s="24" t="str">
        <x:v>DS-K04-CBY-IMF-XWALK-REQUEST,DS-K04-V035-RECON-GATE</x:v>
      </x:c>
      <x:c r="E112" s="24" t="n">
        <x:v>1</x:v>
      </x:c>
      <x:c r="F112" s="168" t="str">
        <x:v>Yemen: staff-level agreement on a proposed Staff-Monitored Program (16 July 2026)</x:v>
      </x:c>
      <x:c r="G112" s="168" t="str">
        <x:v>International Monetary Fund</x:v>
      </x:c>
      <x:c r="H112" s="168" t="str">
        <x:v>Yemen’s economy and policy context</x:v>
      </x:c>
      <x:c r="I112" s="168" t="str">
        <x:v>Provides a dated statement of the reform and macro-financial policy package discussed with IMF staff in July 2026, useful for identifying the state of the reform process while keeping agreement, implementation and outcome distinct.</x:v>
      </x:c>
      <x:c r="J112" s="168" t="str">
        <x:v>A staff-level agreement on policies that could underpin an SMP is not IMF Board-approved financing and does not establish that the reforms were implemented or produced financial-inclusion outcomes.</x:v>
      </x:c>
      <x:c r="K112" s="168" t="str">
        <x:v>FULL_PUBLIC_CARD</x:v>
      </x:c>
      <x:c r="L112" s="168" t="str">
        <x:v>اليمن: اتفاق على مستوى الخبراء بشأن برنامج مقترح يراقبه خبراء صندوق النقد الدولي (SMP) (16 يوليو 2026)</x:v>
      </x:c>
      <x:c r="M112" s="168" t="str">
        <x:v>السياق الاقتصادي والسياساتي في اليمن</x:v>
      </x:c>
      <x:c r="N112"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2"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2" t="str">
        <x:v>NOT_ASSESSED</x:v>
      </x:c>
      <x:c r="Y112" t="str">
        <x:v>صندوق النقد الدولي</x:v>
      </x:c>
      <x:c r="Z112" t="str">
        <x:v>News release</x:v>
      </x:c>
      <x:c r="AA112" t="str">
        <x:v>بيان صحفي</x:v>
      </x:c>
      <x:c r="AB112" t="str">
        <x:v>2026-07-16</x:v>
      </x:c>
    </x:row>
    <x:row r="113">
      <x:c r="A113" s="24" t="str">
        <x:v>SRC-CCY-REMIT-ESTIMATE-2025</x:v>
      </x:c>
      <x:c r="B113" s="24"/>
      <x:c r="C113" s="24" t="str"/>
      <x:c r="D113" s="24" t="str">
        <x:v>DS-K04-BOP-RESIDUAL-STRESS,DS-K04-SOURCE-DEEP-INTAKE</x:v>
      </x:c>
      <x:c r="E113" s="24" t="n">
        <x:v>2</x:v>
      </x:c>
      <x:c r="F113" s="168"/>
      <x:c r="G113" s="168"/>
      <x:c r="H113" s="168"/>
      <x:c r="I113" s="168"/>
      <x:c r="J113" s="168"/>
      <x:c r="K113" s="168" t="str">
        <x:v>LOCATOR_ONLY</x:v>
      </x:c>
      <x:c r="L113" s="168"/>
      <x:c r="M113" s="168"/>
      <x:c r="N113" s="168"/>
      <x:c r="O113" s="168"/>
      <x:c r="P113" t="str">
        <x:v>USER_PROVIDED_FILE: Remittances in Yemen_Estimates and Impact_CCY.pdf</x:v>
      </x:c>
      <x:c r="S113" t="str">
        <x:v>NOT_ASSESSED</x:v>
      </x:c>
    </x:row>
    <x:row r="114">
      <x:c r="A114" s="24" t="str">
        <x:v>SRC-CCY-SAM-2024</x:v>
      </x:c>
      <x:c r="B114" s="24"/>
      <x:c r="C114" s="24" t="str"/>
      <x:c r="D114" s="24" t="str">
        <x:v>DS-K04-SOURCE-DEEP-INTAKE,DS-K04-CASH-FIN-TRANSMISSION</x:v>
      </x:c>
      <x:c r="E114" s="24" t="n">
        <x:v>2</x:v>
      </x:c>
      <x:c r="F114" s="168"/>
      <x:c r="G114" s="168"/>
      <x:c r="H114" s="168"/>
      <x:c r="I114" s="168"/>
      <x:c r="J114" s="168"/>
      <x:c r="K114" s="168" t="str">
        <x:v>LOCATOR_ONLY</x:v>
      </x:c>
      <x:c r="L114" s="168"/>
      <x:c r="M114" s="168"/>
      <x:c r="N114" s="168"/>
      <x:c r="O114" s="168"/>
      <x:c r="P114" t="str">
        <x:v>USER_PROVIDED_FILE: SAM_Multiplie Effect of Cash Study.pdf</x:v>
      </x:c>
      <x:c r="S114" t="str">
        <x:v>NOT_ASSESSED</x:v>
      </x:c>
    </x:row>
    <x:row r="115">
      <x:c r="A115" s="24" t="str">
        <x:v>SRC-CCY-CASH-DURATION-2026</x:v>
      </x:c>
      <x:c r="B115" s="24"/>
      <x:c r="C115" s="24" t="str"/>
      <x:c r="D115" s="24" t="str">
        <x:v>DS-K04-SOURCE-DEEP-INTAKE,DS-K04-CASH-FIN-TRANSMISSION</x:v>
      </x:c>
      <x:c r="E115" s="24" t="n">
        <x:v>2</x:v>
      </x:c>
      <x:c r="F115" s="168"/>
      <x:c r="G115" s="168"/>
      <x:c r="H115" s="168"/>
      <x:c r="I115" s="168"/>
      <x:c r="J115" s="168"/>
      <x:c r="K115" s="168" t="str">
        <x:v>LOCATOR_ONLY</x:v>
      </x:c>
      <x:c r="L115" s="168"/>
      <x:c r="M115" s="168"/>
      <x:c r="N115" s="168"/>
      <x:c r="O115" s="168"/>
      <x:c r="P115" t="str">
        <x:v>USER_PROVIDED_FILE: Cash Duration Report_CCY_2026.06.22.pdf</x:v>
      </x:c>
      <x:c r="S115" t="str">
        <x:v>NOT_ASSESSED</x:v>
      </x:c>
    </x:row>
    <x:row r="116">
      <x:c r="A116" s="24" t="str">
        <x:v>SRC-CCY-ISP-2024</x:v>
      </x:c>
      <x:c r="B116" s="24"/>
      <x:c r="C116" s="24" t="str"/>
      <x:c r="D116" s="24" t="str">
        <x:v>DS-K04-SOURCE-DEEP-INTAKE,DS-K04-CASH-FIN-TRANSMISSION</x:v>
      </x:c>
      <x:c r="E116" s="24" t="n">
        <x:v>2</x:v>
      </x:c>
      <x:c r="F116" s="168"/>
      <x:c r="G116" s="168"/>
      <x:c r="H116" s="168"/>
      <x:c r="I116" s="168"/>
      <x:c r="J116" s="168"/>
      <x:c r="K116" s="168" t="str">
        <x:v>LOCATOR_ONLY</x:v>
      </x:c>
      <x:c r="L116" s="168"/>
      <x:c r="M116" s="168"/>
      <x:c r="N116" s="168"/>
      <x:c r="O116" s="168"/>
      <x:c r="P116" t="str">
        <x:v>USER_PROVIDED_FILE: The Unseen Assistance_Measuring Informal Social Protection in Yemen.pdf</x:v>
      </x:c>
      <x:c r="S116" t="str">
        <x:v>NOT_ASSESSED</x:v>
      </x:c>
    </x:row>
    <x:row r="117">
      <x:c r="A117" s="24" t="str">
        <x:v>SRC-CCY-AMAL-2025</x:v>
      </x:c>
      <x:c r="B117" s="24"/>
      <x:c r="C117" s="24" t="str"/>
      <x:c r="D117" s="24" t="str">
        <x:v>DS-K04-SOURCE-DEEP-INTAKE,DS-K04-CASH-FIN-TRANSMISSION</x:v>
      </x:c>
      <x:c r="E117" s="24" t="n">
        <x:v>2</x:v>
      </x:c>
      <x:c r="F117" s="168"/>
      <x:c r="G117" s="168"/>
      <x:c r="H117" s="168"/>
      <x:c r="I117" s="168"/>
      <x:c r="J117" s="168"/>
      <x:c r="K117" s="168" t="str">
        <x:v>LOCATOR_ONLY</x:v>
      </x:c>
      <x:c r="L117" s="168"/>
      <x:c r="M117" s="168"/>
      <x:c r="N117" s="168"/>
      <x:c r="O117" s="168"/>
      <x:c r="P117" t="str">
        <x:v>USER_PROVIDED_FILE: AMAL Market Assessment _ Final.pdf</x:v>
      </x:c>
      <x:c r="S117" t="str">
        <x:v>NOT_ASSESSED</x:v>
      </x:c>
    </x:row>
    <x:row r="118">
      <x:c r="A118" s="24" t="str">
        <x:v>SRC-CCY-PRESSURE-2026</x:v>
      </x:c>
      <x:c r="B118" s="24"/>
      <x:c r="C118" s="24" t="str"/>
      <x:c r="D118" s="24" t="str">
        <x:v>DS-K04-SOURCE-DEEP-INTAKE,DS-K04-CASH-FIN-TRANSMISSION</x:v>
      </x:c>
      <x:c r="E118" s="24" t="n">
        <x:v>2</x:v>
      </x:c>
      <x:c r="F118" s="168"/>
      <x:c r="G118" s="168"/>
      <x:c r="H118" s="168"/>
      <x:c r="I118" s="168"/>
      <x:c r="J118" s="168"/>
      <x:c r="K118" s="168" t="str">
        <x:v>LOCATOR_ONLY</x:v>
      </x:c>
      <x:c r="L118" s="168"/>
      <x:c r="M118" s="168"/>
      <x:c r="N118" s="168"/>
      <x:c r="O118" s="168"/>
      <x:c r="P118" t="str">
        <x:v>USER_PROVIDED_FILE: Economic Impact of Iran-US War on Yemen_May 2026.pdf</x:v>
      </x:c>
      <x:c r="S118" t="str">
        <x:v>NOT_ASSESSED</x:v>
      </x:c>
    </x:row>
    <x:row r="119">
      <x:c r="A119" s="24" t="str">
        <x:v>SRC-AIDDATA-SAUDI-YEM-2015</x:v>
      </x:c>
      <x:c r="B119" s="24" t="str">
        <x:v>https://www.aiddata.org/blog/saudi-aid-to-yemen-stability-over-development</x:v>
      </x:c>
      <x:c r="C119" s="24" t="str"/>
      <x:c r="D119" s="24" t="str">
        <x:v>DS-K04-SOURCE-DEEP-INTAKE,DS-K04-SAUDI-SUPPORT-TRANSMISSION</x:v>
      </x:c>
      <x:c r="E119" s="24" t="n">
        <x:v>2</x:v>
      </x:c>
      <x:c r="F119" s="168" t="str">
        <x:v>Saudi aid to Yemen: stability over development? (May 2015)</x:v>
      </x:c>
      <x:c r="G119" s="168" t="str">
        <x:v>AidData</x:v>
      </x:c>
      <x:c r="H119" s="168"/>
      <x:c r="I119" s="168"/>
      <x:c r="J119" s="168"/>
      <x:c r="K119" s="168" t="str">
        <x:v>CITATION_CARD</x:v>
      </x:c>
      <x:c r="L119" s="168" t="str">
        <x:v>المساعدات السعودية لليمن: الاستقرار قبل التنمية؟ (مايو 2015)</x:v>
      </x:c>
      <x:c r="M119" s="168"/>
      <x:c r="N119" s="168"/>
      <x:c r="O119" s="168"/>
      <x:c r="S119" t="str">
        <x:v>NOT_ASSESSED</x:v>
      </x:c>
      <x:c r="Y119" t="str">
        <x:v>AidData</x:v>
      </x:c>
      <x:c r="Z119" t="str">
        <x:v>Research or policy paper</x:v>
      </x:c>
      <x:c r="AA119" t="str">
        <x:v>ورقة بحثية أو سياساتية</x:v>
      </x:c>
      <x:c r="AB119" t="str">
        <x:v>2015-05-08</x:v>
      </x:c>
    </x:row>
    <x:row r="120">
      <x:c r="A120" s="24" t="str">
        <x:v>SRC-LIT-XIDIAN-YEM-FI-2025</x:v>
      </x:c>
      <x:c r="B120" s="24" t="str">
        <x:v>https://www.researchgate.net/publication/393091523_The_Reality_of_Financial_Inclusion_and_Crucial_Issues_in_Yemen</x:v>
      </x:c>
      <x:c r="C120" s="24" t="str"/>
      <x:c r="D120" s="24" t="str">
        <x:v>DS-K04-SOURCE-DEEP-INTAKE,DS-K04-LITERATURE-SOURCE-AUDIT</x:v>
      </x:c>
      <x:c r="E120" s="24" t="n">
        <x:v>2</x:v>
      </x:c>
      <x:c r="F120" s="168"/>
      <x:c r="G120" s="168"/>
      <x:c r="H120" s="168"/>
      <x:c r="I120" s="168"/>
      <x:c r="J120" s="168"/>
      <x:c r="K120" s="168" t="str">
        <x:v>LOCATOR_ONLY</x:v>
      </x:c>
      <x:c r="L120" s="168"/>
      <x:c r="M120" s="168"/>
      <x:c r="N120" s="168"/>
      <x:c r="O120" s="168"/>
      <x:c r="S120" t="str">
        <x:v>NOT_ASSESSED</x:v>
      </x:c>
    </x:row>
    <x:row r="121">
      <x:c r="A121" s="24" t="str">
        <x:v>SRC-LIT-INVEST-ISLAMIC-FI-2024</x:v>
      </x:c>
      <x:c r="B121" s="24" t="str">
        <x:v>https://jurnal.iainponorogo.ac.id/index.php/invest/article/view/8340</x:v>
      </x:c>
      <x:c r="C121" s="24" t="str"/>
      <x:c r="D121" s="24" t="str">
        <x:v>DS-K04-SOURCE-DEEP-INTAKE,DS-K04-LITERATURE-SOURCE-AUDIT</x:v>
      </x:c>
      <x:c r="E121" s="24" t="n">
        <x:v>2</x:v>
      </x:c>
      <x:c r="F121" s="168"/>
      <x:c r="G121" s="168"/>
      <x:c r="H121" s="168"/>
      <x:c r="I121" s="168"/>
      <x:c r="J121" s="168"/>
      <x:c r="K121" s="168" t="str">
        <x:v>LOCATOR_ONLY</x:v>
      </x:c>
      <x:c r="L121" s="168"/>
      <x:c r="M121" s="168"/>
      <x:c r="N121" s="168"/>
      <x:c r="O121" s="168"/>
      <x:c r="S121" t="str">
        <x:v>NOT_ASSESSED</x:v>
      </x:c>
    </x:row>
    <x:row r="122">
      <x:c r="A122" s="24" t="str">
        <x:v>SRC-LIT-OEB-FX-PRICES-2025</x:v>
      </x:c>
      <x:c r="B122" s="24" t="str">
        <x:v>https://asjp.cerist.dz/en/article/273259</x:v>
      </x:c>
      <x:c r="C122" s="24" t="str"/>
      <x:c r="D122" s="24" t="str">
        <x:v>DS-K04-SOURCE-DEEP-INTAKE,DS-K04-LITERATURE-SOURCE-AUDIT</x:v>
      </x:c>
      <x:c r="E122" s="24" t="n">
        <x:v>2</x:v>
      </x:c>
      <x:c r="F122" s="168"/>
      <x:c r="G122" s="168"/>
      <x:c r="H122" s="168"/>
      <x:c r="I122" s="168"/>
      <x:c r="J122" s="168"/>
      <x:c r="K122" s="168" t="str">
        <x:v>LOCATOR_ONLY</x:v>
      </x:c>
      <x:c r="L122" s="168"/>
      <x:c r="M122" s="168"/>
      <x:c r="N122" s="168"/>
      <x:c r="O122" s="168"/>
      <x:c r="S122" t="str">
        <x:v>NOT_ASSESSED</x:v>
      </x:c>
    </x:row>
    <x:row r="123">
      <x:c r="A123" s="24" t="str">
        <x:v>SRC-LIT-ALG-FI-COMPARATIVE</x:v>
      </x:c>
      <x:c r="B123" s="24"/>
      <x:c r="C123" s="24" t="str"/>
      <x:c r="D123" s="24" t="str">
        <x:v>DS-K04-LITERATURE-SOURCE-AUDIT</x:v>
      </x:c>
      <x:c r="E123" s="24" t="n">
        <x:v>1</x:v>
      </x:c>
      <x:c r="F123" s="168"/>
      <x:c r="G123" s="168"/>
      <x:c r="H123" s="168"/>
      <x:c r="I123" s="168"/>
      <x:c r="J123" s="168"/>
      <x:c r="K123" s="168" t="str">
        <x:v>LOCATOR_ONLY</x:v>
      </x:c>
      <x:c r="L123" s="168"/>
      <x:c r="M123" s="168"/>
      <x:c r="N123" s="168"/>
      <x:c r="O123" s="168"/>
      <x:c r="P123" t="str">
        <x:v>USER_PROVIDED_FILE: Algeria_Financial_Inclusion_Governance_COMPARATIVE_ONLY.pdf</x:v>
      </x:c>
      <x:c r="S123" t="str">
        <x:v>NOT_ASSESSED</x:v>
      </x:c>
    </x:row>
    <x:row r="124">
      <x:c r="A124" s="24" t="str">
        <x:v>SRC-LIT-IND-FI-TEMPLATE-2023</x:v>
      </x:c>
      <x:c r="B124" s="24"/>
      <x:c r="C124" s="24" t="str"/>
      <x:c r="D124" s="24" t="str">
        <x:v>DS-K04-LITERATURE-SOURCE-AUDIT</x:v>
      </x:c>
      <x:c r="E124" s="24" t="n">
        <x:v>1</x:v>
      </x:c>
      <x:c r="F124" s="168"/>
      <x:c r="G124" s="168"/>
      <x:c r="H124" s="168"/>
      <x:c r="I124" s="168"/>
      <x:c r="J124" s="168"/>
      <x:c r="K124" s="168" t="str">
        <x:v>LOCATOR_ONLY</x:v>
      </x:c>
      <x:c r="L124" s="168"/>
      <x:c r="M124" s="168"/>
      <x:c r="N124" s="168"/>
      <x:c r="O124" s="168"/>
      <x:c r="P124" t="str">
        <x:v>USER_PROVIDED_FILE: REJECTED_AS_YEMEN_EVIDENCE__India_FI_Index_Template_2023.pdf</x:v>
      </x:c>
      <x:c r="S124" t="str">
        <x:v>NOT_ASSESSED</x:v>
      </x:c>
    </x:row>
    <x:row r="125">
      <x:c r="A125" s="24" t="str">
        <x:v>SRC-SANAA-MF-2020</x:v>
      </x:c>
      <x:c r="B125" s="24" t="str">
        <x:v>https://sanaacenter.org/publications/policy-research/9808</x:v>
      </x:c>
      <x:c r="C125" s="24" t="str">
        <x:v>["https://sanaacenter.org/files/Rethinking_Yemens_Economy_No6.pdf"]</x:v>
      </x:c>
      <x:c r="D125" s="24" t="str">
        <x:v>DS-K04-SOURCE-DEEP-INTAKE,DS-K04-LITERATURE-SOURCE-AUDIT,DS-V041-STRICT-COUNSEL</x:v>
      </x:c>
      <x:c r="E125" s="24" t="n">
        <x:v>3</x:v>
      </x:c>
      <x:c r="F125" s="168" t="str">
        <x:v>Microfinance in Yemen: An Overview of Challenges and Opportunities — Rethinking Yemen's Economy No. 6 (April 2020)</x:v>
      </x:c>
      <x:c r="G125" s="168" t="str">
        <x:v>Sana’a Center for Strategic Studies</x:v>
      </x:c>
      <x:c r="H125" s="168"/>
      <x:c r="I125" s="168"/>
      <x:c r="J125" s="168"/>
      <x:c r="K125" s="168" t="str">
        <x:v>CITATION_CARD</x:v>
      </x:c>
      <x:c r="L125" s="168" t="str">
        <x:v>التمويل الأصغر في اليمن: نظرة عامة على التحديات والفرص — سلسلة Rethinking Yemen's Economy، العدد 6 (أبريل 2020)</x:v>
      </x:c>
      <x:c r="M125" s="168"/>
      <x:c r="N125" s="168"/>
      <x:c r="O125" s="168"/>
      <x:c r="S125" t="str">
        <x:v>NOT_ASSESSED</x:v>
      </x:c>
      <x:c r="Y125" t="str">
        <x:v>مركز صنعاء للدراسات الاستراتيجية</x:v>
      </x:c>
      <x:c r="Z125" t="str">
        <x:v>Research or policy paper</x:v>
      </x:c>
      <x:c r="AA125" t="str">
        <x:v>ورقة بحثية أو سياساتية</x:v>
      </x:c>
      <x:c r="AB125" t="str">
        <x:v>2020-04-30</x:v>
      </x:c>
    </x:row>
    <x:row r="126">
      <x:c r="A126" s="24" t="str">
        <x:v>SRC-SANAA-EMONEY-2022</x:v>
      </x:c>
      <x:c r="B126" s="24" t="str">
        <x:v>https://sanaacenter.org/publications/policy-research/16974</x:v>
      </x:c>
      <x:c r="C126" s="24" t="str"/>
      <x:c r="D126" s="24" t="str">
        <x:v>DS-K04-SOURCE-DEEP-INTAKE,DS-K04-LITERATURE-SOURCE-AUDIT,DS-K04-CAUSEWAY-READING-002</x:v>
      </x:c>
      <x:c r="E126" s="24" t="n">
        <x:v>3</x:v>
      </x:c>
      <x:c r="F126" s="168" t="str">
        <x:v>Challenges and Prospects for Electronic Money and Payment Systems in Yemen</x:v>
      </x:c>
      <x:c r="G126" s="168" t="str">
        <x:v>Sana’a Center for Strategic Studies</x:v>
      </x:c>
      <x:c r="H126" s="168" t="str">
        <x:v>Research and analysis on Yemen’s financial sector</x:v>
      </x:c>
      <x:c r="I126"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26" s="168" t="str">
        <x:v>This 2022 analytical paper does not establish current law, current provider operating status, current adoption, or national financial-inclusion prevalence.</x:v>
      </x:c>
      <x:c r="K126" s="168" t="str">
        <x:v>FULL_PUBLIC_CARD</x:v>
      </x:c>
      <x:c r="L126" s="168" t="str">
        <x:v>تحديات وآفاق النقود الإلكترونية وأنظمة الدفع في اليمن</x:v>
      </x:c>
      <x:c r="M126" s="168" t="str">
        <x:v>البحوث والتحليلات حول القطاع المالي في اليمن</x:v>
      </x:c>
      <x:c r="N126"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26"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26" t="str">
        <x:v>NOT_ASSESSED</x:v>
      </x:c>
      <x:c r="Y126" t="str">
        <x:v>مركز صنعاء للدراسات الاستراتيجية</x:v>
      </x:c>
      <x:c r="Z126" t="str">
        <x:v>Research or policy paper</x:v>
      </x:c>
      <x:c r="AA126" t="str">
        <x:v>ورقة بحثية أو سياساتية</x:v>
      </x:c>
    </x:row>
    <x:row r="127">
      <x:c r="A127" s="24" t="str">
        <x:v>SRC-SANAA-MFB-2024</x:v>
      </x:c>
      <x:c r="B127" s="24" t="str">
        <x:v>https://sanaacenter.org/publications/policy-research/23418</x:v>
      </x:c>
      <x:c r="C127" s="24" t="str"/>
      <x:c r="D127" s="24" t="str">
        <x:v>DS-K04-SOURCE-DEEP-INTAKE,DS-K04-LITERATURE-SOURCE-AUDIT,DS-K04-CAUSEWAY-READING-002,DS-K04-MFB2023-RECON,DS-K04-MFB-TRANSFORM-LENS,DS-K04-CAUSEWAY-READING-003</x:v>
      </x:c>
      <x:c r="E127" s="24" t="n">
        <x:v>8</x:v>
      </x:c>
      <x:c r="F127" s="168" t="str">
        <x:v>Enhancing the Role of Microfinance Banks for Sustainable Impact in Yemen (2024)</x:v>
      </x:c>
      <x:c r="G127" s="168" t="str">
        <x:v>Sana’a Center for Strategic Studies</x:v>
      </x:c>
      <x:c r="H127" s="168" t="str">
        <x:v>Research and analysis on Yemen’s financial sector</x:v>
      </x:c>
      <x:c r="I127"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27" s="168" t="str">
        <x:v>The policy brief is not a current sector census, does not establish whether a named institution is operating now, and does not provide a national finance-access rate or causal impact estimate.</x:v>
      </x:c>
      <x:c r="K127" s="168" t="str">
        <x:v>FULL_PUBLIC_CARD</x:v>
      </x:c>
      <x:c r="L127" s="168" t="str">
        <x:v>تعزيز دور بنوك التمويل الأصغر لتحقيق أثر مستدام في اليمن (2024)</x:v>
      </x:c>
      <x:c r="M127" s="168" t="str">
        <x:v>البحوث والتحليلات حول القطاع المالي في اليمن</x:v>
      </x:c>
      <x:c r="N127"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27" s="168" t="str">
        <x:v>لا تمثل الورقة تعدادًا راهنًا للقطاع، ولا تثبت أن مؤسسة بعينها تعمل حاليًا، ولا تقدم معدلًا وطنيًا للوصول إلى التمويل أو تقديرًا سببيًا للأثر.</x:v>
      </x:c>
      <x:c r="S127" t="str">
        <x:v>NOT_ASSESSED</x:v>
      </x:c>
      <x:c r="Y127" t="str">
        <x:v>مركز صنعاء للدراسات الاستراتيجية</x:v>
      </x:c>
      <x:c r="Z127" t="str">
        <x:v>Research or policy paper</x:v>
      </x:c>
      <x:c r="AA127" t="str">
        <x:v>ورقة بحثية أو سياساتية</x:v>
      </x:c>
      <x:c r="AB127" t="str">
        <x:v>2024</x:v>
      </x:c>
    </x:row>
    <x:row r="128">
      <x:c r="A128" s="24" t="str">
        <x:v>SRC-MDPI-UTAUT-YEM-2022</x:v>
      </x:c>
      <x:c r="B128" s="24" t="str">
        <x:v>https://www.mdpi.com/2227-7099/10/10/259</x:v>
      </x:c>
      <x:c r="C128" s="24" t="str"/>
      <x:c r="D128" s="24" t="str">
        <x:v>DS-K04-SOURCE-DEEP-INTAKE,DS-K04-LITERATURE-SOURCE-AUDIT,DS-K04-CAUSEWAY-READING-002</x:v>
      </x:c>
      <x:c r="E128" s="24" t="n">
        <x:v>3</x:v>
      </x:c>
      <x:c r="F128" s="168" t="str">
        <x:v>Intention to Use E-Payments from the Perspective of the Unified Theory of Acceptance and Use of Technology (UTAUT): Evidence from Yemen (October 2022)</x:v>
      </x:c>
      <x:c r="G128" s="168" t="str">
        <x:v>Economies (MDPI)</x:v>
      </x:c>
      <x:c r="H128" s="168"/>
      <x:c r="I128" s="168"/>
      <x:c r="J128" s="168"/>
      <x:c r="K128" s="168" t="str">
        <x:v>CITATION_CARD</x:v>
      </x:c>
      <x:c r="L128" s="168" t="str">
        <x:v>نية استخدام المدفوعات الإلكترونية من منظور النظرية الموحدة لقبول التكنولوجيا واستخدامها (UTAUT): أدلة من اليمن (أكتوبر 2022)</x:v>
      </x:c>
      <x:c r="M128" s="168"/>
      <x:c r="N128" s="168"/>
      <x:c r="O128" s="168"/>
      <x:c r="S128" t="str">
        <x:v>NOT_ASSESSED</x:v>
      </x:c>
      <x:c r="Y128" t="str">
        <x:v>مجلة Economies (الناشر MDPI)</x:v>
      </x:c>
      <x:c r="Z128" t="str">
        <x:v>Research or policy paper</x:v>
      </x:c>
      <x:c r="AA128" t="str">
        <x:v>ورقة بحثية أو سياساتية</x:v>
      </x:c>
      <x:c r="AB128" t="str">
        <x:v>2022-10-18</x:v>
      </x:c>
    </x:row>
    <x:row r="129">
      <x:c r="A129" s="24" t="str">
        <x:v>SRC-IBS-EPAY-YEM-2020</x:v>
      </x:c>
      <x:c r="B129" s="24" t="str">
        <x:v>https://www.findevgateway.org/paper/2020/10/electronic-payment-services-yemen-challenges-and-opportunities-success</x:v>
      </x:c>
      <x:c r="C129"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29" s="24" t="str">
        <x:v>DS-K04-SOURCE-DEEP-INTAKE,DS-K04-LITERATURE-SOURCE-AUDIT,DS-K04-IBS2020-UPSTREAM,DS-K04-IBS2020-RECON</x:v>
      </x:c>
      <x:c r="E129" s="24" t="n">
        <x:v>4</x:v>
      </x:c>
      <x:c r="F129" s="168" t="str">
        <x:v>Electronic Payment Services in Yemen: Challenges and Opportunities for Success (October 2020)</x:v>
      </x:c>
      <x:c r="G129" s="168" t="str">
        <x:v>Institute of Banking Studies (IBS)</x:v>
      </x:c>
      <x:c r="H129" s="168"/>
      <x:c r="I129" s="168"/>
      <x:c r="J129" s="168"/>
      <x:c r="K129" s="168" t="str">
        <x:v>CITATION_CARD</x:v>
      </x:c>
      <x:c r="L129" s="168" t="str">
        <x:v>خدمات الدفع الإلكتروني في اليمن: التحديات وفرص النجاح (أكتوبر 2020)</x:v>
      </x:c>
      <x:c r="M129" s="168"/>
      <x:c r="N129" s="168"/>
      <x:c r="O129" s="168"/>
      <x:c r="S129" t="str">
        <x:v>NOT_ASSESSED</x:v>
      </x:c>
      <x:c r="Y129" t="str">
        <x:v>معهد الدراسات المصرفية</x:v>
      </x:c>
      <x:c r="Z129" t="str">
        <x:v>Research or policy paper</x:v>
      </x:c>
      <x:c r="AA129" t="str">
        <x:v>ورقة بحثية أو سياساتية</x:v>
      </x:c>
      <x:c r="AB129" t="str">
        <x:v>2020-10</x:v>
      </x:c>
    </x:row>
    <x:row r="130">
      <x:c r="A130" s="24" t="str">
        <x:v>SRC-ADEN-CBY-LIQ-2016</x:v>
      </x:c>
      <x:c r="B130" s="24" t="str">
        <x:v>https://search.mandumah.com/Record/932295</x:v>
      </x:c>
      <x:c r="C130" s="24" t="str"/>
      <x:c r="D130" s="24" t="str">
        <x:v>DS-K04-SOURCE-DEEP-INTAKE,DS-K04-LITERATURE-SOURCE-AUDIT</x:v>
      </x:c>
      <x:c r="E130" s="24" t="n">
        <x:v>2</x:v>
      </x:c>
      <x:c r="F130" s="168"/>
      <x:c r="G130" s="168"/>
      <x:c r="H130" s="168"/>
      <x:c r="I130" s="168"/>
      <x:c r="J130" s="168"/>
      <x:c r="K130" s="168" t="str">
        <x:v>LOCATOR_ONLY</x:v>
      </x:c>
      <x:c r="L130" s="168"/>
      <x:c r="M130" s="168"/>
      <x:c r="N130" s="168"/>
      <x:c r="O130" s="168"/>
      <x:c r="S130" t="str">
        <x:v>NOT_ASSESSED</x:v>
      </x:c>
    </x:row>
    <x:row r="131">
      <x:c r="A131" s="24" t="str">
        <x:v>SRC-SFD-SMED-LP-2023-NOV</x:v>
      </x:c>
      <x:c r="B131" s="24" t="str">
        <x:v>https://smed.sfd-yemen.org/index.php/en/blog-4/aaflp1/477-nov-2023</x:v>
      </x:c>
      <x:c r="C131" s="24" t="str"/>
      <x:c r="D131" s="24" t="str">
        <x:v>DS-K04-MFB2023-RECON,DS-K04-MFB-TRANSFORM-LENS</x:v>
      </x:c>
      <x:c r="E131" s="24" t="n">
        <x:v>2</x:v>
      </x:c>
      <x:c r="F131" s="168" t="str">
        <x:v>Small and Microenterprise Development (SMED) loan portfolio archive: November 2023 page</x:v>
      </x:c>
      <x:c r="G131" s="168" t="str">
        <x:v>Social Fund for Development (SFD)</x:v>
      </x:c>
      <x:c r="H131" s="168"/>
      <x:c r="I131" s="168"/>
      <x:c r="J131" s="168"/>
      <x:c r="K131" s="168" t="str">
        <x:v>CITATION_CARD</x:v>
      </x:c>
      <x:c r="L131" s="168" t="str">
        <x:v>أرشيف المحفظة الإقراضية لوحدة تنمية المنشآت الصغيرة والأصغر (SMED): صفحة نوفمبر 2023</x:v>
      </x:c>
      <x:c r="M131" s="168"/>
      <x:c r="N131" s="168"/>
      <x:c r="O131" s="168"/>
      <x:c r="S131" t="str">
        <x:v>NOT_ASSESSED</x:v>
      </x:c>
      <x:c r="Y131" t="str">
        <x:v>الصندوق الاجتماعي للتنمية</x:v>
      </x:c>
      <x:c r="Z131" t="str">
        <x:v>Database or web interface</x:v>
      </x:c>
      <x:c r="AA131" t="str">
        <x:v>قاعدة بيانات أو واجهة إلكترونية</x:v>
      </x:c>
    </x:row>
    <x:row r="132">
      <x:c r="A132" s="24" t="str">
        <x:v>SRC-MOPIC-YSEU-2023-080</x:v>
      </x:c>
      <x:c r="B132" s="24"/>
      <x:c r="C132" s="24" t="str"/>
      <x:c r="D132" s="24" t="str">
        <x:v>DS-K04-MFB2023-RECON — primary public locator unresolved; retain only as bounded cited dependency until source is recovered</x:v>
      </x:c>
      <x:c r="E132" s="24" t="n">
        <x:v>1</x:v>
      </x:c>
      <x:c r="F132" s="168"/>
      <x:c r="G132" s="168"/>
      <x:c r="H132" s="168"/>
      <x:c r="I132" s="168"/>
      <x:c r="J132" s="168"/>
      <x:c r="K132" s="168" t="str">
        <x:v>LOCATOR_ONLY</x:v>
      </x:c>
      <x:c r="L132" s="168"/>
      <x:c r="M132" s="168"/>
      <x:c r="N132" s="168"/>
      <x:c r="O132" s="168"/>
      <x:c r="S132" t="str">
        <x:v>NOT_ASSESSED</x:v>
      </x:c>
    </x:row>
    <x:row r="133">
      <x:c r="A133" s="24" t="str">
        <x:v>SRC-SANAA-SOCPROT-2024</x:v>
      </x:c>
      <x:c r="B133" s="24" t="str">
        <x:v>https://sanaacenter.org/publications/policy-research/22910</x:v>
      </x:c>
      <x:c r="C133" s="24" t="str"/>
      <x:c r="D133" s="24" t="str">
        <x:v>DS-K04-MFB2023-RECON,DS-K04-CAUSEWAY-READING-003</x:v>
      </x:c>
      <x:c r="E133" s="24" t="n">
        <x:v>2</x:v>
      </x:c>
      <x:c r="F133" s="168" t="str">
        <x:v>From Vulnerability to Empowerment: The Future of Social Protection in Yemen (July 2024)</x:v>
      </x:c>
      <x:c r="G133" s="168" t="str">
        <x:v>Sana’a Center for Strategic Studies</x:v>
      </x:c>
      <x:c r="H133" s="168"/>
      <x:c r="I133" s="168"/>
      <x:c r="J133" s="168"/>
      <x:c r="K133" s="168" t="str">
        <x:v>CITATION_CARD</x:v>
      </x:c>
      <x:c r="L133" s="168" t="str">
        <x:v>من الهشاشة إلى التمكين: مستقبل الحماية الاجتماعية في اليمن (يوليو 2024)</x:v>
      </x:c>
      <x:c r="M133" s="168"/>
      <x:c r="N133" s="168"/>
      <x:c r="O133" s="168"/>
      <x:c r="S133" t="str">
        <x:v>NOT_ASSESSED</x:v>
      </x:c>
      <x:c r="Y133" t="str">
        <x:v>مركز صنعاء للدراسات الاستراتيجية</x:v>
      </x:c>
      <x:c r="Z133" t="str">
        <x:v>Research or policy paper</x:v>
      </x:c>
      <x:c r="AA133" t="str">
        <x:v>ورقة بحثية أو سياساتية</x:v>
      </x:c>
      <x:c r="AB133" t="str">
        <x:v>2024-07-09</x:v>
      </x:c>
    </x:row>
    <x:row r="134">
      <x:c r="A134" s="24" t="str">
        <x:v>SRC-SANAA-YR-2025-Q2-MFB</x:v>
      </x:c>
      <x:c r="B134" s="24" t="str">
        <x:v>https://sanaacenter.org/the-yemen-review/april-june-2025/25056</x:v>
      </x:c>
      <x:c r="C134" s="24" t="str"/>
      <x:c r="D134" s="24" t="str">
        <x:v>DS-K04-MFB2023-RECON,DS-K04-CAUSEWAY-READING-003</x:v>
      </x:c>
      <x:c r="E134" s="24" t="n">
        <x:v>1</x:v>
      </x:c>
      <x:c r="F134" s="168" t="str">
        <x:v>The Economy — The Yemen Review Quarterly: April–June 2025 (July 2025)</x:v>
      </x:c>
      <x:c r="G134" s="168" t="str">
        <x:v>Sana’a Center for Strategic Studies</x:v>
      </x:c>
      <x:c r="H134" s="168"/>
      <x:c r="I134" s="168"/>
      <x:c r="J134" s="168"/>
      <x:c r="K134" s="168" t="str">
        <x:v>CITATION_CARD</x:v>
      </x:c>
      <x:c r="L134" s="168" t="str">
        <x:v>باب الاقتصاد في التقرير الفصلي The Yemen Review: أبريل–يونيو 2025 (يوليو 2025)</x:v>
      </x:c>
      <x:c r="M134" s="168"/>
      <x:c r="N134" s="168"/>
      <x:c r="O134" s="168"/>
      <x:c r="S134" t="str">
        <x:v>NOT_ASSESSED</x:v>
      </x:c>
      <x:c r="Y134" t="str">
        <x:v>مركز صنعاء للدراسات الاستراتيجية</x:v>
      </x:c>
      <x:c r="Z134" t="str">
        <x:v>Newsletter</x:v>
      </x:c>
      <x:c r="AA134" t="str">
        <x:v>نشرة دورية</x:v>
      </x:c>
      <x:c r="AB134" t="str">
        <x:v>2025-07-22</x:v>
      </x:c>
    </x:row>
    <x:row r="135">
      <x:c r="A135" s="24" t="str">
        <x:v>SRC-SMEPS-AR2024-2025</x:v>
      </x:c>
      <x:c r="B135" s="24" t="str">
        <x:v>https://smeps.org.ye/post/85</x:v>
      </x:c>
      <x:c r="C135" s="24" t="str">
        <x:v>["https://smeps.org.ye/upfiles/posts/SMEPS_File_08-10-2025-44011.pdf"]</x:v>
      </x:c>
      <x:c r="D135" s="24" t="str">
        <x:v>DS-SMEPS-2024-PROGRAMME-EVIDENCE</x:v>
      </x:c>
      <x:c r="E135" s="24" t="n">
        <x:v>28</x:v>
      </x:c>
      <x:c r="F135" s="168" t="str">
        <x:v>Small and Micro Enterprise Promotion Service (SMEPS) Annual Report 2024</x:v>
      </x:c>
      <x:c r="G135" s="168" t="str">
        <x:v>Small and Micro Enterprise Promotion Service (SMEPS)</x:v>
      </x:c>
      <x:c r="H135" s="168"/>
      <x:c r="I135" s="168"/>
      <x:c r="J135" s="168"/>
      <x:c r="K135" s="168" t="str">
        <x:v>CITATION_CARD</x:v>
      </x:c>
      <x:c r="L135" s="168" t="str">
        <x:v>التقرير السنوي لوكالة تنمية المنشآت الصغيرة والأصغر (SMEPS) لعام 2024</x:v>
      </x:c>
      <x:c r="M135" s="168"/>
      <x:c r="N135" s="168"/>
      <x:c r="O135" s="168"/>
      <x:c r="S135" t="str">
        <x:v>NOT_ASSESSED</x:v>
      </x:c>
      <x:c r="Y135" t="str">
        <x:v>وكالة تنمية المنشآت الصغيرة والأصغر</x:v>
      </x:c>
      <x:c r="Z135" t="str">
        <x:v>Annual report</x:v>
      </x:c>
      <x:c r="AA135" t="str">
        <x:v>تقرير سنوي</x:v>
      </x:c>
    </x:row>
    <x:row r="136">
      <x:c r="A136" s="24" t="str">
        <x:v>SRC-UNDP-FMIIP-001</x:v>
      </x:c>
      <x:c r="B136" s="24" t="str">
        <x:v>https://www.undp.org/yemen/projects/yemen-financial-market-infrastructure-and-inclusion-project</x:v>
      </x:c>
      <x:c r="C136" s="24" t="str">
        <x:v>["https://www.undp.org/ar/yemen/projects/mshrw-albnyt-althtyt-llaswaq-walshmwl-almaly-fy-alymn-fmiip"]</x:v>
      </x:c>
      <x:c r="D136" s="24" t="str">
        <x:v>DS-FMIIP-PROJECT-RESULTS, DS-FMIIP-IMPLEMENTATION-2026, 49_METRIC_CROSSWALK</x:v>
      </x:c>
      <x:c r="E136" s="24" t="n">
        <x:v>1</x:v>
      </x:c>
      <x:c r="F136" s="168" t="str">
        <x:v>Yemen Financial Market Infrastructure and Inclusion Project (FMIIP): implementation overview (2025–2030)</x:v>
      </x:c>
      <x:c r="G136" s="168" t="str">
        <x:v>United Nations Development Programme (UNDP)</x:v>
      </x:c>
      <x:c r="H136" s="168" t="str">
        <x:v>Programmes and projects in Yemen</x:v>
      </x:c>
      <x:c r="I136" s="168" t="str">
        <x:v>Official implementation overview for FMIIP, including the distinct FPS, RTGS/core-banking, access-and-use, and project-management components and the project's published result targets.</x:v>
      </x:c>
      <x:c r="J136" s="168" t="str">
        <x:v>Project design, funding, targets or implementation activity do not by themselves establish full go-live, reliable operation, adoption, unique active users or a financial-inclusion outcome.</x:v>
      </x:c>
      <x:c r="K136" s="168" t="str">
        <x:v>FULL_PUBLIC_CARD</x:v>
      </x:c>
      <x:c r="L136" s="168" t="str">
        <x:v>مشروع البنية التحتية للأسواق المالية والشمول المالي في اليمن (FMIIP): نظرة عامة على التنفيذ (2025–2030)</x:v>
      </x:c>
      <x:c r="M136" s="168" t="str">
        <x:v>البرامج والمشروعات في اليمن</x:v>
      </x:c>
      <x:c r="N136"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36"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36" t="str">
        <x:v>NOT_ASSESSED</x:v>
      </x:c>
      <x:c r="Y136" t="str">
        <x:v>برنامج الأمم المتحدة الإنمائي</x:v>
      </x:c>
      <x:c r="Z136" t="str">
        <x:v>Event or programme page</x:v>
      </x:c>
      <x:c r="AA136" t="str">
        <x:v>صفحة فعالية أو برنامج</x:v>
      </x:c>
    </x:row>
    <x:row r="137">
      <x:c r="A137" s="24" t="str">
        <x:v>SRC-WB-YEM-OUTLOOK-2016-001</x:v>
      </x:c>
      <x:c r="B137" s="24" t="str">
        <x:v>https://www.worldbank.org/en/country/yemen/publication/economic-outlook-spring-2016</x:v>
      </x:c>
      <x:c r="C137" s="24" t="str"/>
      <x:c r="D137" s="24" t="str">
        <x:v>DS-V4R3-SYSTEM-CHRONOLOGY</x:v>
      </x:c>
      <x:c r="E137" s="24" t="n">
        <x:v>2</x:v>
      </x:c>
      <x:c r="F137" s="168" t="str">
        <x:v>Yemen's Economic Outlook, Spring 2016</x:v>
      </x:c>
      <x:c r="G137" s="168" t="str">
        <x:v>World Bank</x:v>
      </x:c>
      <x:c r="H137" s="168"/>
      <x:c r="I137" s="168"/>
      <x:c r="J137" s="168"/>
      <x:c r="K137" s="168" t="str">
        <x:v>CITATION_CARD</x:v>
      </x:c>
      <x:c r="L137" s="168" t="str">
        <x:v>الآفاق الاقتصادية لليمن، ربيع 2016</x:v>
      </x:c>
      <x:c r="M137" s="168"/>
      <x:c r="N137" s="168"/>
      <x:c r="O137" s="168"/>
      <x:c r="S137" t="str">
        <x:v>NOT_ASSESSED</x:v>
      </x:c>
      <x:c r="Y137" t="str">
        <x:v>البنك الدولي</x:v>
      </x:c>
      <x:c r="Z137" t="str">
        <x:v>Research or policy paper</x:v>
      </x:c>
      <x:c r="AA137" t="str">
        <x:v>ورقة بحثية أو سياساتية</x:v>
      </x:c>
      <x:c r="AB137" t="str">
        <x:v>2016</x:v>
      </x:c>
    </x:row>
    <x:row r="138">
      <x:c r="A138" s="24" t="str">
        <x:v>SRC-WB-YEM-MONITOR-FALL2018-001</x:v>
      </x:c>
      <x:c r="B138" s="24" t="str">
        <x:v>https://documents1.worldbank.org/curated/en/508301539801659212/pdf/130967-REVISED-BRI-PUBLIC-Disclosed-10-19-2018.pdf</x:v>
      </x:c>
      <x:c r="C138" s="24" t="str">
        <x:v>["https://documents1.worldbank.org/curated/en/860331539801787860/pdf/130967-REVISED-BRI-ARABIC-PUBLIC-Disclosed-10-19-2018.pdf"]</x:v>
      </x:c>
      <x:c r="D138" s="24" t="str">
        <x:v>DS-V4R3-SYSTEM-CHRONOLOGY</x:v>
      </x:c>
      <x:c r="E138" s="24" t="n">
        <x:v>1</x:v>
      </x:c>
      <x:c r="F138" s="168" t="str">
        <x:v>Yemen Economic Monitoring Brief, Fall 2018</x:v>
      </x:c>
      <x:c r="G138" s="168" t="str">
        <x:v>World Bank</x:v>
      </x:c>
      <x:c r="H138" s="168"/>
      <x:c r="I138" s="168"/>
      <x:c r="J138" s="168"/>
      <x:c r="K138" s="168" t="str">
        <x:v>CITATION_CARD</x:v>
      </x:c>
      <x:c r="L138" s="168" t="str">
        <x:v>موجز الرصد الاقتصادي لليمن، خريف 2018</x:v>
      </x:c>
      <x:c r="M138" s="168"/>
      <x:c r="N138" s="168"/>
      <x:c r="O138" s="168"/>
      <x:c r="S138" t="str">
        <x:v>NOT_ASSESSED</x:v>
      </x:c>
      <x:c r="Y138" t="str">
        <x:v>البنك الدولي</x:v>
      </x:c>
      <x:c r="Z138" t="str">
        <x:v>Research or policy paper</x:v>
      </x:c>
      <x:c r="AA138" t="str">
        <x:v>ورقة بحثية أو سياساتية</x:v>
      </x:c>
      <x:c r="AB138" t="str">
        <x:v>2018</x:v>
      </x:c>
    </x:row>
    <x:row r="139">
      <x:c r="A139" s="24" t="str">
        <x:v>SRC-SPA-SAU-CBY-DEPOSIT-2018-001</x:v>
      </x:c>
      <x:c r="B139" s="24" t="str">
        <x:v>https://www.spa.gov.sa/w643267</x:v>
      </x:c>
      <x:c r="C139" s="24" t="str">
        <x:v>["https://www.spa.gov.sa/1739575"]</x:v>
      </x:c>
      <x:c r="D139" s="24" t="str">
        <x:v>DS-V4R3-SYSTEM-CHRONOLOGY</x:v>
      </x:c>
      <x:c r="E139" s="24" t="n">
        <x:v>1</x:v>
      </x:c>
      <x:c r="F139" s="168" t="str">
        <x:v>Saudi directive and agreement on a US$2 billion deposit to the Central Bank of Yemen (January–March 2018)</x:v>
      </x:c>
      <x:c r="G139" s="168" t="str">
        <x:v>Saudi Press Agency</x:v>
      </x:c>
      <x:c r="H139" s="168"/>
      <x:c r="I139" s="168"/>
      <x:c r="J139" s="168"/>
      <x:c r="K139" s="168" t="str">
        <x:v>CITATION_CARD</x:v>
      </x:c>
      <x:c r="L139" s="168" t="str">
        <x:v>توجيه سعودي واتفاقية بشأن وديعة بقيمة ملياري دولار في البنك المركزي اليمني (يناير–مارس 2018)</x:v>
      </x:c>
      <x:c r="M139" s="168"/>
      <x:c r="N139" s="168"/>
      <x:c r="O139" s="168"/>
      <x:c r="S139" t="str">
        <x:v>NOT_ASSESSED</x:v>
      </x:c>
      <x:c r="Y139" t="str">
        <x:v>وكالة الأنباء السعودية</x:v>
      </x:c>
      <x:c r="Z139" t="str">
        <x:v>News release</x:v>
      </x:c>
      <x:c r="AA139" t="str">
        <x:v>بيان صحفي</x:v>
      </x:c>
    </x:row>
    <x:row r="140">
      <x:c r="A140" s="24" t="str">
        <x:v>SRC-WB-YEM-MEU-2019-12-001</x:v>
      </x:c>
      <x:c r="B140" s="24" t="str">
        <x:v>https://documents1.worldbank.org/curated/en/812731581364170917/pdf/Yemen-Monthly-Economic-Update-December-2019.pdf</x:v>
      </x:c>
      <x:c r="C140" s="24" t="str"/>
      <x:c r="D140" s="24" t="str">
        <x:v>DS-V4R3-SYSTEM-CHRONOLOGY</x:v>
      </x:c>
      <x:c r="E140" s="24" t="n">
        <x:v>1</x:v>
      </x:c>
      <x:c r="F140" s="168" t="str">
        <x:v>Yemen Monthly Economic Update, December 2019</x:v>
      </x:c>
      <x:c r="G140" s="168" t="str">
        <x:v>World Bank</x:v>
      </x:c>
      <x:c r="H140" s="168"/>
      <x:c r="I140" s="168"/>
      <x:c r="J140" s="168"/>
      <x:c r="K140" s="168" t="str">
        <x:v>CITATION_CARD</x:v>
      </x:c>
      <x:c r="L140" s="168" t="str">
        <x:v>التحديث الاقتصادي الشهري لليمن، ديسمبر 2019</x:v>
      </x:c>
      <x:c r="M140" s="168"/>
      <x:c r="N140" s="168"/>
      <x:c r="O140" s="168"/>
      <x:c r="S140" t="str">
        <x:v>NOT_ASSESSED</x:v>
      </x:c>
      <x:c r="Y140" t="str">
        <x:v>البنك الدولي</x:v>
      </x:c>
      <x:c r="Z140" t="str">
        <x:v>Research or policy paper</x:v>
      </x:c>
      <x:c r="AA140" t="str">
        <x:v>ورقة بحثية أو سياساتية</x:v>
      </x:c>
      <x:c r="AB140" t="str">
        <x:v>2019-12</x:v>
      </x:c>
    </x:row>
    <x:row r="141">
      <x:c r="A141" s="24" t="str">
        <x:v>SRC-WB-YEM-ECON-2020-04-001</x:v>
      </x:c>
      <x:c r="B141" s="24" t="str">
        <x:v>https://www.worldbank.org/en/country/yemen/publication/economic-update-april-2020</x:v>
      </x:c>
      <x:c r="C141" s="24" t="str">
        <x:v>["https://documents1.worldbank.org/curated/en/306471584593583827/pdf/Yemen-Monthly-Economic-Update-February-2020.pdf"]</x:v>
      </x:c>
      <x:c r="D141" s="24" t="str">
        <x:v>DS-V4R3-SYSTEM-CHRONOLOGY</x:v>
      </x:c>
      <x:c r="E141" s="24" t="n">
        <x:v>1</x:v>
      </x:c>
      <x:c r="F141" s="168" t="str">
        <x:v>Yemen's Economic Update, April 2020</x:v>
      </x:c>
      <x:c r="G141" s="168" t="str">
        <x:v>World Bank</x:v>
      </x:c>
      <x:c r="H141" s="168"/>
      <x:c r="I141" s="168"/>
      <x:c r="J141" s="168"/>
      <x:c r="K141" s="168" t="str">
        <x:v>CITATION_CARD</x:v>
      </x:c>
      <x:c r="L141" s="168" t="str">
        <x:v>المستجدات الاقتصادية في اليمن، أبريل 2020</x:v>
      </x:c>
      <x:c r="M141" s="168"/>
      <x:c r="N141" s="168"/>
      <x:c r="O141" s="168"/>
      <x:c r="S141" t="str">
        <x:v>NOT_ASSESSED</x:v>
      </x:c>
      <x:c r="Y141" t="str">
        <x:v>البنك الدولي</x:v>
      </x:c>
      <x:c r="Z141" t="str">
        <x:v>Research or policy paper</x:v>
      </x:c>
      <x:c r="AA141" t="str">
        <x:v>ورقة بحثية أو سياساتية</x:v>
      </x:c>
      <x:c r="AB141" t="str">
        <x:v>2020-04-16</x:v>
      </x:c>
    </x:row>
    <x:row r="142">
      <x:c r="A142" s="24" t="str">
        <x:v>SRC-SPA-SAU-CBY-DEPOSIT-2023-001</x:v>
      </x:c>
      <x:c r="B142" s="24" t="str">
        <x:v>https://www.spa.gov.sa/w1857622</x:v>
      </x:c>
      <x:c r="C142" s="24" t="str"/>
      <x:c r="D142" s="24" t="str">
        <x:v>DS-V4R3-SYSTEM-CHRONOLOGY</x:v>
      </x:c>
      <x:c r="E142" s="24" t="n">
        <x:v>2</x:v>
      </x:c>
      <x:c r="F142" s="168" t="str">
        <x:v>Agreement on a US$1 billion Saudi deposit to the Central Bank of Yemen (21 February 2023)</x:v>
      </x:c>
      <x:c r="G142" s="168" t="str">
        <x:v>Saudi Press Agency</x:v>
      </x:c>
      <x:c r="H142" s="168"/>
      <x:c r="I142" s="168"/>
      <x:c r="J142" s="168"/>
      <x:c r="K142" s="168" t="str">
        <x:v>CITATION_CARD</x:v>
      </x:c>
      <x:c r="L142" s="168" t="str">
        <x:v>اتفاقية وديعة سعودية بقيمة مليار دولار في البنك المركزي اليمني (21 فبراير 2023)</x:v>
      </x:c>
      <x:c r="M142" s="168"/>
      <x:c r="N142" s="168"/>
      <x:c r="O142" s="168"/>
      <x:c r="S142" t="str">
        <x:v>NOT_ASSESSED</x:v>
      </x:c>
      <x:c r="Y142" t="str">
        <x:v>وكالة الأنباء السعودية</x:v>
      </x:c>
      <x:c r="Z142" t="str">
        <x:v>News release</x:v>
      </x:c>
      <x:c r="AA142" t="str">
        <x:v>بيان صحفي</x:v>
      </x:c>
    </x:row>
    <x:row r="143">
      <x:c r="A143" s="24" t="str">
        <x:v>SRC-WB-YEM-FRAGMENTATION-2025-001</x:v>
      </x:c>
      <x:c r="B143" s="24" t="str">
        <x:v>https://documents1.worldbank.org/curated/en/099052825174515006/pdf/BOSIB-524dd7c7-d52c-4876-80ed-1e3ea9df2463.pdf</x:v>
      </x:c>
      <x:c r="C143" s="24" t="str">
        <x:v>["https://documents1.worldbank.org/curated/en/099943010292431765/pdf/IDU1f65eefe71d79414f1618a511921980f32f1b.pdf"]</x:v>
      </x:c>
      <x:c r="D143" s="24" t="str">
        <x:v>DS-V4R3-SYSTEM-CHRONOLOGY</x:v>
      </x:c>
      <x:c r="E143" s="24" t="n">
        <x:v>2</x:v>
      </x:c>
      <x:c r="F143" s="168" t="str">
        <x:v>Yemen Financial Market Infrastructure and Inclusion Project (FMIIP, P180708): appraisal document (project approved 17 June 2025)</x:v>
      </x:c>
      <x:c r="G143" s="168" t="str">
        <x:v>World Bank</x:v>
      </x:c>
      <x:c r="H143" s="168"/>
      <x:c r="I143" s="168"/>
      <x:c r="J143" s="168"/>
      <x:c r="K143" s="168" t="str">
        <x:v>CITATION_CARD</x:v>
      </x:c>
      <x:c r="L143" s="168" t="str">
        <x:v>مشروع البنية التحتية للأسواق المالية والشمول المالي في اليمن (FMIIP، P180708): وثيقة التقييم المسبق (أُقرّ المشروع في 17 يونيو 2025)</x:v>
      </x:c>
      <x:c r="M143" s="168"/>
      <x:c r="N143" s="168"/>
      <x:c r="O143" s="168"/>
      <x:c r="S143" t="str">
        <x:v>NOT_ASSESSED</x:v>
      </x:c>
      <x:c r="Y143" t="str">
        <x:v>البنك الدولي</x:v>
      </x:c>
      <x:c r="Z143" t="str">
        <x:v>Project document</x:v>
      </x:c>
      <x:c r="AA143" t="str">
        <x:v>وثيقة مشروع</x:v>
      </x:c>
    </x:row>
    <x:row r="144">
      <x:c r="A144" s="24" t="str">
        <x:v>SRC-SPA-SAU-BUDGET-2026-001</x:v>
      </x:c>
      <x:c r="B144" s="24" t="str">
        <x:v>https://www.spa.gov.sa/en/N2525739</x:v>
      </x:c>
      <x:c r="C144" s="24" t="str">
        <x:v>["https://www.spa.gov.sa/N2525728"]</x:v>
      </x:c>
      <x:c r="D144" s="24" t="str">
        <x:v>DS-V4R3-SYSTEM-CHRONOLOGY</x:v>
      </x:c>
      <x:c r="E144" s="24" t="n">
        <x:v>1</x:v>
      </x:c>
      <x:c r="F144" s="168" t="str">
        <x:v>Agreement between the Saudi Development and Reconstruction Program for Yemen (SDRPY) and Yemen's Ministry of Finance on SAR1.3 billion in economic support (1 March 2026)</x:v>
      </x:c>
      <x:c r="G144" s="168" t="str">
        <x:v>Saudi Press Agency</x:v>
      </x:c>
      <x:c r="H144" s="168"/>
      <x:c r="I144" s="168"/>
      <x:c r="J144" s="168"/>
      <x:c r="K144" s="168" t="str">
        <x:v>CITATION_CARD</x:v>
      </x:c>
      <x:c r="L144" s="168" t="str">
        <x:v>اتفاقية بين البرنامج السعودي لتنمية وإعمار اليمن (SDRPY) ووزارة المالية اليمنية بشأن دعم اقتصادي بقيمة 1.3 مليار ريال سعودي (1 مارس 2026)</x:v>
      </x:c>
      <x:c r="M144" s="168"/>
      <x:c r="N144" s="168"/>
      <x:c r="O144" s="168"/>
      <x:c r="S144" t="str">
        <x:v>NOT_ASSESSED</x:v>
      </x:c>
      <x:c r="Y144" t="str">
        <x:v>وكالة الأنباء السعودية</x:v>
      </x:c>
      <x:c r="Z144" t="str">
        <x:v>News release</x:v>
      </x:c>
      <x:c r="AA144" t="str">
        <x:v>بيان صحفي</x:v>
      </x:c>
    </x:row>
    <x:row r="145">
      <x:c r="A145" s="24" t="str">
        <x:v>SRC-OECD-INFE-2023</x:v>
      </x:c>
      <x:c r="B145" s="24" t="str">
        <x:v>https://www.oecd.org/content/dam/oecd/en/publications/reports/2023/12/oecd-infe-2023-international-survey-of-adult-financial-literacy_8ce94e2c/56003a32-en.pdf</x:v>
      </x:c>
      <x:c r="C145" s="24" t="str"/>
      <x:c r="D145" s="24" t="str">
        <x:v>OECD/INFE method and benchmarks</x:v>
      </x:c>
      <x:c r="E145" s="24" t="str"/>
      <x:c r="F145" s="168" t="str">
        <x:v>OECD/INFE 2023 International Survey of Adult Financial Literacy</x:v>
      </x:c>
      <x:c r="G145" s="168" t="str">
        <x:v>OECD</x:v>
      </x:c>
      <x:c r="H145" s="168" t="str">
        <x:v>Measurement methods and international references</x:v>
      </x:c>
      <x:c r="I145"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45" s="168" t="str">
        <x:v>The international report does not by itself resolve Yemen-specific sampling, coverage or currentness questions, and it does not replace the underlying Yemen survey evidence or establish the situation of Yemen's population in 2026.</x:v>
      </x:c>
      <x:c r="K145" s="168" t="str">
        <x:v>FULL_PUBLIC_CARD</x:v>
      </x:c>
      <x:c r="L145" s="168" t="str">
        <x:v>المسح الدولي OECD/INFE لعام 2023 حول الثقافة المالية للبالغين</x:v>
      </x:c>
      <x:c r="M145" s="168" t="str">
        <x:v>مناهج القياس ومراجع دولية</x:v>
      </x:c>
      <x:c r="N145"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45"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45" t="str">
        <x:v>NOT_ASSESSED</x:v>
      </x:c>
      <x:c r="W145" t="str">
        <x:v>survey</x:v>
      </x:c>
      <x:c r="Y145" t="str">
        <x:v>منظمة التعاون الاقتصادي والتنمية</x:v>
      </x:c>
      <x:c r="Z145" t="str">
        <x:v>Survey dataset or indicator</x:v>
      </x:c>
      <x:c r="AA145" t="str">
        <x:v>مسح أو مؤشر</x:v>
      </x:c>
      <x:c r="AB145" t="str">
        <x:v>2023</x:v>
      </x:c>
    </x:row>
    <x:row r="146">
      <x:c r="A146" s="142" t="str">
        <x:v>SRC-WB-FINDEX-2025-EDITION</x:v>
      </x:c>
      <x:c r="B146" s="142" t="str">
        <x:v>https://www.worldbank.org/en/publication/globalfindex/download-data</x:v>
      </x:c>
      <x:c r="C146" s="142" t="str">
        <x:v>["https://www.worldbank.org/en/publication/globalfindex/report"]</x:v>
      </x:c>
      <x:c r="D146" s="142" t="str">
        <x:v>DS-FINDEX-CURRENTNESS</x:v>
      </x:c>
      <x:c r="E146" s="142" t="n">
        <x:v>1</x:v>
      </x:c>
      <x:c r="F146" s="168" t="str">
        <x:v>The Global Findex Database 2025: report, data and methodology</x:v>
      </x:c>
      <x:c r="G146" s="168" t="str">
        <x:v>World Bank</x:v>
      </x:c>
      <x:c r="H146" s="168" t="str">
        <x:v>Measurement methods and international references</x:v>
      </x:c>
      <x:c r="I146" s="168" t="str">
        <x:v>Provides the current global demand-side financial-inclusion measurement framework, report, data resources and methodology used to interpret currentness, definitions and cross-country measurement practice.</x:v>
      </x:c>
      <x:c r="J146" s="168" t="str">
        <x:v>The 2025 edition does not create a newer Yemen population estimate where no comparable Yemen observation exists; Yemen's available representative observation retains its own wave and fieldwork dates.</x:v>
      </x:c>
      <x:c r="K146" s="168" t="str">
        <x:v>FULL_PUBLIC_CARD</x:v>
      </x:c>
      <x:c r="L146" s="168" t="str">
        <x:v>قاعدة بيانات المؤشر العالمي للشمول المالي (Global Findex) 2025: التقرير والبيانات والمنهجية</x:v>
      </x:c>
      <x:c r="M146" s="168" t="str">
        <x:v>مناهج القياس ومراجع دولية</x:v>
      </x:c>
      <x:c r="N146"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46"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46" t="str">
        <x:v>NOT_ASSESSED</x:v>
      </x:c>
      <x:c r="Y146" t="str">
        <x:v>البنك الدولي</x:v>
      </x:c>
      <x:c r="Z146" t="str">
        <x:v>Data portal</x:v>
      </x:c>
      <x:c r="AA146" t="str">
        <x:v>بوابة بيانات</x:v>
      </x:c>
      <x:c r="AB146" t="str">
        <x:v>2025</x:v>
      </x:c>
    </x:row>
    <x:row r="147">
      <x:c r="A147" s="142" t="str">
        <x:v>SRC-WB-FMIIP-P180708</x:v>
      </x:c>
      <x:c r="B147" s="142" t="str">
        <x:v>https://maps.worldbank.org/projects/wb/pid/P180708?status=active</x:v>
      </x:c>
      <x:c r="C147" s="142" t="str">
        <x:v>["https://www.worldbank.org/en/news/press-release/2025/06/17/world-bank-approves-us-30-million-to-support-financial-inclusion-and-education-in-yemen", "https://documents1.worldbank.org/curated/en/099092225124020645/pdf/P180708-5de900d7-912a-4077-a4f4-f1664228ab67.pdf"]</x:v>
      </x:c>
      <x:c r="D147" s="142" t="str">
        <x:v>DS-FMIIP-PROJECT-RESULTS</x:v>
      </x:c>
      <x:c r="E147" s="142" t="n">
        <x:v>24</x:v>
      </x:c>
      <x:c r="F147" s="168" t="str">
        <x:v>Yemen Financial Market Infrastructure and Inclusion Project (FMIIP, P180708): project record and results framework (2025–2030)</x:v>
      </x:c>
      <x:c r="G147" s="168" t="str">
        <x:v>World Bank</x:v>
      </x:c>
      <x:c r="H147" s="168" t="str">
        <x:v>Programmes and projects in Yemen</x:v>
      </x:c>
      <x:c r="I147" s="168" t="str">
        <x:v>Official World Bank project record and results framework for FMIIP, including commitment, dates, development objective and the baseline/target indicators used to distinguish implementation outputs from measured outcomes.</x:v>
      </x:c>
      <x:c r="J147" s="168" t="str">
        <x:v>Approval, commitment amounts and project targets are not observed results and do not establish nationwide operational coverage or financial-inclusion prevalence.</x:v>
      </x:c>
      <x:c r="K147" s="168" t="str">
        <x:v>FULL_PUBLIC_CARD</x:v>
      </x:c>
      <x:c r="L147" s="168" t="str">
        <x:v>مشروع البنية التحتية للأسواق المالية والشمول المالي في اليمن (FMIIP، P180708): سجل المشروع وإطار النتائج (2025–2030)</x:v>
      </x:c>
      <x:c r="M147" s="168" t="str">
        <x:v>البرامج والمشروعات في اليمن</x:v>
      </x:c>
      <x:c r="N147"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47" s="168" t="str">
        <x:v>ليست الموافقة على المشروع أو قيمة الالتزام أو المستهدفات نتائجَ مرصودة، ولا تثبت تغطية تشغيلية على مستوى البلاد أو معدلًا للشمول المالي.</x:v>
      </x:c>
      <x:c r="S147" t="str">
        <x:v>NOT_ASSESSED</x:v>
      </x:c>
      <x:c r="Y147" t="str">
        <x:v>البنك الدولي</x:v>
      </x:c>
      <x:c r="Z147" t="str">
        <x:v>Project document</x:v>
      </x:c>
      <x:c r="AA147" t="str">
        <x:v>وثيقة مشروع</x:v>
      </x:c>
    </x:row>
    <x:row r="148">
      <x:c r="A148" t="str">
        <x:v>SRC-CGAP-ARAB-MEAS-2017-001</x:v>
      </x:c>
      <x:c r="B148" t="str">
        <x:v>https://www.cgap.org/research/publication/financial-inclusion-measurement-in-arab-world</x:v>
      </x:c>
      <x:c r="C148"/>
      <x:c r="D148" t="str">
        <x:v>RESOURCE_LIBRARY_ONLY__MEASUREMENT_METHOD</x:v>
      </x:c>
      <x:c r="E148" t="n">
        <x:v>0</x:v>
      </x:c>
      <x:c r="F148" s="168" t="str">
        <x:v>Financial Inclusion Measurement in the Arab World</x:v>
      </x:c>
      <x:c r="G148" s="168" t="str">
        <x:v>CGAP</x:v>
      </x:c>
      <x:c r="H148" s="168" t="str">
        <x:v>Measurement methods and international references</x:v>
      </x:c>
      <x:c r="I148" s="168" t="str">
        <x:v>Useful for framing measurement choices and comparability questions in Arab financial-inclusion systems.</x:v>
      </x:c>
      <x:c r="J148" s="168" t="str">
        <x:v>Does not provide a Yemen population estimate or update a Yemen observation.</x:v>
      </x:c>
      <x:c r="K148" s="168" t="str">
        <x:v>FULL_PUBLIC_CARD</x:v>
      </x:c>
      <x:c r="L148" s="168" t="str">
        <x:v>قياس الشمول المالي في العالم العربي</x:v>
      </x:c>
      <x:c r="M148" s="168" t="str">
        <x:v>مناهج القياس ومراجع دولية</x:v>
      </x:c>
      <x:c r="N148" s="168" t="str">
        <x:v>يفيد في تأطير خيارات القياس وأسئلة قابلية المقارنة في منظومات الشمول المالي العربية.</x:v>
      </x:c>
      <x:c r="O148" s="168" t="str">
        <x:v>لا يقدم تقديرًا سكانيًا لليمن ولا يحدّث أي مشاهدة يمنية.</x:v>
      </x:c>
      <x:c r="S148" t="str">
        <x:v>NOT_ASSESSED</x:v>
      </x:c>
      <x:c r="Y148" t="str">
        <x:v>المجموعة الاستشارية لمساعدة الفقراء (CGAP)</x:v>
      </x:c>
      <x:c r="Z148" t="str">
        <x:v>Research or policy paper</x:v>
      </x:c>
      <x:c r="AA148" t="str">
        <x:v>ورقة بحثية أو سياساتية</x:v>
      </x:c>
    </x:row>
    <x:row r="149">
      <x:c r="A149" t="str">
        <x:v>SRC-OECD-YOUTH-DFI-2020-001</x:v>
      </x:c>
      <x:c r="B149" t="str">
        <x:v>https://www.oecd.org/en/publications/advancing-the-digital-financial-inclusion-of-youth_21b829d8-en.html</x:v>
      </x:c>
      <x:c r="C149"/>
      <x:c r="D149" t="str">
        <x:v>RESOURCE_LIBRARY_ONLY__YOUTH_DIGITAL_INCLUSION</x:v>
      </x:c>
      <x:c r="E149" t="n">
        <x:v>0</x:v>
      </x:c>
      <x:c r="F149" s="168" t="str">
        <x:v>Advancing the Digital Financial Inclusion of Youth</x:v>
      </x:c>
      <x:c r="G149" s="168" t="str">
        <x:v>OECD</x:v>
      </x:c>
      <x:c r="H149" s="168" t="str">
        <x:v>Measurement methods and international references</x:v>
      </x:c>
      <x:c r="I149" s="168" t="str">
        <x:v>Useful for designing youth-focused digital-inclusion measurement and interpreting adoption barriers.</x:v>
      </x:c>
      <x:c r="J149" s="168" t="str">
        <x:v>Does not establish a Yemen youth financial-inclusion rate or current Yemen outcome.</x:v>
      </x:c>
      <x:c r="K149" s="168" t="str">
        <x:v>FULL_PUBLIC_CARD</x:v>
      </x:c>
      <x:c r="L149" s="168" t="str">
        <x:v>تعزيز الشمول المالي الرقمي للشباب</x:v>
      </x:c>
      <x:c r="M149" s="168" t="str">
        <x:v>مناهج القياس ومراجع دولية</x:v>
      </x:c>
      <x:c r="N149" s="168" t="str">
        <x:v>يفيد في تصميم قياس يركز على الشمول الرقمي للشباب وفهم عوائق التبني.</x:v>
      </x:c>
      <x:c r="O149" s="168" t="str">
        <x:v>لا يثبت معدلًا للشمول المالي لدى شباب اليمن ولا نتيجة يمنية راهنة.</x:v>
      </x:c>
      <x:c r="S149" t="str">
        <x:v>NOT_ASSESSED</x:v>
      </x:c>
      <x:c r="Y149" t="str">
        <x:v>منظمة التعاون الاقتصادي والتنمية</x:v>
      </x:c>
      <x:c r="Z149" t="str">
        <x:v>Research or policy paper</x:v>
      </x:c>
      <x:c r="AA149" t="str">
        <x:v>ورقة بحثية أو سياساتية</x:v>
      </x:c>
    </x:row>
    <x:row r="150">
      <x:c r="A150" t="str">
        <x:v>SRC-CBY-AR2022-001</x:v>
      </x:c>
      <x:c r="B150" t="str">
        <x:v>https://cby-ye.com/files/64a1f54c878e1.pdf</x:v>
      </x:c>
      <x:c r="C150"/>
      <x:c r="D150" t="str">
        <x:v>DS-K04-BANK-VALUATION-RECON,173_CBY_ANNUAL_VINTAGES</x:v>
      </x:c>
      <x:c r="E150" t="n">
        <x:v>0</x:v>
      </x:c>
      <x:c r="F150" t="str">
        <x:v>Annual Report 2022</x:v>
      </x:c>
      <x:c r="G150" t="str">
        <x:v>Central Bank of Yemen — Aden</x:v>
      </x:c>
      <x:c r="H150" t="str">
        <x:v>Official Yemen documents and statistics</x:v>
      </x:c>
      <x:c r="I150" t="str">
        <x:v>Provides an earlier edition of the annual report, needed to test whether changes in later reports reflect a change in valuation basis or a restatement rather than economic movement alone.</x:v>
      </x:c>
      <x:c r="J150" t="str">
        <x:v>Does not by itself establish current banking-system conditions, solvency, operating reach or a financial-inclusion outcome.</x:v>
      </x:c>
      <x:c r="K150" t="str">
        <x:v>FULL_PUBLIC_CARD</x:v>
      </x:c>
      <x:c r="L150" t="str">
        <x:v>التقرير السنوي 2022</x:v>
      </x:c>
      <x:c r="M150" t="str">
        <x:v>الوثائق والإحصاءات الرسمية في اليمن</x:v>
      </x:c>
      <x:c r="N150"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0" t="str">
        <x:v>لا يثبت بذاته أوضاع القطاع المصرفي الحالية أو الملاءة أو النطاق التشغيلي أو نتيجة للشمول المالي.</x:v>
      </x:c>
      <x:c r="S150" t="str">
        <x:v>NOT_ASSESSED</x:v>
      </x:c>
      <x:c r="Y150" t="str">
        <x:v>البنك المركزي اليمني – عدن</x:v>
      </x:c>
      <x:c r="Z150" t="str">
        <x:v>Annual report</x:v>
      </x:c>
      <x:c r="AA150" t="str">
        <x:v>تقرير سنوي</x:v>
      </x:c>
    </x:row>
    <x:row r="151">
      <x:c r="A151" t="str">
        <x:v>SRC-CBY-AR2023-001</x:v>
      </x:c>
      <x:c r="B151" t="str">
        <x:v>https://www.english.cby-ye.com/files/66e7e260be038.pdf</x:v>
      </x:c>
      <x:c r="C151"/>
      <x:c r="D151" t="str">
        <x:v>DS-K04-BANK-VALUATION-RECON,173_CBY_ANNUAL_VINTAGES</x:v>
      </x:c>
      <x:c r="E151" t="n">
        <x:v>0</x:v>
      </x:c>
      <x:c r="F151" t="str">
        <x:v>Annual Report 2023</x:v>
      </x:c>
      <x:c r="G151" t="str">
        <x:v>Central Bank of Yemen — Aden</x:v>
      </x:c>
      <x:c r="H151" t="str">
        <x:v>Official Yemen documents and statistics</x:v>
      </x:c>
      <x:c r="I151" t="str">
        <x:v>Documents the 2023 edition of the annual report, including the valuation-basis context needed to interpret restated banking positions across annual reports.</x:v>
      </x:c>
      <x:c r="J151" t="str">
        <x:v>Does not by itself prove that higher nominal banking positions represent real growth, broader credit reach, improved solvency or financial inclusion.</x:v>
      </x:c>
      <x:c r="K151" t="str">
        <x:v>FULL_PUBLIC_CARD</x:v>
      </x:c>
      <x:c r="L151" t="str">
        <x:v>التقرير السنوي 2023</x:v>
      </x:c>
      <x:c r="M151" t="str">
        <x:v>الوثائق والإحصاءات الرسمية في اليمن</x:v>
      </x:c>
      <x:c r="N151" t="str">
        <x:v>يوثق إصدار عام 2023 من التقرير السنوي، بما في ذلك سياق أساس التقييم اللازم لتفسير إعادة عرض المراكز المصرفية عبر التقارير السنوية.</x:v>
      </x:c>
      <x:c r="O151" t="str">
        <x:v>لا يثبت بذاته أن ارتفاع القيم الاسمية للمراكز المصرفية يمثل نموًا حقيقيًا أو اتساعًا في الوصول إلى الائتمان أو تحسنًا في الملاءة أو الشمول المالي.</x:v>
      </x:c>
      <x:c r="S151" t="str">
        <x:v>NOT_ASSESSED</x:v>
      </x:c>
      <x:c r="Y151" t="str">
        <x:v>البنك المركزي اليمني – عدن</x:v>
      </x:c>
      <x:c r="Z151" t="str">
        <x:v>Annual report</x:v>
      </x:c>
      <x:c r="AA151" t="str">
        <x:v>تقرير سنوي</x:v>
      </x:c>
    </x:row>
    <x:row r="152">
      <x:c r="A152" t="str">
        <x:v>SRC-CBY-ENF-17-2026</x:v>
      </x:c>
      <x:c r="B152" t="str">
        <x:v>https://cby-ye.com/news/973</x:v>
      </x:c>
      <x:c r="C152"/>
      <x:c r="D152" t="str">
        <x:v>DS-PROVIDER-MASTER,DS-PROVIDER-STATUS-EVENTS</x:v>
      </x:c>
      <x:c r="E152" t="n">
        <x:v>2</x:v>
      </x:c>
      <x:c r="F152" t="str">
        <x:v>Governor's Decision No. 17 of 2026 on the licence suspension and closure of an exchange company (17 September 2026)</x:v>
      </x:c>
      <x:c r="G152" t="str">
        <x:v>Central Bank of Yemen — Aden</x:v>
      </x:c>
      <x:c r="H152"/>
      <x:c r="I152"/>
      <x:c r="J152"/>
      <x:c r="K152" t="str">
        <x:v>CITATION_CARD</x:v>
      </x:c>
      <x:c r="L152" t="str">
        <x:v>قرار المحافظ رقم (17) لسنة 2026 بشأن إيقاف ترخيص شركة صرافة وإغلاق مقرها (17 سبتمبر 2026)</x:v>
      </x:c>
      <x:c r="M152"/>
      <x:c r="N152"/>
      <x:c r="O152"/>
      <x:c r="S152" t="str">
        <x:v>NOT_ASSESSED</x:v>
      </x:c>
      <x:c r="W152" t="str">
        <x:v>decision/enforcement</x:v>
      </x:c>
      <x:c r="X152" t="str">
        <x:v>status event</x:v>
      </x:c>
      <x:c r="Y152" t="str">
        <x:v>البنك المركزي اليمني – عدن</x:v>
      </x:c>
      <x:c r="Z152" t="str">
        <x:v>Enforcement decision</x:v>
      </x:c>
      <x:c r="AA152" t="str">
        <x:v>قرار إنفاذ</x:v>
      </x:c>
      <x:c r="AB152" t="str">
        <x:v>2026-09-17</x:v>
      </x:c>
    </x:row>
    <x:row r="153">
      <x:c r="A153" t="str">
        <x:v>SRC-BIS-CPMI-FPS-RTGS-2021-001</x:v>
      </x:c>
      <x:c r="B153" t="str">
        <x:v>https://www.bis.org/publications/developments-retail-fast-payments-and-implications-rtgs-systems</x:v>
      </x:c>
      <x:c r="C153"/>
      <x:c r="D153" t="str">
        <x:v>RESOURCE_LIBRARY_ONLY__FPS_RTGS_IMPLEMENTATION</x:v>
      </x:c>
      <x:c r="E153" t="n">
        <x:v>0</x:v>
      </x:c>
      <x:c r="F153" t="str">
        <x:v>Developments in Retail Fast Payments and Implications for RTGS Systems</x:v>
      </x:c>
      <x:c r="G153" t="str">
        <x:v>Committee on Payments and Market Infrastructures (CPMI), Bank for International Settlements</x:v>
      </x:c>
      <x:c r="H153" t="str">
        <x:v>Payment-system design and digital payments</x:v>
      </x:c>
      <x:c r="I153" t="str">
        <x:v>Clarifies how retail fast-payment systems relate to RTGS, including central-bank roles, settlement design, operating hours, availability and reliability — useful for interpreting Yemen's separate FPS and RTGS components without conflating them.</x:v>
      </x:c>
      <x:c r="J153" t="str">
        <x:v>Cross-country design evidence does not establish Yemen implementation status, architecture choices, adoption, reliability or inclusion outcomes.</x:v>
      </x:c>
      <x:c r="K153" t="str">
        <x:v>FULL_PUBLIC_CARD</x:v>
      </x:c>
      <x:c r="L153" t="str">
        <x:v>تطورات المدفوعات السريعة للأفراد وانعكاساتها على أنظمة التسوية الإجمالية الفورية</x:v>
      </x:c>
      <x:c r="M153" t="str">
        <x:v>تصميم أنظمة الدفع والمدفوعات الرقمية</x:v>
      </x:c>
      <x:c r="N153"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3" t="str">
        <x:v>لا تثبت الأدلة المقارنة بين البلدان حالة التنفيذ في اليمن أو خيارات البنية التقنية أو التبني أو الموثوقية أو نتائج الشمول المالي.</x:v>
      </x:c>
      <x:c r="S153" t="str">
        <x:v>NOT_ASSESSED</x:v>
      </x:c>
      <x:c r="Y153" t="str">
        <x:v>لجنة المدفوعات والبنى التحتية للأسواق (CPMI)، بنك التسويات الدولية</x:v>
      </x:c>
      <x:c r="Z153" t="str">
        <x:v>Research or policy paper</x:v>
      </x:c>
      <x:c r="AA153" t="str">
        <x:v>ورقة بحثية أو سياساتية</x:v>
      </x:c>
    </x:row>
    <x:row r="154">
      <x:c r="A154" t="str">
        <x:v>SRC-BIS-CPMI-PAFI-FINTECH-2020-001</x:v>
      </x:c>
      <x:c r="B154" t="str">
        <x:v>https://www.bis.org/publications/payment-aspects-financial-inclusion-fintech-era</x:v>
      </x:c>
      <x:c r="C154"/>
      <x:c r="D154" t="str">
        <x:v>RESOURCE_LIBRARY_ONLY__PAFI_FINTECH</x:v>
      </x:c>
      <x:c r="E154" t="n">
        <x:v>0</x:v>
      </x:c>
      <x:c r="F154" t="str">
        <x:v>Payment Aspects of Financial Inclusion in the Fintech Era</x:v>
      </x:c>
      <x:c r="G154" t="str">
        <x:v>Committee on Payments and Market Infrastructures (CPMI) and World Bank Group</x:v>
      </x:c>
      <x:c r="H154" t="str">
        <x:v>Payment-system design and digital payments</x:v>
      </x:c>
      <x:c r="I154" t="str">
        <x:v>Extends the PAFI framework for the fintech era and is useful for separating access to safe transaction accounts, frequent use, enabling payment infrastructure and the risks that accompany digitalisation.</x:v>
      </x:c>
      <x:c r="J154" t="str">
        <x:v>A global framework does not establish a Yemen rate, a Yemen causal effect or the success of any specific digital-finance project.</x:v>
      </x:c>
      <x:c r="K154" t="str">
        <x:v>FULL_PUBLIC_CARD</x:v>
      </x:c>
      <x:c r="L154" t="str">
        <x:v>جوانب المدفوعات في الشمول المالي في عصر التكنولوجيا المالية</x:v>
      </x:c>
      <x:c r="M154" t="str">
        <x:v>تصميم أنظمة الدفع والمدفوعات الرقمية</x:v>
      </x:c>
      <x:c r="N154"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4" t="str">
        <x:v>لا يثبت الإطار العالمي معدلًا لليمن أو أثرًا سببيًا في اليمن أو نجاح أي مشروع محدد للتمويل الرقمي.</x:v>
      </x:c>
      <x:c r="S154" t="str">
        <x:v>NOT_ASSESSED</x:v>
      </x:c>
      <x:c r="Y154" t="str">
        <x:v>لجنة المدفوعات والبنى التحتية للأسواق (CPMI) ومجموعة البنك الدولي</x:v>
      </x:c>
      <x:c r="Z154" t="str">
        <x:v>Research or policy paper</x:v>
      </x:c>
      <x:c r="AA154" t="str">
        <x:v>ورقة بحثية أو سياساتية</x:v>
      </x:c>
    </x:row>
    <x:row r="155">
      <x:c r="A155" t="str">
        <x:v>SRC-WB-FASTT-FPS-2021-001</x:v>
      </x:c>
      <x:c r="B155" t="str">
        <x:v>https://fastpayments.worldbank.org/sites/default/files/2021-11/Fast%20Payment%20Flagship_Final_Nov%201.pdf</x:v>
      </x:c>
      <x:c r="C155" t="str">
        <x:v>["https://fastpayments.worldbank.org/resources"]</x:v>
      </x:c>
      <x:c r="D155" t="str">
        <x:v>RESOURCE_LIBRARY_ONLY__FPS_IMPLEMENTATION</x:v>
      </x:c>
      <x:c r="E155" t="n">
        <x:v>0</x:v>
      </x:c>
      <x:c r="F155" t="str">
        <x:v>Considerations and Lessons for the Development and Implementation of Fast Payment Systems</x:v>
      </x:c>
      <x:c r="G155" t="str">
        <x:v>World Bank</x:v>
      </x:c>
      <x:c r="H155" t="str">
        <x:v>Payment-system design and digital payments</x:v>
      </x:c>
      <x:c r="I155" t="str">
        <x:v>Provides a practical FPS lifecycle from conceptualisation through design, implementation, go-live and scale, covering use cases, participants, pricing, governance, interoperability, reliability and user adoption.</x:v>
      </x:c>
      <x:c r="J155" t="str">
        <x:v>It is an implementation reference, not a prescription for Yemen and not evidence that Yemen's FPS has reached any specific lifecycle stage or performance level.</x:v>
      </x:c>
      <x:c r="K155" t="str">
        <x:v>FULL_PUBLIC_CARD</x:v>
      </x:c>
      <x:c r="L155" t="str">
        <x:v>اعتبارات ودروس لتطوير أنظمة الدفع السريع وتنفيذها</x:v>
      </x:c>
      <x:c r="M155" t="str">
        <x:v>تصميم أنظمة الدفع والمدفوعات الرقمية</x:v>
      </x:c>
      <x:c r="N155"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55" t="str">
        <x:v>هو مرجع للتنفيذ وليس وصفة إلزامية لليمن، ولا يثبت أن نظام الدفع السريع في اليمن بلغ مرحلة محددة من دورة الحياة أو مستوى أداء بعينه.</x:v>
      </x:c>
      <x:c r="S155" t="str">
        <x:v>NOT_ASSESSED</x:v>
      </x:c>
      <x:c r="Y155" t="str">
        <x:v>البنك الدولي</x:v>
      </x:c>
      <x:c r="Z155" t="str">
        <x:v>Method or standard</x:v>
      </x:c>
      <x:c r="AA155" t="str">
        <x:v>منهج أو معيار</x:v>
      </x:c>
    </x:row>
    <x:row r="156">
      <x:c r="A156" t="str">
        <x:v>SRC-WB-G2PX-001</x:v>
      </x:c>
      <x:c r="B156" t="str">
        <x:v>https://www.worldbank.org/en/programs/g2px/overview</x:v>
      </x:c>
      <x:c r="C156" t="str">
        <x:v>["https://www.worldbank.org/en/programs/g2px/knowledge"]</x:v>
      </x:c>
      <x:c r="D156" t="str">
        <x:v>RESOURCE_LIBRARY_ONLY__G2P_DIGITISATION</x:v>
      </x:c>
      <x:c r="E156" t="n">
        <x:v>0</x:v>
      </x:c>
      <x:c r="F156" t="str">
        <x:v>G2Px: government-to-person payments — overview and knowledge resources</x:v>
      </x:c>
      <x:c r="G156" t="str">
        <x:v>World Bank</x:v>
      </x:c>
      <x:c r="H156" t="str">
        <x:v>Payment-system design and digital payments</x:v>
      </x:c>
      <x:c r="I156" t="str">
        <x:v>Useful for designing questions around responsible digitisation of government and social payments: recipient experience, cash-out cost and distance, complaint handling, account access and continued use after payment.</x:v>
      </x:c>
      <x:c r="J156" t="str">
        <x:v>Global G2P practice does not establish durable post-transfer use or any Yemen programme outcome.</x:v>
      </x:c>
      <x:c r="K156" t="str">
        <x:v>FULL_PUBLIC_CARD</x:v>
      </x:c>
      <x:c r="L156" t="str">
        <x:v>G2Px: المدفوعات من الحكومة إلى الأفراد — نظرة عامة وموارد معرفية</x:v>
      </x:c>
      <x:c r="M156" t="str">
        <x:v>تصميم أنظمة الدفع والمدفوعات الرقمية</x:v>
      </x:c>
      <x:c r="N156"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56" t="str">
        <x:v>لا تثبت الخبرات العالمية لمدفوعات G2P استمرار الاستخدام بعد التحويل ولا أي نتيجة لبرنامج يمني.</x:v>
      </x:c>
      <x:c r="S156" t="str">
        <x:v>NOT_ASSESSED</x:v>
      </x:c>
      <x:c r="Y156" t="str">
        <x:v>البنك الدولي</x:v>
      </x:c>
      <x:c r="Z156" t="str">
        <x:v>Event or programme page</x:v>
      </x:c>
      <x:c r="AA156" t="str">
        <x:v>صفحة فعالية أو برنامج</x:v>
      </x:c>
    </x:row>
    <x:row r="157">
      <x:c r="A157" t="str">
        <x:v>SRC-WB-YEM-CPF-2026-2030-001</x:v>
      </x:c>
      <x:c r="B157" t="str">
        <x:v>https://documents.worldbank.org/en/publication/documents-reports/documentdetail/099051226123536066</x:v>
      </x:c>
      <x:c r="C157" t="str">
        <x:v>["https://www.worldbank.org/ext/en/country/yemen/cpf"]</x:v>
      </x:c>
      <x:c r="D157" t="str">
        <x:v>RESOURCE_LIBRARY_ONLY__CURRENT_YEMEN_DEVELOPMENT_CONTEXT</x:v>
      </x:c>
      <x:c r="E157" t="n">
        <x:v>0</x:v>
      </x:c>
      <x:c r="F157" t="str">
        <x:v>Republic of Yemen: Country Partnership Framework for FY2026–FY2030</x:v>
      </x:c>
      <x:c r="G157" t="str">
        <x:v>World Bank Group</x:v>
      </x:c>
      <x:c r="H157" t="str">
        <x:v>Yemen’s economy and policy context</x:v>
      </x:c>
      <x:c r="I157" t="str">
        <x:v>Sets out the World Bank Group's current country strategy for Yemen on livelihoods, jobs, women’s economic participation, private-sector development and institutional strengthening, helping place financial-inclusion evidence inside the wider development programme.</x:v>
      </x:c>
      <x:c r="J157" t="str">
        <x:v>A country strategy and approved operations are not observed financial-inclusion outcomes and do not establish implementation results.</x:v>
      </x:c>
      <x:c r="K157" t="str">
        <x:v>FULL_PUBLIC_CARD</x:v>
      </x:c>
      <x:c r="L157" t="str">
        <x:v>الجمهورية اليمنية: إطار الشراكة القُطرية للسنوات المالية 2026–2030</x:v>
      </x:c>
      <x:c r="M157" t="str">
        <x:v>السياق الاقتصادي والسياساتي في اليمن</x:v>
      </x:c>
      <x:c r="N157"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57" t="str">
        <x:v>لا تمثل الاستراتيجية القُطرية والعمليات المعتمدة نتائج مرصودة للشمول المالي، ولا تثبت تحقق نتائج التنفيذ.</x:v>
      </x:c>
      <x:c r="S157" t="str">
        <x:v>NOT_ASSESSED</x:v>
      </x:c>
      <x:c r="Y157" t="str">
        <x:v>مجموعة البنك الدولي</x:v>
      </x:c>
      <x:c r="Z157" t="str">
        <x:v>Research or policy paper</x:v>
      </x:c>
      <x:c r="AA157" t="str">
        <x:v>ورقة بحثية أو سياساتية</x:v>
      </x:c>
    </x:row>
    <x:row r="158">
      <x:c r="A158" t="str">
        <x:v>SRC-WB-YEM-CNL-2026-001</x:v>
      </x:c>
      <x:c r="B158" t="str">
        <x:v>https://www.worldbank.org/en/news/press-release/2026/06/30/improving-human-capital-and-building-livelihoods-for-vulnerable-families-in-yemen</x:v>
      </x:c>
      <x:c r="C158"/>
      <x:c r="D158" t="str">
        <x:v>RESOURCE_LIBRARY_ONLY__CURRENT_YEMEN_CASH_IDENTITY_CONTEXT</x:v>
      </x:c>
      <x:c r="E158" t="n">
        <x:v>0</x:v>
      </x:c>
      <x:c r="F158" t="str">
        <x:v>Cash for Nutrition and Livelihoods Project, Yemen (approved 30 June 2026)</x:v>
      </x:c>
      <x:c r="G158" t="str">
        <x:v>World Bank</x:v>
      </x:c>
      <x:c r="H158" t="str">
        <x:v>Programmes and projects in Yemen</x:v>
      </x:c>
      <x:c r="I158" t="str">
        <x:v>A current programme reference linking cash support, livelihoods, village savings and loan associations, and identity documentation; useful for asking what happens between programme delivery, formal onboarding and durable financial use.</x:v>
      </x:c>
      <x:c r="J158" t="str">
        <x:v>Project targets, beneficiary counts, identity-document support or VSLA participation do not establish national financial-inclusion prevalence or persistent bank/e-wallet use.</x:v>
      </x:c>
      <x:c r="K158" t="str">
        <x:v>FULL_PUBLIC_CARD</x:v>
      </x:c>
      <x:c r="L158" t="str">
        <x:v>مشروع النقد مقابل التغذية وسبل العيش في اليمن (أُقرّ في 30 يونيو 2026)</x:v>
      </x:c>
      <x:c r="M158" t="str">
        <x:v>البرامج والمشروعات في اليمن</x:v>
      </x:c>
      <x:c r="N158"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58"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58" t="str">
        <x:v>NOT_ASSESSED</x:v>
      </x:c>
      <x:c r="Y158" t="str">
        <x:v>البنك الدولي</x:v>
      </x:c>
      <x:c r="Z158" t="str">
        <x:v>News release</x:v>
      </x:c>
      <x:c r="AA158" t="str">
        <x:v>بيان صحفي</x:v>
      </x:c>
    </x:row>
    <x:row r="159">
      <x:c r="A159" t="str">
        <x:v>SRC-WB-YEM-ECON-MONITOR-2026-SPRING-001</x:v>
      </x:c>
      <x:c r="B159" t="str">
        <x:v>https://www.worldbank.org/en/news/press-release/2026/05/21/economic-strain-deepens-in-yemen-as-regional-risks-intensify</x:v>
      </x:c>
      <x:c r="C159" t="str">
        <x:v>["https://www.worldbank.org/en/programs/the-yemen-fund"]</x:v>
      </x:c>
      <x:c r="D159" t="str">
        <x:v>RESOURCE_LIBRARY_ONLY__CURRENT_YEMEN_MACRO_CONTEXT</x:v>
      </x:c>
      <x:c r="E159" t="n">
        <x:v>0</x:v>
      </x:c>
      <x:c r="F159" t="str">
        <x:v>Yemen Economic Monitor, Spring 2026: Pushing Against the Tide</x:v>
      </x:c>
      <x:c r="G159" t="str">
        <x:v>World Bank</x:v>
      </x:c>
      <x:c r="H159" t="str">
        <x:v>Yemen’s economy and policy context</x:v>
      </x:c>
      <x:c r="I159"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59" t="str">
        <x:v>Macroeconomic estimates, projections and reform context are not direct measures of account ownership, financial-service use, provider operation or inclusion outcomes.</x:v>
      </x:c>
      <x:c r="K159" t="str">
        <x:v>FULL_PUBLIC_CARD</x:v>
      </x:c>
      <x:c r="L159" t="str">
        <x:v>المرصد الاقتصادي لليمن، ربيع 2026: مواجهة التيار</x:v>
      </x:c>
      <x:c r="M159" t="str">
        <x:v>السياق الاقتصادي والسياساتي في اليمن</x:v>
      </x:c>
      <x:c r="N159"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59"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59" t="str">
        <x:v>NOT_ASSESSED</x:v>
      </x:c>
      <x:c r="Y159" t="str">
        <x:v>البنك الدولي</x:v>
      </x:c>
      <x:c r="Z159" t="str">
        <x:v>Research or policy paper</x:v>
      </x:c>
      <x:c r="AA159" t="str">
        <x:v>ورقة بحثية أو سياساتية</x:v>
      </x:c>
    </x:row>
    <x:row r="160">
      <x:c r="A160" t="str">
        <x:v>SRC-KFW-YEM-MSME-FIN-III-47229</x:v>
      </x:c>
      <x:c r="B160" t="str">
        <x:v>https://www.kfw-entwicklungsbank.de/ipfz/Projektdatenbank/Foerderung-Des-Finanzsektors-Fuer-Kleinst--Klein--Und-Mittelunternehmen-Kkmu-Iii-47229.htm</x:v>
      </x:c>
      <x:c r="C160"/>
      <x:c r="D160" t="str">
        <x:v>RESOURCE_LIBRARY_ONLY__CURRENT_YEMEN_MSME_MFI_PROGRAMME</x:v>
      </x:c>
      <x:c r="E160" t="n">
        <x:v>0</x:v>
      </x:c>
      <x:c r="F160" t="str">
        <x:v>Promotion of the Financial Sector for Micro, Small and Medium-sized Enterprises (MSMEs) III, Yemen (project 47229)</x:v>
      </x:c>
      <x:c r="G160" t="str">
        <x:v>KfW Development Bank</x:v>
      </x:c>
      <x:c r="H160" t="str">
        <x:v>Programmes and projects in Yemen</x:v>
      </x:c>
      <x:c r="I160" t="str">
        <x:v>Official project information on refinancing and capacity support delivered through SFD/SMED and partner microfinance institutions for Yemeni MSMEs; useful context for distinguishing programme mechanisms from national access-to-finance measures.</x:v>
      </x:c>
      <x:c r="J160" t="str">
        <x:v>Project financing and delivery arrangements do not establish a national MSME finance-access rate, MFI performance across the sector or programme impact beyond documented results.</x:v>
      </x:c>
      <x:c r="K160" t="str">
        <x:v>FULL_PUBLIC_CARD</x:v>
      </x:c>
      <x:c r="L160" t="str">
        <x:v>دعم القطاع المالي للمنشآت الأصغر والصغيرة والمتوسطة (المرحلة الثالثة)، اليمن (المشروع 47229)</x:v>
      </x:c>
      <x:c r="M160" t="str">
        <x:v>البرامج والمشروعات في اليمن</x:v>
      </x:c>
      <x:c r="N160"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0"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0" t="str">
        <x:v>NOT_ASSESSED</x:v>
      </x:c>
      <x:c r="Y160" t="str">
        <x:v>بنك التنمية الألماني KfW</x:v>
      </x:c>
      <x:c r="Z160" t="str">
        <x:v>Event or programme page</x:v>
      </x:c>
      <x:c r="AA160" t="str">
        <x:v>صفحة فعالية أو برنامج</x:v>
      </x:c>
    </x:row>
    <x:row r="161">
      <x:c r="A161" t="str">
        <x:v>SRC-WB-G2PX-YEM-UCT-2024-001</x:v>
      </x:c>
      <x:c r="B161" t="str">
        <x:v>https://www.worldbank.org/en/events/2024/05/30/digitalizing-g2p-payments-in-yemen</x:v>
      </x:c>
      <x:c r="C161" t="str">
        <x:v>["https://documents1.worldbank.org/curated/en/099647503042425828/pdf/IDU-a9d1a6be-30dc-48e6-9318-cf9d26959fb9.pdf"]</x:v>
      </x:c>
      <x:c r="D161" t="str">
        <x:v>RESOURCE_LIBRARY_ONLY__YEMEN_G2P_DIGITISATION_PILOT,14_SYSTEM_CHRONOLOGY</x:v>
      </x:c>
      <x:c r="E161" t="n">
        <x:v>0</x:v>
      </x:c>
      <x:c r="F161" t="str">
        <x:v>Digitalizing Government-to-Person (G2P) Payments in Yemen: unconditional cash transfer (UCT) pilot (2024)</x:v>
      </x:c>
      <x:c r="G161" t="str">
        <x:v>World Bank (G2Px)</x:v>
      </x:c>
      <x:c r="H161" t="str">
        <x:v>Programmes and projects in Yemen</x:v>
      </x:c>
      <x:c r="I161"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1" t="str">
        <x:v>Pilot reach, account opening or successful payment does not establish repeat use, voluntary post-transfer use, saving, merchant use, service quality, or a national financial-inclusion outcome.</x:v>
      </x:c>
      <x:c r="K161" t="str">
        <x:v>FULL_PUBLIC_CARD</x:v>
      </x:c>
      <x:c r="L161" t="str">
        <x:v>رقمنة المدفوعات من الحكومة إلى الأفراد (G2P) في اليمن: المرحلة التجريبية في برنامج التحويلات النقدية غير المشروطة (2024)</x:v>
      </x:c>
      <x:c r="M161" t="str">
        <x:v>البرامج والمشروعات في اليمن</x:v>
      </x:c>
      <x:c r="N161"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1"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1" t="str">
        <x:v>NOT_ASSESSED</x:v>
      </x:c>
      <x:c r="Y161" t="str">
        <x:v>البنك الدولي (G2Px)</x:v>
      </x:c>
      <x:c r="Z161" t="str">
        <x:v>Event or programme page</x:v>
      </x:c>
      <x:c r="AA161" t="str">
        <x:v>صفحة فعالية أو برنامج</x:v>
      </x:c>
    </x:row>
    <x:row r="162">
      <x:c r="A162" t="str">
        <x:v>SRC-CBY-ENF-18-2026</x:v>
      </x:c>
      <x:c r="B162" t="str">
        <x:v>https://cby-ye.com/news/975</x:v>
      </x:c>
      <x:c r="D162" t="str">
        <x:v>DS-PROVIDER-STATUS-EVENTS</x:v>
      </x:c>
      <x:c r="E162" t="n">
        <x:v>1</x:v>
      </x:c>
      <x:c r="F162" t="str">
        <x:v>Governor's Decision No. 18 of 2026 on licence suspensions and closures (24 September 2026)</x:v>
      </x:c>
      <x:c r="G162" t="str">
        <x:v>Central Bank of Yemen — Aden</x:v>
      </x:c>
      <x:c r="K162" t="str">
        <x:v>CITATION_CARD</x:v>
      </x:c>
      <x:c r="L162" t="str">
        <x:v>قرار المحافظ رقم (18) لسنة 2026 بشأن إيقاف تراخيص وإغلاق مقرات (24 سبتمبر 2026)</x:v>
      </x:c>
      <x:c r="S162" t="str">
        <x:v>NOT_ASSESSED</x:v>
      </x:c>
      <x:c r="V162" t="str">
        <x:v>2026-09-25</x:v>
      </x:c>
      <x:c r="W162" t="str">
        <x:v>decision/enforcement</x:v>
      </x:c>
      <x:c r="X162" t="str">
        <x:v>status event</x:v>
      </x:c>
      <x:c r="Y162" t="str">
        <x:v>البنك المركزي اليمني – عدن</x:v>
      </x:c>
      <x:c r="Z162" t="str">
        <x:v>Enforcement decision</x:v>
      </x:c>
      <x:c r="AA162" t="str">
        <x:v>قرار إنفاذ</x:v>
      </x:c>
      <x:c r="AB162" t="str">
        <x:v>2026-09-24</x:v>
      </x:c>
    </x:row>
    <x:row r="163">
      <x:c r="A163" t="str">
        <x:v>SRC-CBY-DEC-23-2024-001</x:v>
      </x:c>
      <x:c r="B163" t="str">
        <x:v>https://cby-ye.com/files/667c596ef3bea.pdf</x:v>
      </x:c>
      <x:c r="C163" t="str">
        <x:v>["https://cby-ye.com/news/706"]</x:v>
      </x:c>
      <x:c r="D163" t="str">
        <x:v>DS-REFORM-EVENTS,DS-PRIMARY-AUTHORITY</x:v>
      </x:c>
      <x:c r="E163" t="n">
        <x:v>1</x:v>
      </x:c>
      <x:c r="F163" t="str">
        <x:v>Governor's Decision No. 23 of 2024 on domestic money-transfer activity (26 June 2024; ref. 343/CBY/2024)</x:v>
      </x:c>
      <x:c r="G163" t="str">
        <x:v>Central Bank of Yemen — Aden</x:v>
      </x:c>
      <x:c r="H163" t="str">
        <x:v>Official Yemen documents and statistics</x:v>
      </x:c>
      <x:c r="I163"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3" t="str">
        <x:v>A regulatory requirement does not establish that it was implemented, how many transfers moved to the network, or any effect on users or on financial inclusion.</x:v>
      </x:c>
      <x:c r="K163" t="str">
        <x:v>FULL_PUBLIC_CARD</x:v>
      </x:c>
      <x:c r="L163" t="str">
        <x:v>قرار المحافظ رقم (23) لسنة 2024 بشأن مزاولة نشاط التحويلات المالية الداخلية (26 يونيو 2024؛ المرجع 343/CBY/2024)</x:v>
      </x:c>
      <x:c r="M163" t="str">
        <x:v>الوثائق والإحصاءات الرسمية في اليمن</x:v>
      </x:c>
      <x:c r="N163"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3" t="str">
        <x:v>لا يثبت الإلزام التنظيمي أنه نُفذ فعليًا، ولا عدد الحوالات التي انتقلت إلى الشبكة، ولا أي أثر على المستخدمين أو على الشمول المالي.</x:v>
      </x:c>
      <x:c r="Q163" t="str">
        <x:v>Governor, Central Bank of Yemen — Aden</x:v>
      </x:c>
      <x:c r="R163" t="str">
        <x:v>cby-ye.com</x:v>
      </x:c>
      <x:c r="S163" t="str">
        <x:v>NOT_ASSESSED</x:v>
      </x:c>
      <x:c r="V163" t="str">
        <x:v>2026-09-26</x:v>
      </x:c>
      <x:c r="W163" t="str">
        <x:v>regulatory decision</x:v>
      </x:c>
      <x:c r="X163" t="str">
        <x:v>primary regulatory instrument (rule stage only; not implementation, use or outcome)</x:v>
      </x:c>
      <x:c r="Y163" t="str">
        <x:v>البنك المركزي اليمني – عدن</x:v>
      </x:c>
      <x:c r="Z163" t="str">
        <x:v>Regulatory decision</x:v>
      </x:c>
      <x:c r="AA163" t="str">
        <x:v>قرار تنظيمي</x:v>
      </x:c>
      <x:c r="AB163" t="str">
        <x:v>2024-06-26</x:v>
      </x:c>
    </x:row>
    <x:row r="164">
      <x:c r="A164" t="str">
        <x:v>SRC-AMB-MFB-SUPERVISION-2026</x:v>
      </x:c>
      <x:c r="B164" t="str">
        <x:v>https://www.findevgateway.org/paper/2026/09/beyond-financial-soundness-rebuilding-supervisory-framework-for-microfinance-banks-in</x:v>
      </x:c>
      <x:c r="D164" t="str">
        <x:v>RESOURCE_LIBRARY_ONLY__YEMEN_MFB_SUPERVISION</x:v>
      </x:c>
      <x:c r="E164" t="n">
        <x:v>0</x:v>
      </x:c>
      <x:c r="F164" t="str">
        <x:v>Beyond Financial Soundness: Rebuilding the Supervisory Framework for Microfinance Banks in Yemen (2026)</x:v>
      </x:c>
      <x:c r="G164" t="str">
        <x:v>Al-Amal Microfinance Bank (published on FinDev Gateway)</x:v>
      </x:c>
      <x:c r="H164" t="str">
        <x:v>Research and analysis on Yemen’s financial sector</x:v>
      </x:c>
      <x:c r="I164"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4"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4" t="str">
        <x:v>FULL_PUBLIC_CARD</x:v>
      </x:c>
      <x:c r="L164" t="str">
        <x:v>ما بعد السلامة المالية: إعادة بناء الإطار الإشرافي لبنوك التمويل الأصغر في اليمن (2026)</x:v>
      </x:c>
      <x:c r="M164" t="str">
        <x:v>البحوث والتحليلات حول القطاع المالي في اليمن</x:v>
      </x:c>
      <x:c r="N164"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4"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4" t="str">
        <x:v>Al-Amal Microfinance Bank</x:v>
      </x:c>
      <x:c r="R164" t="str">
        <x:v>FinDev Gateway</x:v>
      </x:c>
      <x:c r="S164" t="str">
        <x:v>NOT_ASSESSED</x:v>
      </x:c>
      <x:c r="V164" t="str">
        <x:v>2026-09-26</x:v>
      </x:c>
      <x:c r="Y164" t="str">
        <x:v>بنك الأمل للتمويل الأصغر (منشور على منصة FinDev Gateway)</x:v>
      </x:c>
      <x:c r="Z164" t="str">
        <x:v>Research or policy paper</x:v>
      </x:c>
      <x:c r="AA164" t="str">
        <x:v>ورقة بحثية أو سياساتية</x:v>
      </x:c>
      <x:c r="AB164"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82</x:v>
      </x:c>
      <x:c r="E6" s="24" t="str">
        <x:v>2024 Q1</x:v>
      </x:c>
      <x:c r="F6" s="24" t="str">
        <x:v>2026-01</x:v>
      </x:c>
      <x:c r="G6" s="24" t="n">
        <x:v>13</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56</x:v>
      </x:c>
      <x:c r="E10" s="24"/>
      <x:c r="F10" s="24"/>
      <x:c r="G10" s="24" t="n">
        <x:v>14</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2026-01</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28</x:v>
      </x:c>
      <x:c r="E35" s="24" t="n">
        <x:v>1997</x:v>
      </x:c>
      <x:c r="F35" s="24" t="str">
        <x:v>2026-01</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98 exchange companies, 225 individual establishments, 106 remittance agents, plus 429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13</x:v>
      </x:c>
      <x:c r="G55" s="24" t="str">
        <x:v>2024 Q3</x:v>
      </x:c>
      <x:c r="H55" s="24" t="str">
        <x:v>2026-01</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14</x:v>
      </x:c>
      <x:c r="G56" s="24" t="str">
        <x:v>2024 Q1</x:v>
      </x:c>
      <x:c r="H56" s="24" t="str">
        <x:v>2026-01</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13</x:v>
      </x:c>
      <x:c r="G57" s="24" t="str">
        <x:v>2024 Q1</x:v>
      </x:c>
      <x:c r="H57" s="24" t="str">
        <x:v>2026-01</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98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225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106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429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custom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Custom 2022 sample includes micro firms under 5 employees and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custom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custom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custom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custom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custom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custom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custom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custom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custom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custom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custom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custom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custom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custom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custom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custom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custom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custom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custom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custom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custom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custom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custom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custom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custom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custom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 Figure 108, p.146</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custom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 Figure 108, p.146</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custom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 Figure 108, p.146</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custom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 Figure 108, p.146</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custom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 Figure 108, p.146</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custom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 Figure 108, p.146</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custom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 Figure 108,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custom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 Figure 108,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custom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 Figure 108,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custom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 Figure 108,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custom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 Figure 108,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custom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 Figure 108,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custom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 Figure 108,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custom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 Figure 108,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custom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 Figure 108,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custom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 Figure 108,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custom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custom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custom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custom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custom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custom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custom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custom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custom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custom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custom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custom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custom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custom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custom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custom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custom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custom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custom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custom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custom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custom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custom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custom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custom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custom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custom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custom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custom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custom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custom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custom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custom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custom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custom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2022 custom survey including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2022 custom survey including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2022 custom survey including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2022 custom survey including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2022 custom survey including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2022 custom survey including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2022 custom survey including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https://www.sfd-yemen.org/uploads/issues/SFD_Nwesletter_en66%20final-20141224-124427.pdf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https://www.sfd-yemen.org/uploads/issues/Newsletter%20Eng%204th-2017%20%20-20-4-18-20190129-214133.pdf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https://www.sfd-yemen.org/uploads/issues/1st%20NL%202019-20200123-102323.pdf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https://sfd-yemen.org/uploads/issues/4th%20NL%202020-20211125-090031.pdf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https://www.sfd-yemen.org/uploads/issues/Microfinance%20Islamic%20Products%20Study%28TOR%29-20130109-132034.pdf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https://www.sfd-yemen.org/uploads/issues/Newsletter-12-ENGLISH%20-20120718-113859.pdf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https://www.sfd-yemen.org/uploads/issues/Microfinance%20Islamic%20Products%20Study%28TOR%29-20130109-132034.pdf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https://www.sfd-yemen.org/uploads/issues/DESIGN%201st%20NL%202012%20-%20No-20121222-162100.pdf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https://www.sfd-yemen.org/uploads/issues/SFD_Nwesletter_en66%20final-20141224-124427.pdf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https://www.sfd-yemen.org/uploads/issues/Newsletter%20Eng%204th-2017%20%20-20-4-18-20190129-214133.pdf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https://www.sfd-yemen.org/uploads/issues/1st%20NL%202019-20200123-102323.pdf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https://sfd-yemen.org/uploads/issues/4th%20NL%202020-20211125-090031.pdf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2026-09-07</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2026-09-07</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2026-09-07</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2026-09-07</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2026-09-07</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2026-09-07</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2026-09-07</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2026-09-07</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2026-09-07</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2026-09-07</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2026-09-07</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2026-09-07</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2026-09-07</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2026-09-07</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2026-09-07</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2026-09-07</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2026-09-07</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2026-09-07</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2026-09-07</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2026-09-07</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2026-09-07</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2026-09-07</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2026-09-07</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2026-09-07</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2026-09-07</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2026-09-07</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May describe the dated enforcement event at the exact entity/branch level supported. Do not imply that event-identified entities form the complete current provider universe.</x:v>
      </x:c>
      <x:c r="O31" s="24" t="str">
        <x:v>Names with non-primary corroboration remain non-public until primary decision content is controlled.</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May describe the dated enforcement event at the exact entity/branch level supported. Do not imply that event-identified entities form the complete current provider universe.</x:v>
      </x:c>
      <x:c r="O32" s="24" t="str">
        <x:v>Names with non-primary corroboration remain non-public until primary decision content is controlled.</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May describe the dated enforcement event at the exact entity/branch level supported. Do not imply that event-identified entities form the complete current provider universe.</x:v>
      </x:c>
      <x:c r="O33" s="24" t="str">
        <x:v>Names with non-primary corroboration remain non-public until primary decision content is controlled.</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May describe the dated enforcement event at the exact entity/branch level supported. Do not imply that event-identified entities form the complete current provider universe.</x:v>
      </x:c>
      <x:c r="O34" s="24" t="str">
        <x:v>Names with non-primary corroboration remain non-public until primary decision content is controlled.</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May describe the dated enforcement event at the exact entity/branch level supported. Do not imply that event-identified entities form the complete current provider universe.</x:v>
      </x:c>
      <x:c r="O35" s="24" t="str">
        <x:v>Names with non-primary corroboration remain non-public until primary decision content is controlled.</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May describe the dated enforcement event at the exact entity/branch level supported. Do not imply that event-identified entities form the complete current provider universe.</x:v>
      </x:c>
      <x:c r="O36" s="24" t="str">
        <x:v>Names with non-primary corroboration remain non-public until primary decision content is controlled.</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May describe the dated enforcement event at the exact entity/branch level supported. Do not imply that event-identified entities form the complete current provider universe.</x:v>
      </x:c>
      <x:c r="O37" s="24" t="str">
        <x:v>Names with non-primary corroboration remain non-public until primary decision content is controlled.</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May describe the dated enforcement event at the exact entity/branch level supported. Do not imply that event-identified entities form the complete current provider universe.</x:v>
      </x:c>
      <x:c r="O38" s="24" t="str">
        <x:v>Names with non-primary corroboration remain non-public until primary decision content is controlled.</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May describe the dated enforcement event at the exact entity/branch level supported. Do not imply that event-identified entities form the complete current provider universe.</x:v>
      </x:c>
      <x:c r="O39" s="24" t="str">
        <x:v>Names with non-primary corroboration remain non-public until primary decision content is controlled.</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May describe the dated enforcement event at the exact entity/branch level supported. Do not imply that event-identified entities form the complete current provider universe.</x:v>
      </x:c>
      <x:c r="O40" s="24" t="str">
        <x:v>Names with non-primary corroboration remain non-public until primary decision content is controlled.</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May describe the dated enforcement event at the exact entity/branch level supported. Do not imply that event-identified entities form the complete current provider universe.</x:v>
      </x:c>
      <x:c r="O41" s="24" t="str">
        <x:v>Names with non-primary corroboration remain non-public until primary decision content is controlled.</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May describe the dated enforcement event at the exact entity/branch level supported. Do not imply that event-identified entities form the complete current provider universe.</x:v>
      </x:c>
      <x:c r="O42" s="24" t="str">
        <x:v>Names with non-primary corroboration remain non-public until primary decision content is controlled.</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May describe the dated enforcement event at the exact entity/branch level supported. Do not imply that event-identified entities form the complete current provider universe.</x:v>
      </x:c>
      <x:c r="O43" s="24" t="str">
        <x:v>Names with non-primary corroboration remain non-public until primary decision content is controlled.</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May describe the dated enforcement event at the exact entity/branch level supported. Do not imply that event-identified entities form the complete current provider universe.</x:v>
      </x:c>
      <x:c r="O44" s="24" t="str">
        <x:v>Names with non-primary corroboration remain non-public until primary decision content is controlled.</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May describe the dated enforcement event at the exact entity/branch level supported. Do not imply that event-identified entities form the complete current provider universe.</x:v>
      </x:c>
      <x:c r="O45" s="24" t="str">
        <x:v>Names with non-primary corroboration remain non-public until primary decision content is controlled.</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May describe the dated enforcement event at the exact entity/branch level supported. Do not imply that event-identified entities form the complete current provider universe.</x:v>
      </x:c>
      <x:c r="O46" s="24" t="str">
        <x:v>Names with non-primary corroboration remain non-public until primary decision content is controlled.</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May describe the dated enforcement event at the exact entity/branch level supported. Do not imply that event-identified entities form the complete current provider universe.</x:v>
      </x:c>
      <x:c r="O47" s="24" t="str">
        <x:v>Names with non-primary corroboration remain non-public until primary decision content is controlled.</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May describe the dated enforcement event at the exact entity/branch level supported. Do not imply that event-identified entities form the complete current provider universe.</x:v>
      </x:c>
      <x:c r="O48" s="24" t="str">
        <x:v>Names with non-primary corroboration remain non-public until primary decision content is controlled.</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May describe the dated enforcement event at the exact entity/branch level supported. Do not imply that event-identified entities form the complete current provider universe.</x:v>
      </x:c>
      <x:c r="O49" s="24" t="str">
        <x:v>Names with non-primary corroboration remain non-public until primary decision content is controlled.</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May describe the dated enforcement event at the exact entity/branch level supported. Do not imply that event-identified entities form the complete current provider universe.</x:v>
      </x:c>
      <x:c r="O50" s="24" t="str">
        <x:v>Names with non-primary corroboration remain non-public until primary decision content is controlled.</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May describe the dated enforcement event at the exact entity/branch level supported. Do not imply that event-identified entities form the complete current provider universe.</x:v>
      </x:c>
      <x:c r="O51" s="24" t="str">
        <x:v>Names with non-primary corroboration remain non-public until primary decision content is controlled.</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May describe the dated enforcement event at the exact entity/branch level supported. Do not imply that event-identified entities form the complete current provider universe.</x:v>
      </x:c>
      <x:c r="O52" s="24" t="str">
        <x:v>Names with non-primary corroboration remain non-public until primary decision content is controlled.</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May describe the dated enforcement event at the exact entity/branch level supported. Do not imply that event-identified entities form the complete current provider universe.</x:v>
      </x:c>
      <x:c r="O53" s="24" t="str">
        <x:v>Names with non-primary corroboration remain non-public until primary decision content is controlled.</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May describe the dated enforcement event at the exact entity/branch level supported. Do not imply that event-identified entities form the complete current provider universe.</x:v>
      </x:c>
      <x:c r="O54" s="24" t="str">
        <x:v>Names with non-primary corroboration remain non-public until primary decision content is controlled.</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May describe the dated enforcement event at the exact entity/branch level supported. Do not imply that event-identified entities form the complete current provider universe.</x:v>
      </x:c>
      <x:c r="O55" s="24" t="str">
        <x:v>Names with non-primary corroboration remain non-public until primary decision content is controlled.</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May describe the dated enforcement event at the exact entity/branch level supported. Do not imply that event-identified entities form the complete current provider universe.</x:v>
      </x:c>
      <x:c r="O56" s="24" t="str">
        <x:v>Names with non-primary corroboration remain non-public until primary decision content is controlled.</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May describe the dated enforcement event at the exact entity/branch level supported. Do not imply that event-identified entities form the complete current provider universe.</x:v>
      </x:c>
      <x:c r="O57" s="24" t="str">
        <x:v>Names with non-primary corroboration remain non-public until primary decision content is controlled.</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May describe the dated enforcement event at the exact entity/branch level supported. Do not imply that event-identified entities form the complete current provider universe.</x:v>
      </x:c>
      <x:c r="O58" s="24" t="str">
        <x:v>Names with non-primary corroboration remain non-public until primary decision content is controlled.</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May describe the dated enforcement event at the exact entity/branch level supported. Do not imply that event-identified entities form the complete current provider universe.</x:v>
      </x:c>
      <x:c r="O59" s="24" t="str">
        <x:v>Names with non-primary corroboration remain non-public until primary decision content is controlled.</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May describe the 2026-09-17 licence-suspension/closure event for this exact company.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3">
      <x:c r="A63" s="53" t="str">
        <x:v>Provider universe</x:v>
      </x:c>
      <x:c r="B63" s="53"/>
      <x:c r="C63" s="53"/>
      <x:c r="D63" s="53"/>
      <x:c r="E63" s="53"/>
      <x:c r="F63" s="53"/>
      <x:c r="G63" s="53"/>
      <x:c r="H63" s="53"/>
      <x:c r="I63" s="53"/>
      <x:c r="J63" s="53"/>
      <x:c r="K63" s="53"/>
    </x:row>
    <x:row r="64">
      <x:c r="A64" s="51" t="str">
        <x:v>universe_id</x:v>
      </x:c>
      <x:c r="B64" s="51" t="str">
        <x:v>provider_class</x:v>
      </x:c>
      <x:c r="C64" s="51" t="str">
        <x:v>reference_state</x:v>
      </x:c>
      <x:c r="D64" s="51" t="str">
        <x:v>authoritative_source_id</x:v>
      </x:c>
      <x:c r="E64" s="51" t="str">
        <x:v>universe_count</x:v>
      </x:c>
      <x:c r="F64" s="51" t="str">
        <x:v>count_state</x:v>
      </x:c>
      <x:c r="G64" s="51" t="str">
        <x:v>named_universe_state</x:v>
      </x:c>
      <x:c r="H64" s="51" t="str">
        <x:v>custody_state</x:v>
      </x:c>
      <x:c r="I64" s="51" t="str">
        <x:v>event_overlay_state</x:v>
      </x:c>
      <x:c r="J64" s="51" t="str">
        <x:v>rc0_state</x:v>
      </x:c>
      <x:c r="K64" s="51" t="str">
        <x:v>critical_limit</x:v>
      </x:c>
    </x:row>
    <x:row r="65">
      <x:c r="A65" s="24" t="str">
        <x:v>PUC-BANK-2026-01</x:v>
      </x:c>
      <x:c r="B65" s="24" t="str">
        <x:v>BANKS_ALL_TYPES</x:v>
      </x:c>
      <x:c r="C65" s="24" t="str">
        <x:v>2026-09-07</x:v>
      </x:c>
      <x:c r="D65" s="24" t="str">
        <x:v>SRC-CBY-BANKLIST-AR-2026-001</x:v>
      </x:c>
      <x:c r="E65" s="24" t="n">
        <x:v>26</x:v>
      </x:c>
      <x:c r="F65" s="24" t="str">
        <x:v>PRIMARY_CURRENT_LIST_VERIFIED</x:v>
      </x:c>
      <x:c r="G65" s="24" t="str">
        <x:v>COMPLETE_FOR_SOURCE_LIST</x:v>
      </x:c>
      <x:c r="H65" s="24" t="str">
        <x:v>WEB_PDF_VISUALLY_VERIFIED__RAW_NOT_MIRRORED</x:v>
      </x:c>
      <x:c r="I65" s="24" t="str">
        <x:v>NO_BANK_STATUS_EVENT_OVERLAY_APPLIED_IN_THIS_UNIT</x:v>
      </x:c>
      <x:c r="J65" s="24" t="str">
        <x:v>SATISFIES_CURRENT_BANK_ROSTER_MINIMUM</x:v>
      </x:c>
      <x:c r="K65" s="24" t="str">
        <x:v>List presence proves licensing/listing only; operation is not inferred.</x:v>
      </x:c>
    </x:row>
    <x:row r="66">
      <x:c r="A66" s="24" t="str">
        <x:v>PUC-EXCH-2026-01</x:v>
      </x:c>
      <x:c r="B66" s="24" t="str">
        <x:v>EXCHANGE_COMPANIES_ESTABLISHMENTS_AND_REMITTANCE_AGENTS</x:v>
      </x:c>
      <x:c r="C66" s="24" t="str">
        <x:v>Official 2026 annual roster; later 2026 status events separate</x:v>
      </x:c>
      <x:c r="D66" s="24" t="str">
        <x:v>SRC-CBY-EXCH-LIST-2026-001</x:v>
      </x:c>
      <x:c r="E66" s="24" t="n">
        <x:v>429</x:v>
      </x:c>
      <x:c r="F66" s="24" t="str">
        <x:v>SOURCE_LISTED_ROWS__98_COMPANIES__225_ESTABLISHMENTS__106_REMITTANCE_AGENTS</x:v>
      </x:c>
      <x:c r="G66" s="24" t="str">
        <x:v>COMPLETE_CATEGORY_COUNTS__ROW_LEVEL_NAMES_NOT_YET_NORMALIZED_IN_PROVIDER_MASTER</x:v>
      </x:c>
      <x:c r="H66" s="24" t="str">
        <x:v>OFFICIAL_11_PAGE_PDF_VISUALLY_VERIFIED</x:v>
      </x:c>
      <x:c r="I66" s="24" t="str">
        <x:v>SELECTED_2026_STATUS_OVERLAY__LATER_SUSPENSION_CLOSURE_EVENTS_MUST_NOT_BE_SUBTRACTED_MECHANICALLY</x:v>
      </x:c>
      <x:c r="J66" s="24" t="str">
        <x:v>ROSTER_COUNTS_RESOLVED__CURRENT_OPERATION_REMAINS_ENTITY_STATUS_QUESTION</x:v>
      </x:c>
      <x:c r="K66" s="24" t="str">
        <x:v>429 is the arithmetic sum of source-listed rows across three classes, not a deduplicated unique-provider or currently operating-provider count.</x:v>
      </x:c>
    </x:row>
    <x:row r="67">
      <x:c r="A67" s="24" t="str">
        <x:v>PUC-WALLET-2025-01</x:v>
      </x:c>
      <x:c r="B67" s="24" t="str">
        <x:v>E_WALLETS_OR_E_MONEY_SERVICES_AS_CBY_REPORTED</x:v>
      </x:c>
      <x:c r="C67" s="24" t="str">
        <x:v>2024 Q3 / 2025 H1 / 2025-09-10 / 2026 event states</x:v>
      </x:c>
      <x:c r="D67" s="24" t="str">
        <x:v>MULTI_SOURCE</x:v>
      </x:c>
      <x:c r="E67" s="24"/>
      <x:c r="F67" s="24" t="str">
        <x:v>MULTIPLE_PRIMARY_DATED_COUNTS_WITH_DIFFERENT_WORDING</x:v>
      </x:c>
      <x:c r="G67" s="24" t="str">
        <x:v>POSITIVE_NAMES_NOT_CONTROLLED</x:v>
      </x:c>
      <x:c r="H67" s="24" t="str">
        <x:v>OFFICIAL_REPORTS_AND_EVENT_PAGES</x:v>
      </x:c>
      <x:c r="I67" s="24" t="str">
        <x:v>2024_NEGATIVE_AUTHORITY + 72_WALLET_COUNT_RECON__NO_POSITIVE_CURRENT_STATUS_LEDGER</x:v>
      </x:c>
      <x:c r="J67" s="24" t="str">
        <x:v>COUNT_ONLY_AND_SEMANTIC_COMPARE__NOT_NAMED_PROVIDER_MASTER</x:v>
      </x:c>
      <x:c r="K67" s="24" t="str">
        <x:v>Official objects report 7 e-wallets (2024 Q3), 9 e-wallets (2025 H1), 8 licensed e-wallets (2025-09-10), and &gt;9 event participants (2026-01-22). Preserve separately; named positive current wallet/PSP universe remains open.</x:v>
      </x:c>
    </x:row>
    <x:row r="68">
      <x:c r="A68" s="24" t="str">
        <x:v>PUC-MFI-2026-01</x:v>
      </x:c>
      <x:c r="B68" s="24" t="str">
        <x:v>NON_BANK_MICROFINANCE_INSTITUTIONS_AND_PROGRAMMES</x:v>
      </x:c>
      <x:c r="C68" s="24" t="str">
        <x:v>observed 2026-09-07</x:v>
      </x:c>
      <x:c r="D68" s="24" t="str">
        <x:v>SRC-YMN-MEMBERS-2026-001</x:v>
      </x:c>
      <x:c r="E68" s="24"/>
      <x:c r="F68" s="24" t="str">
        <x:v>MEMBERSHIP_PAGES_ONLY</x:v>
      </x:c>
      <x:c r="G68" s="24" t="str">
        <x:v>PARTIAL_NETWORK_MEMBERSHIP_NOT_REGULATORY_UNIVERSE</x:v>
      </x:c>
      <x:c r="H68" s="24" t="str">
        <x:v>WEB_VERIFIED</x:v>
      </x:c>
      <x:c r="I68" s="24" t="str">
        <x:v>NONE</x:v>
      </x:c>
      <x:c r="J68" s="24" t="str">
        <x:v>CONTEXT_ONLY__NOT_NATIONAL_PROVIDER_CENSUS</x:v>
      </x:c>
      <x:c r="K68" s="24" t="str">
        <x:v>YMN membership presence is not licence or operation verification and is not a complete national universe.</x:v>
      </x:c>
    </x:row>
    <x:row r="71">
      <x:c r="A71" s="53" t="str">
        <x:v>Provider status events</x:v>
      </x:c>
      <x:c r="B71" s="53"/>
      <x:c r="C71" s="53"/>
      <x:c r="D71" s="53"/>
      <x:c r="E71" s="53"/>
      <x:c r="F71" s="53"/>
      <x:c r="G71" s="53"/>
      <x:c r="H71" s="53"/>
      <x:c r="I71" s="53"/>
      <x:c r="J71" s="53"/>
      <x:c r="K71" s="53"/>
      <x:c r="L71" s="53"/>
    </x:row>
    <x:row r="72">
      <x:c r="A72" s="51" t="str">
        <x:v>status_event_id</x:v>
      </x:c>
      <x:c r="B72" s="51" t="str">
        <x:v>event_date</x:v>
      </x:c>
      <x:c r="C72" s="51" t="str">
        <x:v>source_id</x:v>
      </x:c>
      <x:c r="D72" s="51" t="str">
        <x:v>authority</x:v>
      </x:c>
      <x:c r="E72" s="51" t="str">
        <x:v>event_scope</x:v>
      </x:c>
      <x:c r="F72" s="51" t="str">
        <x:v>affected_class</x:v>
      </x:c>
      <x:c r="G72" s="51" t="str">
        <x:v>event_state</x:v>
      </x:c>
      <x:c r="H72" s="51" t="str">
        <x:v>normalized_event</x:v>
      </x:c>
      <x:c r="I72" s="51" t="str">
        <x:v>entity_subject_state</x:v>
      </x:c>
      <x:c r="J72" s="51" t="str">
        <x:v>public_use</x:v>
      </x:c>
      <x:c r="K72" s="51" t="str">
        <x:v>not_proven</x:v>
      </x:c>
      <x:c r="L72" s="51" t="str">
        <x:v>source_url</x:v>
      </x:c>
    </x:row>
    <x:row r="73">
      <x:c r="A73" s="24" t="str">
        <x:v>PSE-001</x:v>
      </x:c>
      <x:c r="B73" s="24" t="str">
        <x:v>2024-06-26</x:v>
      </x:c>
      <x:c r="C73" s="24" t="str">
        <x:v>SRC-CBY-UNLICENSED-EWALLET-2024-001</x:v>
      </x:c>
      <x:c r="D73" s="24" t="str">
        <x:v>Central Bank of Yemen — Aden</x:v>
      </x:c>
      <x:c r="E73" s="24" t="str">
        <x:v>12 named wallets/entities/services + any other unlicensed electronic financial service</x:v>
      </x:c>
      <x:c r="F73" s="24" t="str">
        <x:v>E_WALLET_OR_ELECTRONIC_PAYMENT_SERVICE</x:v>
      </x:c>
      <x:c r="G73" s="24" t="str">
        <x:v>PROHIBITED_DEALING__UNLICENSED_AS_SOURCE_DATED</x:v>
      </x:c>
      <x:c r="H73" s="24" t="str">
        <x:v>CBY directs banks and exchange businesses not to deal directly or indirectly with the listed unlicensed electronic-payment entities/services.</x:v>
      </x:c>
      <x:c r="I73" s="24" t="str">
        <x:v>NAMED_NEGATIVE_AUTHORITY_LIST_IN_67</x:v>
      </x:c>
      <x:c r="J73" s="24" t="str">
        <x:v>May show a dated negative-authority list with exact source and date.</x:v>
      </x:c>
      <x:c r="K73" s="24" t="str">
        <x:v>Does not identify the positive licensed universe; does not establish 2026 current status.</x:v>
      </x:c>
      <x:c r="L73" s="24" t="str">
        <x:v>https://cby-ye.com/files/667c32dabd223.pdf</x:v>
      </x:c>
    </x:row>
    <x:row r="74">
      <x:c r="A74" s="24" t="str">
        <x:v>PSE-002</x:v>
      </x:c>
      <x:c r="B74" s="24" t="str">
        <x:v>2026-01-01</x:v>
      </x:c>
      <x:c r="C74" s="24" t="str">
        <x:v>SRC-CBY-ENF-01-2026</x:v>
      </x:c>
      <x:c r="D74" s="24" t="str">
        <x:v>Central Bank of Yemen — Aden</x:v>
      </x:c>
      <x:c r="E74" s="24" t="str">
        <x:v>multiple event subjects captured in Provider Master</x:v>
      </x:c>
      <x:c r="F74" s="24" t="str">
        <x:v>EXCHANGE_COMPANY_OR_ESTABLISHMENT</x:v>
      </x:c>
      <x:c r="G74" s="24" t="str">
        <x:v>LICENCE_SUSPENSION_AND_CLOSURE_EVENT</x:v>
      </x:c>
      <x:c r="H74" s="24" t="str">
        <x:v>Governor Decision No. 1 of 2026 suspends licences of a number of non-compliant exchange companies/establishments and closes their premises based on Banking Supervision field-inspection reporting.</x:v>
      </x:c>
      <x:c r="I74" s="24" t="str">
        <x:v>PRIMARY_EVENT_SUBJECTS_PRESENT_IN_15_PROVIDER_MASTER</x:v>
      </x:c>
      <x:c r="J74" s="24" t="str">
        <x:v>May show the dated enforcement event and exact subjects only where primary decision content is controlled.</x:v>
      </x:c>
      <x:c r="K74" s="24" t="str">
        <x:v>Does not establish the complete roster or current operation of unaffected providers.</x:v>
      </x:c>
      <x:c r="L74" s="24" t="str">
        <x:v>https://cby-ye.com/news/907</x:v>
      </x:c>
    </x:row>
    <x:row r="75">
      <x:c r="A75" s="24" t="str">
        <x:v>PSE-003</x:v>
      </x:c>
      <x:c r="B75" s="24" t="str">
        <x:v>2026-08-06</x:v>
      </x:c>
      <x:c r="C75" s="24" t="str">
        <x:v>SRC-CBY-ENF-13-2026</x:v>
      </x:c>
      <x:c r="D75" s="24" t="str">
        <x:v>Central Bank of Yemen — Aden</x:v>
      </x:c>
      <x:c r="E75" s="24" t="str">
        <x:v>event subjects partially normalized in Provider Master</x:v>
      </x:c>
      <x:c r="F75" s="24" t="str">
        <x:v>EXCHANGE_ESTABLISHMENT_AND_REMITTANCE_AGENT</x:v>
      </x:c>
      <x:c r="G75" s="24" t="str">
        <x:v>LICENCE_SUSPENSION_AND_CLOSURE_EVENT</x:v>
      </x:c>
      <x:c r="H75" s="24" t="str">
        <x:v>Governor Decision No. 13 of 2026 suspends licences of a number of exchange establishments and a remittance agent and closes premises, based on Banking Supervision field-inspection reporting.</x:v>
      </x:c>
      <x:c r="I75" s="24" t="str">
        <x:v>OFFICIAL_EVENT_VERIFIED__SOME_NAMES_SECONDARY_CORROBORATION</x:v>
      </x:c>
      <x:c r="J75" s="24" t="str">
        <x:v>Event-level state is public; entity names require the source-specific evidence tier already stored in Provider Master.</x:v>
      </x:c>
      <x:c r="K75" s="24" t="str">
        <x:v>Does not establish the complete 2026 provider universe.</x:v>
      </x:c>
      <x:c r="L75" s="24" t="str">
        <x:v>https://cby-ye.com/news/964</x:v>
      </x:c>
    </x:row>
    <x:row r="76">
      <x:c r="A76" s="24" t="str">
        <x:v>PSE-004</x:v>
      </x:c>
      <x:c r="B76" s="24" t="str">
        <x:v>2026-08-20</x:v>
      </x:c>
      <x:c r="C76" s="24" t="str">
        <x:v>SRC-CBY-ENF-14-2026</x:v>
      </x:c>
      <x:c r="D76" s="24" t="str">
        <x:v>Central Bank of Yemen — Aden</x:v>
      </x:c>
      <x:c r="E76" s="24" t="str">
        <x:v>event subjects partially normalized in Provider Master</x:v>
      </x:c>
      <x:c r="F76" s="24" t="str">
        <x:v>EXCHANGE_COMPANY_OR_ESTABLISHMENT</x:v>
      </x:c>
      <x:c r="G76" s="24" t="str">
        <x:v>LICENCE_SUSPENSION_AND_CLOSURE_EVENT</x:v>
      </x:c>
      <x:c r="H76" s="24" t="str">
        <x:v>Governor Decision No. 14 of 2026 suspends licences of a number of exchange companies/establishment(s) and closes premises based on Banking Supervision field-inspection reporting.</x:v>
      </x:c>
      <x:c r="I76" s="24" t="str">
        <x:v>OFFICIAL_EVENT_VERIFIED__SOME_NAMES_CORROBORATED</x:v>
      </x:c>
      <x:c r="J76" s="24" t="str">
        <x:v>Event-level state is public; entity names require source-specific evidence tier.</x:v>
      </x:c>
      <x:c r="K76" s="24" t="str">
        <x:v>Does not establish complete provider universe or market activity.</x:v>
      </x:c>
      <x:c r="L76" s="24" t="str">
        <x:v>https://cby-ye.com/news/968</x:v>
      </x:c>
    </x:row>
    <x:row r="77">
      <x:c r="A77" s="24" t="str">
        <x:v>PSE-005</x:v>
      </x:c>
      <x:c r="B77" s="24" t="str">
        <x:v>2026-08-27</x:v>
      </x:c>
      <x:c r="C77" s="24" t="str">
        <x:v>SRC-CBY-ENF-15-2026</x:v>
      </x:c>
      <x:c r="D77" s="24" t="str">
        <x:v>Central Bank of Yemen — Aden</x:v>
      </x:c>
      <x:c r="E77" s="24" t="str">
        <x:v>event subjects partially normalized in Provider Master</x:v>
      </x:c>
      <x:c r="F77" s="24" t="str">
        <x:v>EXCHANGE_COMPANY_ESTABLISHMENT_AND_REMITTANCE_AGENTS</x:v>
      </x:c>
      <x:c r="G77" s="24" t="str">
        <x:v>LICENCE_SUSPENSION_AND_CLOSURE_EVENT</x:v>
      </x:c>
      <x:c r="H77" s="24" t="str">
        <x:v>Governor Decision No. 15 of 2026 suspends licences of an exchange company, establishment and a number of remittance agents and closes premises based on Banking Supervision field-inspection reporting.</x:v>
      </x:c>
      <x:c r="I77" s="24" t="str">
        <x:v>OFFICIAL_EVENT_VERIFIED__SOME_NAMES_SECONDARY_ONLY</x:v>
      </x:c>
      <x:c r="J77" s="24" t="str">
        <x:v>Event-level state is public; individual names remain governed by Provider Master evidence tier.</x:v>
      </x:c>
      <x:c r="K77" s="24" t="str">
        <x:v>Does not establish complete provider universe or current operation of other entities.</x:v>
      </x:c>
      <x:c r="L77" s="24" t="str">
        <x:v>https://cby-ye.com/news/969</x:v>
      </x:c>
    </x:row>
    <x:row r="78">
      <x:c r="A78" s="24" t="str">
        <x:v>PSE-006</x:v>
      </x:c>
      <x:c r="B78" s="24" t="str">
        <x:v>2026-01-01</x:v>
      </x:c>
      <x:c r="C78" s="24" t="str">
        <x:v>SRC-CBY-ENF-02-2026</x:v>
      </x:c>
      <x:c r="D78" s="24" t="str">
        <x:v>Central Bank of Yemen — Aden</x:v>
      </x:c>
      <x:c r="E78" s="24" t="str">
        <x:v>Al-Shamil Exchange branch</x:v>
      </x:c>
      <x:c r="F78" s="24" t="str">
        <x:v>EXCHANGE_BRANCH</x:v>
      </x:c>
      <x:c r="G78" s="24" t="str">
        <x:v>LICENCE_WITHDRAWAL_EVENT</x:v>
      </x:c>
      <x:c r="H78" s="24" t="str">
        <x:v>Governor Decision No. 2 of 2026 withdraws the licence of a non-compliant Al-Shamil Exchange branch based on Banking Supervision field-inspection reporting.</x:v>
      </x:c>
      <x:c r="I78" s="24" t="str">
        <x:v>PRIMARY_BRANCH_SUBJECT_PRESENT_IN_15_PROVIDER_MASTER</x:v>
      </x:c>
      <x:c r="J78" s="24" t="str">
        <x:v>May show the exact dated branch-level status event.</x:v>
      </x:c>
      <x:c r="K78" s="24" t="str">
        <x:v>Does not establish parent-company operation, all branches, or complete provider universe.</x:v>
      </x:c>
      <x:c r="L78" s="24" t="str">
        <x:v>https://cby-ye.com/news/908</x:v>
      </x:c>
    </x:row>
    <x:row r="79">
      <x:c r="A79" s="24" t="str">
        <x:v>PSE-007</x:v>
      </x:c>
      <x:c r="B79" s="24" t="str">
        <x:v>2026-01-08</x:v>
      </x:c>
      <x:c r="C79" s="24" t="str">
        <x:v>SRC-CBY-ENF-03-2026</x:v>
      </x:c>
      <x:c r="D79" s="24" t="str">
        <x:v>Central Bank of Yemen — Aden</x:v>
      </x:c>
      <x:c r="E79" s="24" t="str">
        <x:v>Bin Amin Ghannam Exchange branch</x:v>
      </x:c>
      <x:c r="F79" s="24" t="str">
        <x:v>EXCHANGE_BRANCH</x:v>
      </x:c>
      <x:c r="G79" s="24" t="str">
        <x:v>LICENCE_WITHDRAWAL_EVENT</x:v>
      </x:c>
      <x:c r="H79" s="24" t="str">
        <x:v>Governor Decision No. 3 of 2026 withdraws the licence of a Bin Amin Ghannam Exchange branch based on Banking Supervision field-inspection reporting.</x:v>
      </x:c>
      <x:c r="I79" s="24" t="str">
        <x:v>PRIMARY_BRANCH_SUBJECT_PRESENT_IN_15_PROVIDER_MASTER</x:v>
      </x:c>
      <x:c r="J79" s="24" t="str">
        <x:v>May show the exact dated branch-level status event.</x:v>
      </x:c>
      <x:c r="K79" s="24" t="str">
        <x:v>Does not establish parent-company operation, all branches, or complete provider universe.</x:v>
      </x:c>
      <x:c r="L79" s="24" t="str">
        <x:v>https://cby-ye.com/news/910</x:v>
      </x:c>
    </x:row>
    <x:row r="80">
      <x:c r="A80" s="24" t="str">
        <x:v>PSE-008</x:v>
      </x:c>
      <x:c r="B80" s="24" t="str">
        <x:v>2026-01-08</x:v>
      </x:c>
      <x:c r="C80" s="24" t="str">
        <x:v>SRC-CBY-ENF-04-2026</x:v>
      </x:c>
      <x:c r="D80" s="24" t="str">
        <x:v>Central Bank of Yemen — Aden</x:v>
      </x:c>
      <x:c r="E80" s="24" t="str">
        <x:v>multiple event subjects captured in Provider Master</x:v>
      </x:c>
      <x:c r="F80" s="24" t="str">
        <x:v>EXCHANGE_ESTABLISHMENT</x:v>
      </x:c>
      <x:c r="G80" s="24" t="str">
        <x:v>LICENCE_SUSPENSION_AND_CLOSURE_EVENT</x:v>
      </x:c>
      <x:c r="H80" s="24" t="str">
        <x:v>Governor Decision No. 4 of 2026 suspends licences of a number of non-compliant exchange establishments and closes premises based on Banking Supervision field-inspection reporting.</x:v>
      </x:c>
      <x:c r="I80" s="24" t="str">
        <x:v>PRIMARY_EVENT_SUBJECTS_PRESENT_IN_15_PROVIDER_MASTER</x:v>
      </x:c>
      <x:c r="J80" s="24" t="str">
        <x:v>May show the dated event and subjects only at their controlled evidence tier.</x:v>
      </x:c>
      <x:c r="K80" s="24" t="str">
        <x:v>Does not establish complete provider universe or current operation of unaffected providers.</x:v>
      </x:c>
      <x:c r="L80" s="24" t="str">
        <x:v>https://cby-ye.com/news/911</x:v>
      </x:c>
    </x:row>
    <x:row r="81">
      <x:c r="A81" s="24" t="str">
        <x:v>PSE-009</x:v>
      </x:c>
      <x:c r="B81" s="24" t="str">
        <x:v>2026-01-13</x:v>
      </x:c>
      <x:c r="C81" s="24" t="str">
        <x:v>SRC-CBY-ENF-05-2026</x:v>
      </x:c>
      <x:c r="D81" s="24" t="str">
        <x:v>Central Bank of Yemen — Aden</x:v>
      </x:c>
      <x:c r="E81" s="24" t="str">
        <x:v>multiple event subjects captured in Provider Master</x:v>
      </x:c>
      <x:c r="F81" s="24" t="str">
        <x:v>EXCHANGE_ESTABLISHMENT</x:v>
      </x:c>
      <x:c r="G81" s="24" t="str">
        <x:v>LICENCE_SUSPENSION_AND_CLOSURE_EVENT</x:v>
      </x:c>
      <x:c r="H81" s="24" t="str">
        <x:v>Governor Decision No. 5 of 2026 suspends licences of a number of non-compliant exchange establishments and closes premises based on Banking Supervision field-inspection reporting.</x:v>
      </x:c>
      <x:c r="I81" s="24" t="str">
        <x:v>PRIMARY_EVENT_SUBJECTS_PRESENT_IN_15_PROVIDER_MASTER</x:v>
      </x:c>
      <x:c r="J81" s="24" t="str">
        <x:v>May show the dated event and exact controlled subjects.</x:v>
      </x:c>
      <x:c r="K81" s="24" t="str">
        <x:v>Does not establish complete provider universe or current operation of unaffected providers.</x:v>
      </x:c>
      <x:c r="L81" s="24" t="str">
        <x:v>https://cby-ye.com/news/912</x:v>
      </x:c>
    </x:row>
    <x:row r="82">
      <x:c r="A82" s="24" t="str">
        <x:v>PSE-010</x:v>
      </x:c>
      <x:c r="B82" s="24" t="str">
        <x:v>2026-01-13</x:v>
      </x:c>
      <x:c r="C82" s="24" t="str">
        <x:v>SRC-CBY-ENF-06-2026</x:v>
      </x:c>
      <x:c r="D82" s="24" t="str">
        <x:v>Central Bank of Yemen — Aden</x:v>
      </x:c>
      <x:c r="E82" s="24" t="str">
        <x:v>Al-Thawr Exchange branch — Al-Mahra</x:v>
      </x:c>
      <x:c r="F82" s="24" t="str">
        <x:v>EXCHANGE_BRANCH</x:v>
      </x:c>
      <x:c r="G82" s="24" t="str">
        <x:v>LICENCE_SUSPENSION_AND_CLOSURE_EVENT</x:v>
      </x:c>
      <x:c r="H82" s="24" t="str">
        <x:v>Governor Decision No. 6 of 2026 suspends the licence of an Al-Thawr Exchange branch in Al-Mahra and closes its premises.</x:v>
      </x:c>
      <x:c r="I82" s="24" t="str">
        <x:v>PRIMARY_BRANCH_SUBJECT_PRESENT_IN_15_PROVIDER_MASTER</x:v>
      </x:c>
      <x:c r="J82" s="24" t="str">
        <x:v>May show the dated branch-level status event.</x:v>
      </x:c>
      <x:c r="K82" s="24" t="str">
        <x:v>Does not establish parent-company operation, all branches, or complete provider universe.</x:v>
      </x:c>
      <x:c r="L82" s="24" t="str">
        <x:v>https://cby-ye.com/news/913</x:v>
      </x:c>
    </x:row>
    <x:row r="83">
      <x:c r="A83" s="24" t="str">
        <x:v>PSE-011</x:v>
      </x:c>
      <x:c r="B83" s="24" t="str">
        <x:v>2026-05-21</x:v>
      </x:c>
      <x:c r="C83" s="24" t="str">
        <x:v>SRC-CBY-ENF-09-2026</x:v>
      </x:c>
      <x:c r="D83" s="24" t="str">
        <x:v>Central Bank of Yemen — Aden</x:v>
      </x:c>
      <x:c r="E83" s="24" t="str">
        <x:v>One remittance agent (an individual named in the decision) — Lahj/Tuban</x:v>
      </x:c>
      <x:c r="F83" s="24" t="str">
        <x:v>REMITTANCE_AGENT</x:v>
      </x:c>
      <x:c r="G83" s="24" t="str">
        <x:v>LICENCE_SUSPENSION_AND_CLOSURE_EVENT</x:v>
      </x:c>
      <x:c r="H83" s="24" t="str">
        <x:v>Governor Decision No. 9 of 2026 suspends the licence of a remittance agent in Lahj/Tuban and closes the premises; the agent is an individual and is not named in this resource.</x:v>
      </x:c>
      <x:c r="I83" s="24" t="str">
        <x:v>PRIMARY_OFFICIAL_EVENT_AND_SUBJECT_VERIFIED</x:v>
      </x:c>
      <x:c r="J83" s="24" t="str">
        <x:v>May show the dated event; the subject is an individual and is not named.</x:v>
      </x:c>
      <x:c r="K83" s="24" t="str">
        <x:v>Does not establish complete current remittance-agent universe or later status without further evidence.</x:v>
      </x:c>
      <x:c r="L83" s="24" t="str">
        <x:v>https://cby-ye.com/news/943</x:v>
      </x:c>
    </x:row>
    <x:row r="84">
      <x:c r="A84" s="24" t="str">
        <x:v>PSE-012</x:v>
      </x:c>
      <x:c r="B84" s="24" t="str">
        <x:v>2026-06-09</x:v>
      </x:c>
      <x:c r="C84" s="24" t="str">
        <x:v>SRC-CBY-ENF-10-2026</x:v>
      </x:c>
      <x:c r="D84" s="24" t="str">
        <x:v>Central Bank of Yemen — Aden</x:v>
      </x:c>
      <x:c r="E84" s="24" t="str">
        <x:v>Bin Dabi — remittance agent — Shabwa/Habban</x:v>
      </x:c>
      <x:c r="F84" s="24" t="str">
        <x:v>REMITTANCE_AGENT</x:v>
      </x:c>
      <x:c r="G84" s="24" t="str">
        <x:v>LICENCE_SUSPENSION_AND_CLOSURE_EVENT</x:v>
      </x:c>
      <x:c r="H84" s="24" t="str">
        <x:v>Governor Decision No. 10 of 2026 suspends the licence of Bin Dabi remittance agent in Shabwa/Habban and closes the premises.</x:v>
      </x:c>
      <x:c r="I84" s="24" t="str">
        <x:v>PRIMARY_OFFICIAL_PAGE_TITLE_VERIFIED__DATE_CROSS_CORROBORATED</x:v>
      </x:c>
      <x:c r="J84" s="24" t="str">
        <x:v>May show the event subject; if exact date is surfaced publicly, retain the cross-corroboration note until the primary page date is directly machine-readable/archived.</x:v>
      </x:c>
      <x:c r="K84" s="24" t="str">
        <x:v>Does not establish complete current remittance-agent universe or later status.</x:v>
      </x:c>
      <x:c r="L84" s="24" t="str">
        <x:v>https://cby-ye.com/news/944</x:v>
      </x:c>
    </x:row>
    <x:row r="85">
      <x:c r="A85" s="24" t="str">
        <x:v>PSE-013</x:v>
      </x:c>
      <x:c r="B85" s="24" t="str">
        <x:v>2026-06-10</x:v>
      </x:c>
      <x:c r="C85" s="24" t="str">
        <x:v>SRC-CBY-ENF-11-2026</x:v>
      </x:c>
      <x:c r="D85" s="24" t="str">
        <x:v>Central Bank of Yemen — Aden</x:v>
      </x:c>
      <x:c r="E85" s="24" t="str">
        <x:v>Al-Ittihad Money — remittance agent — Lahj/Yafa Al-Hadd</x:v>
      </x:c>
      <x:c r="F85" s="24" t="str">
        <x:v>REMITTANCE_AGENT</x:v>
      </x:c>
      <x:c r="G85" s="24" t="str">
        <x:v>LICENCE_SUSPENSION_AND_CLOSURE_EVENT</x:v>
      </x:c>
      <x:c r="H85" s="24" t="str">
        <x:v>Governor Decision No. 11 of 2026 suspends the licence of Al-Ittihad Money remittance agent in Lahj/Yafa Al-Hadd and closes the premises.</x:v>
      </x:c>
      <x:c r="I85" s="24" t="str">
        <x:v>PRIMARY_OFFICIAL_EVENT_AND_SUBJECT_VERIFIED</x:v>
      </x:c>
      <x:c r="J85" s="24" t="str">
        <x:v>May show the exact dated event and subject.</x:v>
      </x:c>
      <x:c r="K85" s="24" t="str">
        <x:v>Does not establish complete current remittance-agent universe or later status without further evidence.</x:v>
      </x:c>
      <x:c r="L85" s="24" t="str">
        <x:v>https://www.cby-ye.com/news/945</x:v>
      </x:c>
    </x:row>
    <x:row r="86">
      <x:c r="A86" t="str">
        <x:v>PSE-014</x:v>
      </x:c>
      <x:c r="B86" t="str">
        <x:v>2026-09-17</x:v>
      </x:c>
      <x:c r="C86" t="str">
        <x:v>SRC-CBY-ENF-17-2026</x:v>
      </x:c>
      <x:c r="D86" t="str">
        <x:v>Central Bank of Yemen — Aden</x:v>
      </x:c>
      <x:c r="E86" t="str">
        <x:v>Al-Buraq Exchange and Transfers Company</x:v>
      </x:c>
      <x:c r="F86" t="str">
        <x:v>EXCHANGE_COMPANY</x:v>
      </x:c>
      <x:c r="G86" t="str">
        <x:v>LICENCE_SUSPENSION_AND_CLOSURE_EVENT</x:v>
      </x:c>
      <x:c r="H86" t="str">
        <x:v>Governor Decision No. 17 of 2026 suspends the licence granted to Al-Buraq Exchange and Transfers Company and closes its premises, based on violations recorded in a field-inspection report from Banking Supervision.</x:v>
      </x:c>
      <x:c r="I86" t="str">
        <x:v>PRIMARY_OFFICIAL_EVENT_AND_SUBJECT_VERIFIED</x:v>
      </x:c>
      <x:c r="J86" t="str">
        <x:v>May show the exact dated event and subject.</x:v>
      </x:c>
      <x:c r="K86" t="str">
        <x:v>Does not establish the complete 2026 provider universe, the status of other entities, or a later status for Al-Buraq beyond the source date; do not subtract the event mechanically from the annual roster.</x:v>
      </x:c>
      <x:c r="L86" t="str">
        <x:v>https://cby-ye.com/news/973</x:v>
      </x:c>
      <x:c r="M86"/>
      <x:c r="N86"/>
      <x:c r="O86"/>
    </x:row>
    <x:row r="87">
      <x:c r="A87" t="str">
        <x:v>PSE-015</x:v>
      </x:c>
      <x:c r="B87" t="str">
        <x:v>2026-09-24</x:v>
      </x:c>
      <x:c r="C87" t="str">
        <x:v>SRC-CBY-ENF-18-2026</x:v>
      </x:c>
      <x:c r="D87" t="str">
        <x:v>Central Bank of Yemen — Aden</x:v>
      </x:c>
      <x:c r="E87" t="str">
        <x:v>one exchange company, exchange establishments and one remittance agent, as announced</x:v>
      </x:c>
      <x:c r="F87" t="str">
        <x:v>EXCHANGE_COMPANY_ESTABLISHMENTS_AND_REMITTANCE_AGENT</x:v>
      </x:c>
      <x:c r="G87" t="str">
        <x:v>LICENCE_SUSPENSION_AND_CLOSURE_EVENT</x:v>
      </x:c>
      <x:c r="H87" t="str">
        <x:v>Governor Decision No. 18 of 2026 suspends licences of an exchange company, exchange establishments and a remittance agent and closes their premises</x:v>
      </x:c>
      <x:c r="I87" t="str">
        <x:v>NAMES_PRIMARY_SOURCE_PENDING</x:v>
      </x:c>
      <x:c r="J87" t="str">
        <x:v>PUBLIC_EVENT__NAMES_WITHHELD_UNTIL_TRANSCRIBED</x:v>
      </x:c>
      <x:c r="K87" t="str">
        <x:v>a licence suspension or closure is a dated regulatory action and does not establish permanent cessation; it says nothing about the current operation of other entities and does not change the 2026 roster count</x:v>
      </x:c>
      <x:c r="L87" t="str">
        <x:v>https://cby-ye.com/news/975</x:v>
      </x:c>
    </x:row>
    <x:row r="89">
      <x:c r="A89" s="53" t="str">
        <x:v>Provider negative-authority evidence</x:v>
      </x:c>
      <x:c r="B89" s="53"/>
      <x:c r="C89" s="53"/>
      <x:c r="D89" s="53"/>
      <x:c r="E89" s="53"/>
      <x:c r="F89" s="53"/>
      <x:c r="G89" s="53"/>
      <x:c r="H89" s="53"/>
      <x:c r="I89" s="53"/>
      <x:c r="J89" s="53"/>
      <x:c r="K89" s="53"/>
    </x:row>
    <x:row r="90">
      <x:c r="A90" s="51" t="str">
        <x:v>negative_authority_id</x:v>
      </x:c>
      <x:c r="B90" s="51" t="str">
        <x:v>source_id</x:v>
      </x:c>
      <x:c r="C90" s="51" t="str">
        <x:v>authority</x:v>
      </x:c>
      <x:c r="D90" s="51" t="str">
        <x:v>source_date</x:v>
      </x:c>
      <x:c r="E90" s="51" t="str">
        <x:v>source_label_ar</x:v>
      </x:c>
      <x:c r="F90" s="51" t="str">
        <x:v>normalized_search_label_en</x:v>
      </x:c>
      <x:c r="G90" s="51" t="str">
        <x:v>authority_state</x:v>
      </x:c>
      <x:c r="H90" s="51" t="str">
        <x:v>scope</x:v>
      </x:c>
      <x:c r="I90" s="51" t="str">
        <x:v>current_status_inference</x:v>
      </x:c>
      <x:c r="J90" s="51" t="str">
        <x:v>positive_universe_inference</x:v>
      </x:c>
      <x:c r="K90" s="51" t="str">
        <x:v>source_url</x:v>
      </x:c>
    </x:row>
    <x:row r="91">
      <x:c r="A91" s="24" t="str">
        <x:v>NEG-EW-001</x:v>
      </x:c>
      <x:c r="B91" s="24" t="str">
        <x:v>SRC-CBY-UNLICENSED-EWALLET-2024-001</x:v>
      </x:c>
      <x:c r="C91" s="24" t="str">
        <x:v>Central Bank of Yemen — Aden</x:v>
      </x:c>
      <x:c r="D91" s="24" t="str">
        <x:v>2024-06-26</x:v>
      </x:c>
      <x:c r="E91" s="24" t="str">
        <x:v>محفظة كاش</x:v>
      </x:c>
      <x:c r="F91" s="24" t="str">
        <x:v>Cash wallet</x:v>
      </x:c>
      <x:c r="G91" s="24" t="str">
        <x:v>UNLICENSED_AS_NAMED_IN_SOURCE_ON_SOURCE_DATE</x:v>
      </x:c>
      <x:c r="H91" s="24" t="str">
        <x:v>CBY circular prohibiting direct/indirect dealing</x:v>
      </x:c>
      <x:c r="I91" s="24" t="str">
        <x:v>NONE__DO_NOT_CARRY_FORWARD_TO_2026_WITHOUT_NEW_STATUS_EVIDENCE</x:v>
      </x:c>
      <x:c r="J91" s="24" t="str">
        <x:v>NONE__NEGATIVE_LIST_DOES_NOT_DEFINE_LICENSED_UNIVERSE</x:v>
      </x:c>
      <x:c r="K91" s="24" t="str">
        <x:v>https://cby-ye.com/files/667c32dabd223.pdf</x:v>
      </x:c>
    </x:row>
    <x:row r="92">
      <x:c r="A92" s="24" t="str">
        <x:v>NEG-EW-002</x:v>
      </x:c>
      <x:c r="B92" s="24" t="str">
        <x:v>SRC-CBY-UNLICENSED-EWALLET-2024-001</x:v>
      </x:c>
      <x:c r="C92" s="24" t="str">
        <x:v>Central Bank of Yemen — Aden</x:v>
      </x:c>
      <x:c r="D92" s="24" t="str">
        <x:v>2024-06-26</x:v>
      </x:c>
      <x:c r="E92" s="24" t="str">
        <x:v>محفظة الدولي موني</x:v>
      </x:c>
      <x:c r="F92" s="24" t="str">
        <x:v>Al-Dawli Money wallet</x:v>
      </x:c>
      <x:c r="G92" s="24" t="str">
        <x:v>UNLICENSED_AS_NAMED_IN_SOURCE_ON_SOURCE_DATE</x:v>
      </x:c>
      <x:c r="H92" s="24" t="str">
        <x:v>CBY circular prohibiting direct/indirect dealing</x:v>
      </x:c>
      <x:c r="I92" s="24" t="str">
        <x:v>NONE__DO_NOT_CARRY_FORWARD_TO_2026_WITHOUT_NEW_STATUS_EVIDENCE</x:v>
      </x:c>
      <x:c r="J92" s="24" t="str">
        <x:v>NONE__NEGATIVE_LIST_DOES_NOT_DEFINE_LICENSED_UNIVERSE</x:v>
      </x:c>
      <x:c r="K92" s="24" t="str">
        <x:v>https://cby-ye.com/files/667c32dabd223.pdf</x:v>
      </x:c>
    </x:row>
    <x:row r="93">
      <x:c r="A93" s="24" t="str">
        <x:v>NEG-EW-003</x:v>
      </x:c>
      <x:c r="B93" s="24" t="str">
        <x:v>SRC-CBY-UNLICENSED-EWALLET-2024-001</x:v>
      </x:c>
      <x:c r="C93" s="24" t="str">
        <x:v>Central Bank of Yemen — Aden</x:v>
      </x:c>
      <x:c r="D93" s="24" t="str">
        <x:v>2024-06-26</x:v>
      </x:c>
      <x:c r="E93" s="24" t="str">
        <x:v>محفظة جوالي</x:v>
      </x:c>
      <x:c r="F93" s="24" t="str">
        <x:v>Jawali wallet</x:v>
      </x:c>
      <x:c r="G93" s="24" t="str">
        <x:v>UNLICENSED_AS_NAMED_IN_SOURCE_ON_SOURCE_DATE</x:v>
      </x:c>
      <x:c r="H93" s="24" t="str">
        <x:v>CBY circular prohibiting direct/indirect dealing</x:v>
      </x:c>
      <x:c r="I93" s="24" t="str">
        <x:v>NONE__DO_NOT_CARRY_FORWARD_TO_2026_WITHOUT_NEW_STATUS_EVIDENCE</x:v>
      </x:c>
      <x:c r="J93" s="24" t="str">
        <x:v>NONE__NEGATIVE_LIST_DOES_NOT_DEFINE_LICENSED_UNIVERSE</x:v>
      </x:c>
      <x:c r="K93" s="24" t="str">
        <x:v>https://cby-ye.com/files/667c32dabd223.pdf</x:v>
      </x:c>
    </x:row>
    <x:row r="94">
      <x:c r="A94" s="24" t="str">
        <x:v>NEG-EW-004</x:v>
      </x:c>
      <x:c r="B94" s="24" t="str">
        <x:v>SRC-CBY-UNLICENSED-EWALLET-2024-001</x:v>
      </x:c>
      <x:c r="C94" s="24" t="str">
        <x:v>Central Bank of Yemen — Aden</x:v>
      </x:c>
      <x:c r="D94" s="24" t="str">
        <x:v>2024-06-26</x:v>
      </x:c>
      <x:c r="E94" s="24" t="str">
        <x:v>محفظة فلوسك</x:v>
      </x:c>
      <x:c r="F94" s="24" t="str">
        <x:v>Floosak wallet</x:v>
      </x:c>
      <x:c r="G94" s="24" t="str">
        <x:v>UNLICENSED_AS_NAMED_IN_SOURCE_ON_SOURCE_DATE</x:v>
      </x:c>
      <x:c r="H94" s="24" t="str">
        <x:v>CBY circular prohibiting direct/indirect dealing</x:v>
      </x:c>
      <x:c r="I94" s="24" t="str">
        <x:v>NONE__DO_NOT_CARRY_FORWARD_TO_2026_WITHOUT_NEW_STATUS_EVIDENCE</x:v>
      </x:c>
      <x:c r="J94" s="24" t="str">
        <x:v>NONE__NEGATIVE_LIST_DOES_NOT_DEFINE_LICENSED_UNIVERSE</x:v>
      </x:c>
      <x:c r="K94" s="24" t="str">
        <x:v>https://cby-ye.com/files/667c32dabd223.pdf</x:v>
      </x:c>
    </x:row>
    <x:row r="95">
      <x:c r="A95" s="24" t="str">
        <x:v>NEG-EW-005</x:v>
      </x:c>
      <x:c r="B95" s="24" t="str">
        <x:v>SRC-CBY-UNLICENSED-EWALLET-2024-001</x:v>
      </x:c>
      <x:c r="C95" s="24" t="str">
        <x:v>Central Bank of Yemen — Aden</x:v>
      </x:c>
      <x:c r="D95" s="24" t="str">
        <x:v>2024-06-26</x:v>
      </x:c>
      <x:c r="E95" s="24" t="str">
        <x:v>محفظة سبا كاش</x:v>
      </x:c>
      <x:c r="F95" s="24" t="str">
        <x:v>Saba 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NEG-EW-006</x:v>
      </x:c>
      <x:c r="B96" s="24" t="str">
        <x:v>SRC-CBY-UNLICENSED-EWALLET-2024-001</x:v>
      </x:c>
      <x:c r="C96" s="24" t="str">
        <x:v>Central Bank of Yemen — Aden</x:v>
      </x:c>
      <x:c r="D96" s="24" t="str">
        <x:v>2024-06-26</x:v>
      </x:c>
      <x:c r="E96" s="24" t="str">
        <x:v>محفظة موبايل موني</x:v>
      </x:c>
      <x:c r="F96" s="24" t="str">
        <x:v>Mobile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NEG-EW-007</x:v>
      </x:c>
      <x:c r="B97" s="24" t="str">
        <x:v>SRC-CBY-UNLICENSED-EWALLET-2024-001</x:v>
      </x:c>
      <x:c r="C97" s="24" t="str">
        <x:v>Central Bank of Yemen — Aden</x:v>
      </x:c>
      <x:c r="D97" s="24" t="str">
        <x:v>2024-06-26</x:v>
      </x:c>
      <x:c r="E97" s="24" t="str">
        <x:v>محفظة يمن والت</x:v>
      </x:c>
      <x:c r="F97" s="24" t="str">
        <x:v>Yemen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NEG-EW-008</x:v>
      </x:c>
      <x:c r="B98" s="24" t="str">
        <x:v>SRC-CBY-UNLICENSED-EWALLET-2024-001</x:v>
      </x:c>
      <x:c r="C98" s="24" t="str">
        <x:v>Central Bank of Yemen — Aden</x:v>
      </x:c>
      <x:c r="D98" s="24" t="str">
        <x:v>2024-06-26</x:v>
      </x:c>
      <x:c r="E98" s="24" t="str">
        <x:v>محفظة الريال الالكتروني</x:v>
      </x:c>
      <x:c r="F98" s="24" t="str">
        <x:v>Electronic Riyal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NEG-EW-009</x:v>
      </x:c>
      <x:c r="B99" s="24" t="str">
        <x:v>SRC-CBY-UNLICENSED-EWALLET-2024-001</x:v>
      </x:c>
      <x:c r="C99" s="24" t="str">
        <x:v>Central Bank of Yemen — Aden</x:v>
      </x:c>
      <x:c r="D99" s="24" t="str">
        <x:v>2024-06-26</x:v>
      </x:c>
      <x:c r="E99" s="24" t="str">
        <x:v>محفظة ريال موبايل</x:v>
      </x:c>
      <x:c r="F99" s="24" t="str">
        <x:v>Rial Mobile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NEG-EW-010</x:v>
      </x:c>
      <x:c r="B100" s="24" t="str">
        <x:v>SRC-CBY-UNLICENSED-EWALLET-2024-001</x:v>
      </x:c>
      <x:c r="C100" s="24" t="str">
        <x:v>Central Bank of Yemen — Aden</x:v>
      </x:c>
      <x:c r="D100" s="24" t="str">
        <x:v>2024-06-26</x:v>
      </x:c>
      <x:c r="E100" s="24" t="str">
        <x:v>محفظة جيب Jaib</x:v>
      </x:c>
      <x:c r="F100" s="24" t="str">
        <x:v>Jaib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NEG-EW-011</x:v>
      </x:c>
      <x:c r="B101" s="24" t="str">
        <x:v>SRC-CBY-UNLICENSED-EWALLET-2024-001</x:v>
      </x:c>
      <x:c r="C101" s="24" t="str">
        <x:v>Central Bank of Yemen — Aden</x:v>
      </x:c>
      <x:c r="D101" s="24" t="str">
        <x:v>2024-06-26</x:v>
      </x:c>
      <x:c r="E101" s="24" t="str">
        <x:v>محفظة وي كاش لخدمات وأنظمة الدفع الالكتروني</x:v>
      </x:c>
      <x:c r="F101" s="24" t="str">
        <x:v>We Cash electronic payment services</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NEG-EW-012</x:v>
      </x:c>
      <x:c r="B102" s="24" t="str">
        <x:v>SRC-CBY-UNLICENSED-EWALLET-2024-001</x:v>
      </x:c>
      <x:c r="C102" s="24" t="str">
        <x:v>Central Bank of Yemen — Aden</x:v>
      </x:c>
      <x:c r="D102" s="24" t="str">
        <x:v>2024-06-26</x:v>
      </x:c>
      <x:c r="E102" s="24" t="str">
        <x:v>محفظة المتكاملة</x:v>
      </x:c>
      <x:c r="F102" s="24" t="str">
        <x:v>Al-Mutakamila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5">
      <x:c r="A105" s="53" t="str">
        <x:v>Provider baseline</x:v>
      </x:c>
      <x:c r="B105" s="53"/>
      <x:c r="C105" s="53"/>
      <x:c r="D105" s="53"/>
      <x:c r="E105" s="53"/>
      <x:c r="F105" s="53"/>
      <x:c r="G105" s="53"/>
      <x:c r="H105" s="53"/>
      <x:c r="I105" s="53"/>
      <x:c r="J105" s="53"/>
      <x:c r="K105" s="53"/>
    </x:row>
    <x:row r="106">
      <x:c r="A106" s="51" t="str">
        <x:v>baseline_id</x:v>
      </x:c>
      <x:c r="B106" s="51" t="str">
        <x:v>source_id</x:v>
      </x:c>
      <x:c r="C106" s="51" t="str">
        <x:v>reference_year</x:v>
      </x:c>
      <x:c r="D106" s="51" t="str">
        <x:v>provider_class</x:v>
      </x:c>
      <x:c r="E106" s="51" t="str">
        <x:v>verified_count</x:v>
      </x:c>
      <x:c r="F106" s="51" t="str">
        <x:v>count_basis</x:v>
      </x:c>
      <x:c r="G106" s="51" t="str">
        <x:v>evidence_state</x:v>
      </x:c>
      <x:c r="H106" s="51" t="str">
        <x:v>what_it_supports</x:v>
      </x:c>
      <x:c r="I106" s="51" t="str">
        <x:v>what_it_does_not_support</x:v>
      </x:c>
      <x:c r="J106" s="51" t="str">
        <x:v>source_url</x:v>
      </x:c>
      <x:c r="K106" s="51" t="str">
        <x:v>critical_control</x:v>
      </x:c>
    </x:row>
    <x:row r="107">
      <x:c r="A107" s="24" t="str">
        <x:v>PBL-2025-001</x:v>
      </x:c>
      <x:c r="B107" s="24" t="str">
        <x:v>SRC-CBY-EXCH-LIST-2025-001</x:v>
      </x:c>
      <x:c r="C107" s="24" t="n">
        <x:v>2025</x:v>
      </x:c>
      <x:c r="D107" s="24" t="str">
        <x:v>EXCHANGE_COMPANIES</x:v>
      </x:c>
      <x:c r="E107" s="24" t="n">
        <x:v>79</x:v>
      </x:c>
      <x:c r="F107" s="24" t="str">
        <x:v>Section numbering ends at 79 in the official roster.</x:v>
      </x:c>
      <x:c r="G107" s="24" t="str">
        <x:v>PRIMARY_OFFICIAL_ROSTER_VISUALLY_VERIFIED</x:v>
      </x:c>
      <x:c r="H107" s="24" t="str">
        <x:v>A dated 2025 predecessor count and historical universe structure.</x:v>
      </x:c>
      <x:c r="I107" s="24" t="str">
        <x:v>Any 2026 count, current membership, operation or status.</x:v>
      </x:c>
      <x:c r="J107" s="24" t="str">
        <x:v>https://cby-ye.com/files/69561aafe8942.pdf</x:v>
      </x:c>
      <x:c r="K107" s="24" t="str">
        <x:v>Historical predecessor only; never carry forward membership to 2026.</x:v>
      </x:c>
    </x:row>
    <x:row r="108">
      <x:c r="A108" s="24" t="str">
        <x:v>PBL-2025-002</x:v>
      </x:c>
      <x:c r="B108" s="24" t="str">
        <x:v>SRC-CBY-EXCH-LIST-2025-001</x:v>
      </x:c>
      <x:c r="C108" s="24" t="n">
        <x:v>2025</x:v>
      </x:c>
      <x:c r="D108" s="24" t="str">
        <x:v>EXCHANGE_ESTABLISHMENTS</x:v>
      </x:c>
      <x:c r="E108" s="24" t="n">
        <x:v>195</x:v>
      </x:c>
      <x:c r="F108" s="24" t="str">
        <x:v>Section numbering ends at 195 in the official roster.</x:v>
      </x:c>
      <x:c r="G108" s="24" t="str">
        <x:v>PRIMARY_OFFICIAL_ROSTER_VISUALLY_VERIFIED</x:v>
      </x:c>
      <x:c r="H108" s="24" t="str">
        <x:v>A dated 2025 predecessor count and historical universe structure.</x:v>
      </x:c>
      <x:c r="I108" s="24" t="str">
        <x:v>Any 2026 count, current membership, operation or status.</x:v>
      </x:c>
      <x:c r="J108" s="24" t="str">
        <x:v>https://cby-ye.com/files/69561aafe8942.pdf</x:v>
      </x:c>
      <x:c r="K108" s="24" t="str">
        <x:v>Historical predecessor only; never carry forward membership to 2026.</x:v>
      </x:c>
    </x:row>
    <x:row r="109">
      <x:c r="A109" s="24" t="str">
        <x:v>PBL-2025-003</x:v>
      </x:c>
      <x:c r="B109" s="24" t="str">
        <x:v>SRC-CBY-EXCH-LIST-2025-001</x:v>
      </x:c>
      <x:c r="C109" s="24" t="n">
        <x:v>2025</x:v>
      </x:c>
      <x:c r="D109" s="24" t="str">
        <x:v>REMITTANCE_AGENTS</x:v>
      </x:c>
      <x:c r="E109" s="24" t="n">
        <x:v>108</x:v>
      </x:c>
      <x:c r="F109" s="24" t="str">
        <x:v>Official PDF text/page sequence reaches row 108 in the third section.</x:v>
      </x:c>
      <x:c r="G109" s="24" t="str">
        <x:v>PRIMARY_OFFICIAL_ROSTER_VISUALLY_VERIFIED</x:v>
      </x:c>
      <x:c r="H109" s="24" t="str">
        <x:v>A dated 2025 predecessor count and historical universe structure.</x:v>
      </x:c>
      <x:c r="I109" s="24" t="str">
        <x:v>Any 2026 count, current membership, operation or status.</x:v>
      </x:c>
      <x:c r="J109" s="24" t="str">
        <x:v>https://cby-ye.com/files/69561aafe8942.pdf</x:v>
      </x:c>
      <x:c r="K109" s="24" t="str">
        <x:v>Historical predecessor only; never carry forward membership to 2026.</x:v>
      </x:c>
    </x:row>
    <x:row r="110">
      <x:c r="A110" s="24" t="str">
        <x:v>PBL-2025-004</x:v>
      </x:c>
      <x:c r="B110" s="24" t="str">
        <x:v>SRC-CBY-EXCH-LIST-2025-001</x:v>
      </x:c>
      <x:c r="C110" s="24" t="n">
        <x:v>2025</x:v>
      </x:c>
      <x:c r="D110" s="24" t="str">
        <x:v>TOTAL_ROSTER_ENTRIES</x:v>
      </x:c>
      <x:c r="E110" s="24" t="n">
        <x:v>382</x:v>
      </x:c>
      <x:c r="F110" s="24" t="str">
        <x:v>79 companies + 195 establishments + 108 remittance agents.</x:v>
      </x:c>
      <x:c r="G110" s="24" t="str">
        <x:v>DERIVED_FROM_PRIMARY_SECTION_COUNTS</x:v>
      </x:c>
      <x:c r="H110" s="24" t="str">
        <x:v>A bounded historical headline about the size/structure of the 2025 roster.</x:v>
      </x:c>
      <x:c r="I110" s="24" t="str">
        <x:v>Unique legal entities across categories, 2026 size, active operation, branch network or market share.</x:v>
      </x:c>
      <x:c r="J110" s="24" t="str">
        <x:v>https://cby-ye.com/files/69561aafe8942.pdf</x:v>
      </x:c>
      <x:c r="K110" s="24" t="str">
        <x:v>This is a category-entry total, not a current provider census and not necessarily unique economic actors.</x:v>
      </x:c>
    </x:row>
    <x:row r="113">
      <x:c r="A113" s="53" t="str">
        <x:v>Wallet count reconciliation</x:v>
      </x:c>
      <x:c r="B113" s="53"/>
      <x:c r="C113" s="53"/>
      <x:c r="D113" s="53"/>
      <x:c r="E113" s="53"/>
      <x:c r="F113" s="53"/>
      <x:c r="G113" s="53"/>
      <x:c r="H113" s="53"/>
      <x:c r="I113" s="53"/>
      <x:c r="J113" s="53"/>
      <x:c r="K113" s="53"/>
    </x:row>
    <x:row r="114">
      <x:c r="A114" s="51" t="str">
        <x:v>wallet_count_object_id</x:v>
      </x:c>
      <x:c r="B114" s="51" t="str">
        <x:v>source_id</x:v>
      </x:c>
      <x:c r="C114" s="51" t="str">
        <x:v>reference_period</x:v>
      </x:c>
      <x:c r="D114" s="51" t="str">
        <x:v>source_wording_or_metric</x:v>
      </x:c>
      <x:c r="E114" s="51" t="str">
        <x:v>reported_value</x:v>
      </x:c>
      <x:c r="F114" s="51" t="str">
        <x:v>unit</x:v>
      </x:c>
      <x:c r="G114" s="51" t="str">
        <x:v>semantic_state</x:v>
      </x:c>
      <x:c r="H114" s="51" t="str">
        <x:v>possible_relation_to_other_counts</x:v>
      </x:c>
      <x:c r="I114" s="51" t="str">
        <x:v>admitted_use</x:v>
      </x:c>
      <x:c r="J114" s="51" t="str">
        <x:v>prohibited_inference</x:v>
      </x:c>
      <x:c r="K114" s="51" t="str">
        <x:v>source_url</x:v>
      </x:c>
    </x:row>
    <x:row r="115">
      <x:c r="A115" s="24" t="str">
        <x:v>WCR-001</x:v>
      </x:c>
      <x:c r="B115" s="24" t="str">
        <x:v>SRC-CBY-PAYREPORT-Q3-2024</x:v>
      </x:c>
      <x:c r="C115" s="24" t="str">
        <x:v>2024 Q3</x:v>
      </x:c>
      <x:c r="D115" s="24" t="str">
        <x:v>Number of e-wallets</x:v>
      </x:c>
      <x:c r="E115" s="24" t="n">
        <x:v>7</x:v>
      </x:c>
      <x:c r="F115" s="24" t="str">
        <x:v>e-wallets</x:v>
      </x:c>
      <x:c r="G115" s="24" t="str">
        <x:v>PRIMARY_ADMINISTRATIVE_COUNT</x:v>
      </x:c>
      <x:c r="H115" s="24" t="str">
        <x:v>Could be reporting-universe count at Q3 2024; exact licensing/active/reporting semantics not proven identical to later objects.</x:v>
      </x:c>
      <x:c r="I115" s="24" t="str">
        <x:v>Display as a dated source-reported count only.</x:v>
      </x:c>
      <x:c r="J115" s="24" t="str">
        <x:v>Do not trend mechanically to 9 or 8 and do not infer entry/exit.</x:v>
      </x:c>
      <x:c r="K115" s="24" t="str">
        <x:v>https://www.cby-ye.com/files/677c2e75a4d8c.pdf</x:v>
      </x:c>
    </x:row>
    <x:row r="116">
      <x:c r="A116" s="24" t="str">
        <x:v>WCR-002</x:v>
      </x:c>
      <x:c r="B116" s="24" t="str">
        <x:v>SRC-CBY-PAYREPORT-H1-2025</x:v>
      </x:c>
      <x:c r="C116" s="24" t="str">
        <x:v>2025 H1</x:v>
      </x:c>
      <x:c r="D116" s="24" t="str">
        <x:v>Number of e-wallets</x:v>
      </x:c>
      <x:c r="E116" s="24" t="n">
        <x:v>9</x:v>
      </x:c>
      <x:c r="F116" s="24" t="str">
        <x:v>e-wallets</x:v>
      </x:c>
      <x:c r="G116" s="24" t="str">
        <x:v>PRIMARY_ADMINISTRATIVE_COUNT</x:v>
      </x:c>
      <x:c r="H116" s="24" t="str">
        <x:v>Administrative reporting count; may differ from legal licensed-universe wording or reference date.</x:v>
      </x:c>
      <x:c r="I116" s="24" t="str">
        <x:v>Display with H1 report context and subscribers/activity metrics.</x:v>
      </x:c>
      <x:c r="J116" s="24" t="str">
        <x:v>Do not equate automatically to licensed providers or unique wallet products.</x:v>
      </x:c>
      <x:c r="K116" s="24" t="str">
        <x:v>https://www.cby-ye.com/files/693a7845e7f26.pdf</x:v>
      </x:c>
    </x:row>
    <x:row r="117">
      <x:c r="A117" s="24" t="str">
        <x:v>WCR-003</x:v>
      </x:c>
      <x:c r="B117" s="24" t="str">
        <x:v>SRC-CBY-FMIIP-WORKSHOP-2025</x:v>
      </x:c>
      <x:c r="C117" s="24" t="str">
        <x:v>2025-09-10</x:v>
      </x:c>
      <x:c r="D117" s="24" t="str">
        <x:v>Governor states CBY licensed eight electronic wallets</x:v>
      </x:c>
      <x:c r="E117" s="24" t="n">
        <x:v>8</x:v>
      </x:c>
      <x:c r="F117" s="24" t="str">
        <x:v>licensed e-wallets</x:v>
      </x:c>
      <x:c r="G117" s="24" t="str">
        <x:v>PRIMARY_OFFICIAL_DATED_LICENSING_STATEMENT</x:v>
      </x:c>
      <x:c r="H117" s="24" t="str">
        <x:v>Legal/authority wording differs from H1 payment-report count; named universe not supplied.</x:v>
      </x:c>
      <x:c r="I117" s="24" t="str">
        <x:v>Display as a dated licensing statement with attribution.</x:v>
      </x:c>
      <x:c r="J117" s="24" t="str">
        <x:v>Do not infer one provider exited between H1 and September without direct status evidence.</x:v>
      </x:c>
      <x:c r="K117" s="24" t="str">
        <x:v>https://cby-ye.com/news/876</x:v>
      </x:c>
    </x:row>
    <x:row r="118">
      <x:c r="A118" s="24" t="str">
        <x:v>WCR-004</x:v>
      </x:c>
      <x:c r="B118" s="24" t="str">
        <x:v>SRC-CBY-DIGITAL-EXPO-2026-001</x:v>
      </x:c>
      <x:c r="C118" s="24" t="str">
        <x:v>2026-01-22 event</x:v>
      </x:c>
      <x:c r="D118" s="24" t="str">
        <x:v>More than 9 e-wallets participated in the digital-payment exhibition</x:v>
      </x:c>
      <x:c r="E118" s="24" t="str">
        <x:v>&gt;9</x:v>
      </x:c>
      <x:c r="F118" s="24" t="str">
        <x:v>event participants</x:v>
      </x:c>
      <x:c r="G118" s="24" t="str">
        <x:v>PRIMARY_OFFICIAL_EVENT_PARTICIPATION</x:v>
      </x:c>
      <x:c r="H118" s="24" t="str">
        <x:v>Participation count is neither a licensing count nor a complete current universe.</x:v>
      </x:c>
      <x:c r="I118" s="24" t="str">
        <x:v>Use as event participation/activity evidence only.</x:v>
      </x:c>
      <x:c r="J118" s="24" t="str">
        <x:v>Do not call it the licensed wallet count or use it to close the named universe.</x:v>
      </x:c>
      <x:c r="K118" s="24" t="str">
        <x:v>https://cby-ye.com/news/915</x:v>
      </x:c>
    </x:row>
    <x:row r="119">
      <x:c r="A119" s="24" t="str">
        <x:v>WCR-005</x:v>
      </x:c>
      <x:c r="B119" s="24" t="str">
        <x:v>MULTI_SOURCE</x:v>
      </x:c>
      <x:c r="C119" s="24" t="str">
        <x:v>2024-2026</x:v>
      </x:c>
      <x:c r="D119" s="24" t="str">
        <x:v>7 → 9 → 8 → &gt;9 are not a valid time series without semantic reconciliation</x:v>
      </x:c>
      <x:c r="E119" s="24"/>
      <x:c r="F119" s="24" t="str">
        <x:v>N/A</x:v>
      </x:c>
      <x:c r="G119" s="24" t="str">
        <x:v>CONTROLLED_SEMANTIC_CONTRADICTION</x:v>
      </x:c>
      <x:c r="H119" s="24" t="str">
        <x:v>Different dates, source contexts and likely universes/definitions may explain the values; no explanation is assumed.</x:v>
      </x:c>
      <x:c r="I119" s="24" t="str">
        <x:v>Power Source Comparison Lab and provider-observability badges.</x:v>
      </x:c>
      <x:c r="J119" s="24" t="str">
        <x:v>Do not manufacture wallet growth/churn, net entry, current 2026 count or named roster.</x:v>
      </x:c>
      <x:c r="K119" s="24" t="str">
        <x:v>Internal synthesis governed by source objects</x:v>
      </x:c>
    </x:row>
    <x:row r="122">
      <x:c r="A122" s="53" t="str">
        <x:v>Payment currentness</x:v>
      </x:c>
      <x:c r="B122" s="53"/>
      <x:c r="C122" s="53"/>
      <x:c r="D122" s="53"/>
      <x:c r="E122" s="53"/>
      <x:c r="F122" s="53"/>
      <x:c r="G122" s="53"/>
      <x:c r="H122" s="53"/>
      <x:c r="I122" s="53"/>
    </x:row>
    <x:row r="123">
      <x:c r="A123" s="51" t="str">
        <x:v>payment_control_id</x:v>
      </x:c>
      <x:c r="B123" s="51" t="str">
        <x:v>object_family</x:v>
      </x:c>
      <x:c r="C123" s="51" t="str">
        <x:v>latest_primary_state</x:v>
      </x:c>
      <x:c r="D123" s="51" t="str">
        <x:v>latest_period_or_date</x:v>
      </x:c>
      <x:c r="E123" s="51" t="str">
        <x:v>normalization_state</x:v>
      </x:c>
      <x:c r="F123" s="51" t="str">
        <x:v>what_is_currently_safe</x:v>
      </x:c>
      <x:c r="G123" s="51" t="str">
        <x:v>remaining_gap</x:v>
      </x:c>
      <x:c r="H123" s="51" t="str">
        <x:v>source_url</x:v>
      </x:c>
      <x:c r="I123" s="51" t="str">
        <x:v>release_state</x:v>
      </x:c>
    </x:row>
    <x:row r="124">
      <x:c r="A124" s="24" t="str">
        <x:v>PAYCUR-001</x:v>
      </x:c>
      <x:c r="B124" s="24" t="str">
        <x:v>Monthly POS operations</x:v>
      </x:c>
      <x:c r="C124" s="24" t="str">
        <x:v>CBY current payments page rechecked on 2026-09-26; it lists monthly POS objects March 2025 through January 2026</x:v>
      </x:c>
      <x:c r="D124" s="24" t="str">
        <x:v>2026-01</x:v>
      </x:c>
      <x:c r="E124" s="24" t="str">
        <x:v>NORMALIZED_IN_11_CBY_PAYMENTS__CURRENTNESS_RECHECKED_2026-09-26</x:v>
      </x:c>
      <x:c r="F124" s="24" t="str">
        <x:v>Use the controlled monthly POS sequence only through January 2026, with source-specific values/units and missingness preserved.</x:v>
      </x:c>
      <x:c r="G124" s="24" t="str">
        <x:v>No later monthly POS object was exposed on the official payments page when rechecked on 2026-09-26; do not extrapolate February onward.</x:v>
      </x:c>
      <x:c r="H124" s="24" t="str">
        <x:v>https://english.cby-ye.com/pages/27</x:v>
      </x:c>
      <x:c r="I124" s="24" t="str">
        <x:v>PUBLIC_CONDITIONAL</x:v>
      </x:c>
    </x:row>
    <x:row r="125">
      <x:c r="A125" s="24" t="str">
        <x:v>PAYCUR-002</x:v>
      </x:c>
      <x:c r="B125" s="24" t="str">
        <x:v>H1 payment-system snapshot</x:v>
      </x:c>
      <x:c r="C125" s="24" t="str">
        <x:v>Cards, ATMs, POS, accounts, e-wallet count and subscribers reported in official H1 2025 payment report</x:v>
      </x:c>
      <x:c r="D125" s="24" t="str">
        <x:v>2025 H1</x:v>
      </x:c>
      <x:c r="E125" s="24" t="str">
        <x:v>NORMALIZED_IN_11_CBY_PAYMENTS</x:v>
      </x:c>
      <x:c r="F125" s="24" t="str">
        <x:v>Use as a bounded administrative snapshot with metric definitions and non-person caveats.</x:v>
      </x:c>
      <x:c r="G125" s="24" t="str">
        <x:v>Not a 2026 snapshot and not proof of unique active users.</x:v>
      </x:c>
      <x:c r="H125" s="24" t="str">
        <x:v>https://www.cby-ye.com/files/693a7845e7f26.pdf</x:v>
      </x:c>
      <x:c r="I125" s="24" t="str">
        <x:v>PUBLIC_CONDITIONAL</x:v>
      </x:c>
    </x:row>
    <x:row r="126">
      <x:c r="A126" s="24" t="str">
        <x:v>PAYCUR-003</x:v>
      </x:c>
      <x:c r="B126" s="24" t="str">
        <x:v>Digital-finance infrastructure project</x:v>
      </x:c>
      <x:c r="C126" s="24" t="str">
        <x:v>CBY/World Bank/UNDP workshop states FPS/RTGS/interoperability programme and reports 15 banks connected to national card switch plus 8 licensed electronic wallets</x:v>
      </x:c>
      <x:c r="D126" s="24" t="str">
        <x:v>2025-09-10</x:v>
      </x:c>
      <x:c r="E126" s="24" t="str">
        <x:v>PRIMARY_EVENT_NORMALIZED</x:v>
      </x:c>
      <x:c r="F126" s="24" t="str">
        <x:v>Use as project/regulatory/infrastructure state, not outcome.</x:v>
      </x:c>
      <x:c r="G126" s="24" t="str">
        <x:v>Named wallet universe and independent go-live/coverage/use metrics remain open.</x:v>
      </x:c>
      <x:c r="H126" s="24" t="str">
        <x:v>https://cby-ye.com/news/876</x:v>
      </x:c>
      <x:c r="I126" s="24" t="str">
        <x:v>PUBLIC_CONDITIONAL</x:v>
      </x:c>
    </x:row>
    <x:row r="127">
      <x:c r="A127" s="24" t="str">
        <x:v>PAYCUR-004</x:v>
      </x:c>
      <x:c r="B127" s="24" t="str">
        <x:v>Unified-network integration</x:v>
      </x:c>
      <x:c r="C127" s="24" t="str">
        <x:v>CBY June 2026 meeting discusses implementation of unified network as main channel and completion of integration among banks and financial-service providers</x:v>
      </x:c>
      <x:c r="D127" s="24" t="str">
        <x:v>2026-06-17</x:v>
      </x:c>
      <x:c r="E127" s="24" t="str">
        <x:v>PRIMARY_EVENT_NORMALIZED</x:v>
      </x:c>
      <x:c r="F127" s="24" t="str">
        <x:v>Use as implementation/integration-state evidence.</x:v>
      </x:c>
      <x:c r="G127" s="24" t="str">
        <x:v>Do not infer every participant is technically live or all transfers use the network.</x:v>
      </x:c>
      <x:c r="H127" s="24" t="str">
        <x:v>https://cby-ye.com/news/946</x:v>
      </x:c>
      <x:c r="I127" s="24" t="str">
        <x:v>PUBLIC_CONDITIONAL</x:v>
      </x:c>
    </x:row>
    <x:row r="128">
      <x:c r="A128" s="24" t="str">
        <x:v>PAYCUR-005</x:v>
      </x:c>
      <x:c r="B128" s="24" t="str">
        <x:v>Unified Money Network company</x:v>
      </x:c>
      <x:c r="C128" s="24" t="str">
        <x:v>CBY reports restructuring/capital increase and expansion of shareholder base with banks joining the company</x:v>
      </x:c>
      <x:c r="D128" s="24" t="str">
        <x:v>2026-07-27</x:v>
      </x:c>
      <x:c r="E128" s="24" t="str">
        <x:v>PRIMARY_EVENT_NORMALIZED</x:v>
      </x:c>
      <x:c r="F128" s="24" t="str">
        <x:v>Use as institutionalization/governance evidence in payment infrastructure timeline.</x:v>
      </x:c>
      <x:c r="G128" s="24" t="str">
        <x:v>No inference on transaction coverage, unique users or inclusion outcomes.</x:v>
      </x:c>
      <x:c r="H128" s="24" t="str">
        <x:v>https://cby-ye.com/news/957</x:v>
      </x:c>
      <x:c r="I128" s="24" t="str">
        <x:v>PUBLIC_CONDITIONAL</x:v>
      </x:c>
    </x:row>
    <x:row r="129">
      <x:c r="A129" s="24" t="str">
        <x:v>PAYCUR-006</x:v>
      </x:c>
      <x:c r="B129" s="24" t="str">
        <x:v>Yemeni Payments and Clearing Company</x:v>
      </x:c>
      <x:c r="C129" s="24" t="str">
        <x:v>Founding assembly held 2026-08-03 and first board meeting held 2026-08-04</x:v>
      </x:c>
      <x:c r="D129" s="24" t="str">
        <x:v>2026-08-03/04</x:v>
      </x:c>
      <x:c r="E129" s="24" t="str">
        <x:v>PRIMARY_EVENT_NORMALIZED</x:v>
      </x:c>
      <x:c r="F129" s="24" t="str">
        <x:v>Use as institutional-establishment state for national payments infrastructure.</x:v>
      </x:c>
      <x:c r="G129" s="24" t="str">
        <x:v>Company establishment ≠ system go-live, usage or outcome.</x:v>
      </x:c>
      <x:c r="H129" s="24" t="str">
        <x:v>https://cby-ye.com/news/961 | https://cby-ye.com/news/962</x:v>
      </x:c>
      <x:c r="I129" s="24" t="str">
        <x:v>PUBLIC_CONDITIONAL</x:v>
      </x:c>
    </x:row>
    <x:row r="137">
      <x:c r="A137" s="160" t="str">
        <x:v>Official CBY 2026 exchange/remittance roster — category counts / أعداد فئات قائمة الصرافة والحوالات الرسمية 2026</x:v>
      </x:c>
      <x:c r="B137" s="160"/>
      <x:c r="C137" s="160"/>
      <x:c r="D137" s="160"/>
      <x:c r="E137" s="160"/>
      <x:c r="F137" s="160"/>
      <x:c r="G137" s="160"/>
      <x:c r="H137" s="160"/>
    </x:row>
    <x:row r="138">
      <x:c r="A138" s="163" t="str">
        <x:v>roster_metric_id</x:v>
      </x:c>
      <x:c r="B138" s="163" t="str">
        <x:v>provider_class_en</x:v>
      </x:c>
      <x:c r="C138" s="163" t="str">
        <x:v>provider_class_ar</x:v>
      </x:c>
      <x:c r="D138" s="163" t="str">
        <x:v>count</x:v>
      </x:c>
      <x:c r="E138" s="163" t="str">
        <x:v>unit</x:v>
      </x:c>
      <x:c r="F138" s="163" t="str">
        <x:v>period</x:v>
      </x:c>
      <x:c r="G138" s="163" t="str">
        <x:v>source_id</x:v>
      </x:c>
      <x:c r="H138" s="163" t="str">
        <x:v>interpretation</x:v>
      </x:c>
    </x:row>
    <x:row r="139">
      <x:c r="A139" s="24" t="str">
        <x:v>CBY-ROSTER-2026-COMP</x:v>
      </x:c>
      <x:c r="B139" s="24" t="str">
        <x:v>Exchange companies</x:v>
      </x:c>
      <x:c r="C139" s="28" t="str">
        <x:v>شركات الصرافة</x:v>
      </x:c>
      <x:c r="D139" s="24" t="n">
        <x:v>98</x:v>
      </x:c>
      <x:c r="E139" s="24" t="str">
        <x:v>source-listed rows</x:v>
      </x:c>
      <x:c r="F139" s="24" t="str">
        <x:v>2026</x:v>
      </x:c>
      <x:c r="G139" s="24" t="str">
        <x:v>SRC-CBY-EXCH-LIST-2026-001</x:v>
      </x:c>
      <x:c r="H139" s="24" t="str">
        <x:v>Annual roster count; not proof of current operation.</x:v>
      </x:c>
    </x:row>
    <x:row r="140">
      <x:c r="A140" s="24" t="str">
        <x:v>CBY-ROSTER-2026-EST</x:v>
      </x:c>
      <x:c r="B140" s="24" t="str">
        <x:v>Individual exchange establishments</x:v>
      </x:c>
      <x:c r="C140" s="28" t="str">
        <x:v>منشآت الصرافة الفردية</x:v>
      </x:c>
      <x:c r="D140" s="24" t="n">
        <x:v>225</x:v>
      </x:c>
      <x:c r="E140" s="24" t="str">
        <x:v>source-listed rows</x:v>
      </x:c>
      <x:c r="F140" s="24" t="str">
        <x:v>2026</x:v>
      </x:c>
      <x:c r="G140" s="24" t="str">
        <x:v>SRC-CBY-EXCH-LIST-2026-001</x:v>
      </x:c>
      <x:c r="H140" s="24" t="str">
        <x:v>Annual roster count; not proof of current operation.</x:v>
      </x:c>
    </x:row>
    <x:row r="141">
      <x:c r="A141" s="24" t="str">
        <x:v>CBY-ROSTER-2026-AGT</x:v>
      </x:c>
      <x:c r="B141" s="24" t="str">
        <x:v>Remittance agents</x:v>
      </x:c>
      <x:c r="C141" s="28" t="str">
        <x:v>وكلاء الحوالات</x:v>
      </x:c>
      <x:c r="D141" s="24" t="n">
        <x:v>106</x:v>
      </x:c>
      <x:c r="E141" s="24" t="str">
        <x:v>source-listed rows</x:v>
      </x:c>
      <x:c r="F141" s="24" t="str">
        <x:v>2026</x:v>
      </x:c>
      <x:c r="G141" s="24" t="str">
        <x:v>SRC-CBY-EXCH-LIST-2026-001</x:v>
      </x:c>
      <x:c r="H141" s="24" t="str">
        <x:v>Annual roster count; not proof of current operation.</x:v>
      </x:c>
    </x:row>
    <x:row r="142">
      <x:c r="A142" s="24" t="str">
        <x:v>CBY-ROSTER-2026-ROWS</x:v>
      </x:c>
      <x:c r="B142" s="24" t="str">
        <x:v>All listed rows across the three classes</x:v>
      </x:c>
      <x:c r="C142" s="28" t="str">
        <x:v>إجمالي الصفوف المدرجة عبر الفئات الثلاث</x:v>
      </x:c>
      <x:c r="D142" s="24" t="n">
        <x:v>429</x:v>
      </x:c>
      <x:c r="E142" s="24" t="str">
        <x:v>rows</x:v>
      </x:c>
      <x:c r="F142" s="24" t="str">
        <x:v>2026</x:v>
      </x:c>
      <x:c r="G142" s="24" t="str">
        <x:v>SRC-CBY-EXCH-LIST-2026-001</x:v>
      </x:c>
      <x:c r="H142" s="24" t="str">
        <x:v>Arithmetic sum only; not a deduplicated unique-provider count.</x:v>
      </x:c>
    </x:row>
  </x:sheetData>
  <x:mergeCells>
    <x:mergeCell ref="A1:O1"/>
    <x:mergeCell ref="A2:O2"/>
    <x:mergeCell ref="A63:K63"/>
    <x:mergeCell ref="A71:L71"/>
    <x:mergeCell ref="A89:K89"/>
    <x:mergeCell ref="A105:K105"/>
    <x:mergeCell ref="A113:K113"/>
    <x:mergeCell ref="A122:I122"/>
    <x:mergeCell ref="A137:H137"/>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مؤشَّرًا بأساس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18.35</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6.98</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19.53</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5.01</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2025-07</x:v>
      </x:c>
      <x:c r="C7" s="24" t="str">
        <x:v>World Bank / UNDP project</x:v>
      </x:c>
      <x:c r="D7" s="24" t="str">
        <x:v>FMIIP starts</x:v>
      </x:c>
      <x:c r="E7" s="24" t="str">
        <x:v>Five-year Yemen Financial Market Infrastructure and Inclusion Project starts, funded by the World Bank and implemented by UNDP, with CBY-Aden as primary beneficiary.</x:v>
      </x:c>
      <x:c r="F7" s="24" t="str">
        <x:v>PROJECT_START</x:v>
      </x:c>
      <x:c r="G7" s="24" t="str">
        <x:v>/reforms/projects</x:v>
      </x:c>
      <x:c r="H7" s="24" t="str">
        <x:v>https://www.undp.org/yemen/projects/yemen-financial-market-infrastructure-and-inclusion-project</x:v>
      </x:c>
    </x:row>
    <x:row r="8">
      <x:c r="A8" s="24" t="str">
        <x:v>REF-PAY-003</x:v>
      </x:c>
      <x:c r="B8" s="24" t="str">
        <x:v>2025-07</x:v>
      </x:c>
      <x:c r="C8" s="24" t="str">
        <x:v>FMIIP component</x:v>
      </x:c>
      <x:c r="D8" s="24" t="str">
        <x:v>Fast Payment System</x:v>
      </x:c>
      <x:c r="E8" s="24" t="str">
        <x:v>Project component supports development of a Fast Payment System (FPS) in IRG-controlled areas as a distinct payment-infrastructure component.</x:v>
      </x:c>
      <x:c r="F8" s="24" t="str">
        <x:v>PAYMENT_RAIL_COMPONENT</x:v>
      </x:c>
      <x:c r="G8" s="24" t="str">
        <x:v>/reforms/projects</x:v>
      </x:c>
      <x:c r="H8" s="24" t="str">
        <x:v>https://www.undp.org/yemen/projects/yemen-financial-market-infrastructure-and-inclusion-project</x:v>
      </x:c>
    </x:row>
    <x:row r="9">
      <x:c r="A9" s="24" t="str">
        <x:v>REF-PAY-004</x:v>
      </x:c>
      <x:c r="B9" s="24" t="str">
        <x:v>2025-07</x:v>
      </x:c>
      <x:c r="C9" s="24" t="str">
        <x:v>FMIIP component</x:v>
      </x:c>
      <x:c r="D9" s="24" t="str">
        <x:v>RTGS + CBY core banking</x:v>
      </x:c>
      <x:c r="E9" s="24" t="str">
        <x:v>Project component supports establishment of a Real-Time Gross Settlement system (RTGS) managed by CBY-Aden, alongside upgrading CBY-Aden core banking; the project describes RTGS as foundational payment infrastructure.</x:v>
      </x:c>
      <x:c r="F9" s="24" t="str">
        <x:v>PAYMENT_RAIL_COMPONENT</x:v>
      </x:c>
      <x:c r="G9" s="24" t="str">
        <x:v>/reforms/projects</x:v>
      </x:c>
      <x:c r="H9" s="24" t="str">
        <x:v>https://www.undp.org/yemen/projects/yemen-financial-market-infrastructure-and-inclusion-project</x:v>
      </x:c>
    </x:row>
    <x:row r="10">
      <x:c r="A10" s="24" t="str">
        <x:v>REF-PAY-005</x:v>
      </x:c>
      <x:c r="B10" s="24" t="str">
        <x:v>2025-07</x:v>
      </x:c>
      <x:c r="C10" s="24" t="str">
        <x:v>FMIIP component</x:v>
      </x:c>
      <x:c r="D10" s="24" t="str">
        <x:v>Access-point database and usage support</x:v>
      </x:c>
      <x:c r="E10" s="24" t="str">
        <x:v>Project includes geographically distributed access-point database, FI/PSP capacity building, merchant onboarding support in underserved areas and outreach.</x:v>
      </x:c>
      <x:c r="F10" s="24" t="str">
        <x:v>ACCESS_USAGE_COMPONENT</x:v>
      </x:c>
      <x:c r="G10" s="24" t="str">
        <x:v>/access + /reforms/projects</x:v>
      </x:c>
      <x:c r="H10" s="24" t="str">
        <x:v>https://www.undp.org/yemen/projects/yemen-financial-market-infrastructure-and-inclusion-project</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Jan-2026</x:v>
      </x:c>
      <x:c r="E8" s="24" t="n">
        <x:v>1.6256684491978608</x:v>
      </x:c>
      <x:c r="F8" s="24" t="str">
        <x:v>percent change</x:v>
      </x:c>
      <x:c r="G8" s="24" t="str">
        <x:v>VIS-POS-TERMINALS</x:v>
      </x:c>
      <x:c r="H8" s="24" t="str">
        <x:v>Change in source-reported POS terminals from March 2025 to January 2026.</x:v>
      </x:c>
      <x:c r="I8" s="24" t="str">
        <x:v>تغير عدد أجهزة نقاط البيع المبلّغ عنها من مارس 2025 إلى يناير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Jan-2026</x:v>
      </x:c>
      <x:c r="E9" s="24" t="n">
        <x:v>1.9976294447910168</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source-displayed growth rate conflicts with raw totals; raw totals and contradiction both remain visible.</x:v>
      </x:c>
    </x:row>
    <x:row r="10">
      <x:c r="A10" s="24" t="str">
        <x:v>DA-005</x:v>
      </x:c>
      <x:c r="B10" s="24" t="str">
        <x:v>Payments</x:v>
      </x:c>
      <x:c r="C10" s="24" t="str">
        <x:v>POS transaction-value change</x:v>
      </x:c>
      <x:c r="D10" s="24" t="str">
        <x:v>Mar-2025 to Jan-2026</x:v>
      </x:c>
      <x:c r="E10" s="24" t="n">
        <x:v>2.94375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custom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custom enterprise survey</x:v>
      </x:c>
      <x:c r="K22" s="24" t="str">
        <x:v>Seven selected governorates; custom sample; not national prevalence.</x:v>
      </x:c>
    </x:row>
    <x:row r="23">
      <x:c r="A23" s="24" t="str">
        <x:v>DA-018</x:v>
      </x:c>
      <x:c r="B23" s="24" t="str">
        <x:v>Firms</x:v>
      </x:c>
      <x:c r="C23" s="24" t="str">
        <x:v>Private commercial bank share of valid loan-source responses</x:v>
      </x:c>
      <x:c r="D23" s="24" t="str">
        <x:v>2022 custom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custom enterprise survey</x:v>
      </x:c>
      <x:c r="K23" s="24" t="str">
        <x:v>Small conditional denominator (n=18).</x:v>
      </x:c>
    </x:row>
    <x:row r="24">
      <x:c r="A24" s="24" t="str">
        <x:v>DA-019</x:v>
      </x:c>
      <x:c r="B24" s="24" t="str">
        <x:v>Firms</x:v>
      </x:c>
      <x:c r="C24" s="24" t="str">
        <x:v>NBFI/microfinance share of valid loan-source responses</x:v>
      </x:c>
      <x:c r="D24" s="24" t="str">
        <x:v>2022 custom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custom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custom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1,473 in Jan-2026, while monthly POS transactions rose from 8,015 to 24,026.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custom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counts—98 companies, 225 individual establishments and 106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98 companies, 225 establishments and 106 remittance agents (429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382→429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CON-032</x:v>
      </x:c>
      <x:c r="B120" s="24" t="str">
        <x:v>CBY foreign-currency deposit ratio denominator</x:v>
      </x:c>
      <x:c r="C120" s="24" t="str">
        <x:v>2024→2025</x:v>
      </x:c>
      <x:c r="D120" s="24" t="str">
        <x:v>Consolidated-bank deposit section reports 77.6%→68.2%; monetary-survey table reports 78.4%→71.0% under a similarly labelled ratio.</x:v>
      </x:c>
      <x:c r="E120" s="24" t="str">
        <x:v>DENOMINATOR_OR_INSTITUTIONAL_CONCEPT_DIFFERENCE</x:v>
      </x:c>
      <x:c r="F120" s="24" t="str">
        <x:v>PRESERVE_BOTH__MAP_DENOMINATORS_BEFORE_MERGE</x:v>
      </x:c>
      <x:c r="G120" s="24" t="str">
        <x:v>Show each ratio only with its source table/universe and denominator note.</x:v>
      </x:c>
      <x:c r="H120" s="24" t="str">
        <x:v>/system + /evidence/compare</x:v>
      </x:c>
      <x:c r="I120"/>
      <x:c r="J120"/>
      <x:c r="K120"/>
    </x:row>
    <x:row r="121">
      <x:c r="A121" s="24" t="str">
        <x:v>CON-033</x:v>
      </x:c>
      <x:c r="B121" s="24" t="str">
        <x:v>CBY publication streams / direct accessibility</x:v>
      </x:c>
      <x:c r="C121" s="24" t="str">
        <x:v>historical + 2024 + review 2026-09-10</x:v>
      </x:c>
      <x:c r="D121" s="24" t="str">
        <x:v>CBY-Aden indexed corpus is directly accessible; other historical/Sana'a-issued evidence is locatable through attested primary locators, institutional reproductions or mirrors while direct centralbank.gov.ye access is unresolved.</x:v>
      </x:c>
      <x:c r="E121" s="24" t="str">
        <x:v>SOURCE_STREAM_ACCESS_NOT_EVIDENCE_ABSENCE</x:v>
      </x:c>
      <x:c r="F121" s="24" t="str">
        <x:v>KEEP_ISSUER_STREAM_CUSTODY_SCOPE_SEPARATE</x:v>
      </x:c>
      <x:c r="G121" s="24" t="str">
        <x:v>Access failure may be shown as access/custody state; never as proof that evidence does not exist.</x:v>
      </x:c>
      <x:c r="H121" s="24" t="str">
        <x:v>/evidence + /methodology</x:v>
      </x:c>
      <x:c r="I121"/>
      <x:c r="J121"/>
      <x:c r="K121"/>
    </x:row>
    <x:row r="122">
      <x:c r="A122" s="24" t="str">
        <x:v>CON-034</x:v>
      </x:c>
      <x:c r="B122" s="24" t="str">
        <x:v>CBY long-run statistical methodology vintages</x:v>
      </x:c>
      <x:c r="C122" s="24" t="str">
        <x:v>from 2008-08 / 2014-11 / later revisions</x:v>
      </x:c>
      <x:c r="D122" s="24" t="str">
        <x:v>Historical bulletin methodology/presentation changes coexist with newer methodology revisions in later reporting.</x:v>
      </x:c>
      <x:c r="E122" s="24" t="str">
        <x:v>METHODOLOGY_VINTAGE_BREAKS</x:v>
      </x:c>
      <x:c r="F122" s="24" t="str">
        <x:v>VERSION_SERIES_SEGMENTS__NO_SMOOTH_JOIN</x:v>
      </x:c>
      <x:c r="G122" s="24" t="str">
        <x:v>Long-run charts require method-vintage markers and indicator-level comparability checks.</x:v>
      </x:c>
      <x:c r="H122" s="24" t="str">
        <x:v>/system + /methodology</x:v>
      </x:c>
      <x:c r="I122"/>
      <x:c r="J122"/>
      <x:c r="K122"/>
    </x:row>
    <x:row r="123">
      <x:c r="A123" s="24" t="str">
        <x:v>CON-035</x:v>
      </x:c>
      <x:c r="B123" s="24" t="str">
        <x:v>CBY bilingual/mixed-layout PDF extraction order</x:v>
      </x:c>
      <x:c r="C123" s="24" t="str">
        <x:v>corpus-wide</x:v>
      </x:c>
      <x:c r="D123" s="24" t="str">
        <x:v>Text extraction order in some Arabic/English tables can differ from visual column order, creating year/value inversion risk.</x:v>
      </x:c>
      <x:c r="E123" s="24" t="str">
        <x:v>EXTRACTION_ORDER_RISK</x:v>
      </x:c>
      <x:c r="F123" s="24" t="str">
        <x:v>VERIFY_TABLE_HEADER_NARRATIVE_AND_VISUAL_CONTEXT</x:v>
      </x:c>
      <x:c r="G123" s="24" t="str">
        <x:v>Ambiguous parsed tables remain HOLD until visual/context verification resolves value assignment.</x:v>
      </x:c>
      <x:c r="H123" s="24" t="str">
        <x:v>internal evidence QA + /methodology</x:v>
      </x:c>
      <x:c r="I123"/>
      <x:c r="J123"/>
      <x:c r="K123"/>
    </x:row>
    <x:row r="124">
      <x:c r="A124" s="24" t="str">
        <x:v>CON-036</x:v>
      </x:c>
      <x:c r="B124" s="24" t="str">
        <x:v>CBY series-specific freshness</x:v>
      </x:c>
      <x:c r="C124" s="24" t="str">
        <x:v>reviewed 2026-09-10</x:v>
      </x:c>
      <x:c r="D124" s="24" t="str">
        <x:v>Monthly monetary/financial index reaches May-2026 while monthly POS reaches Jan-2026; annual/snapshot products have other vintages.</x:v>
      </x:c>
      <x:c r="E124" s="24" t="str">
        <x:v>TEMPORAL_CURRENTNESS_NOT_ERROR</x:v>
      </x:c>
      <x:c r="F124" s="24" t="str">
        <x:v>STORE_CURRENTNESS_PER_SERIES_OBJECT</x:v>
      </x:c>
      <x:c r="G124" s="24" t="str">
        <x:v>Use exact observation/publication/review dates; never inherit freshness from publisher-level labels.</x:v>
      </x:c>
      <x:c r="H124" s="24" t="str">
        <x:v>/evidence + /methodology</x:v>
      </x:c>
      <x:c r="I124"/>
      <x:c r="J124"/>
      <x:c r="K124"/>
    </x:row>
    <x:row r="125">
      <x:c r="A125" s="24" t="str">
        <x:v>CON-037</x:v>
      </x:c>
      <x:c r="B125" s="24" t="str">
        <x:v>Exchange Law number / source identity</x:v>
      </x:c>
      <x:c r="C125" s="24" t="str">
        <x:v>1995 law; current CBY hosting and 2026 enforcement citations</x:v>
      </x:c>
      <x:c r="D125" s="24" t="str">
        <x:v>CBY-hosted law PDF title identifies Decree-Law No. 20/1995, while current 2026 CBY decisions cite Law No. 19/1995 amended by Decree No. 15/1996; government legal index corroborates 19/1995.</x:v>
      </x:c>
      <x:c r="E125" s="24" t="str">
        <x:v>LEGAL_SOURCE_IDENTITY_CONFLICT</x:v>
      </x:c>
      <x:c r="F125" s="24" t="str">
        <x:v>PRESERVE_HOSTED_IDENTITY_AND_CURRENT_CITATION__GAZETTE_RESOLUTION_REQUIRED</x:v>
      </x:c>
      <x:c r="G125" s="24" t="str">
        <x:v>Show the discrepancy if the legal citation matters; do not silently rewrite the hosted source.</x:v>
      </x:c>
      <x:c r="H125" s="24" t="str">
        <x:v>/providers + /payments/remittances + /reforms/regulation + /evidence/compare</x:v>
      </x:c>
      <x:c r="I125"/>
      <x:c r="J125"/>
      <x:c r="K125"/>
    </x:row>
    <x:row r="126">
      <x:c r="A126" s="24" t="str">
        <x:v>CON-038</x:v>
      </x:c>
      <x:c r="B126" s="24" t="str">
        <x:v>Deposit Insurance Corporation Law number</x:v>
      </x:c>
      <x:c r="C126" s="24" t="str">
        <x:v>2008</x:v>
      </x:c>
      <x:c r="D126" s="24" t="str">
        <x:v>CBY lists/hosts the law; Ministry of Justice public registry identifies Law No. 21/2008 while another government legal library identifies Law No. 40/2008.</x:v>
      </x:c>
      <x:c r="E126" s="24" t="str">
        <x:v>CROSS_GOVERNMENT_LEGAL_IDENTITY_CONFLICT</x:v>
      </x:c>
      <x:c r="F126" s="24" t="str">
        <x:v>HOLD_DEFINITIVE_LAW_NUMBER__VERIFY_GAZETTE_OR_AUTHORITATIVE_SCAN</x:v>
      </x:c>
      <x:c r="G126" s="24" t="str">
        <x:v>Existence may be stated; definitive number and operative clauses remain held until source identity is resolved.</x:v>
      </x:c>
      <x:c r="H126" s="24" t="str">
        <x:v>/reforms/regulation + /system + /evidence/compare</x:v>
      </x:c>
      <x:c r="I126"/>
      <x:c r="J126"/>
      <x:c r="K126"/>
    </x:row>
    <x:row r="127">
      <x:c r="A127" s="24" t="str">
        <x:v>CON-039</x:v>
      </x:c>
      <x:c r="B127" s="24" t="str">
        <x:v>CBY static web-page availability versus content vintage</x:v>
      </x:c>
      <x:c r="C127" s="24" t="str">
        <x:v>review 2026-09-10</x:v>
      </x:c>
      <x:c r="D127" s="24" t="str">
        <x:v>Official static pages are accessible at review time but several do not display a publication/effective date; some use current-tense language.</x:v>
      </x:c>
      <x:c r="E127" s="24" t="str">
        <x:v>TEMPORAL_METADATA_AMBIGUITY</x:v>
      </x:c>
      <x:c r="F127" s="24" t="str">
        <x:v>SEPARATE_RETRIEVAL_REVIEW_DATE_FROM_CONTENT_EFFECTIVE_DATE</x:v>
      </x:c>
      <x:c r="G127" s="24" t="str">
        <x:v>Attribute page-described state and show review date; do not present as a dated 2026 operating observation without corroboration.</x:v>
      </x:c>
      <x:c r="H127" s="24" t="str">
        <x:v>/methodology + affected domain routes</x:v>
      </x:c>
      <x:c r="I127"/>
      <x:c r="J127"/>
      <x:c r="K127"/>
    </x:row>
    <x:row r="128">
      <x:c r="A128" s="24" t="str">
        <x:v>CON-040</x:v>
      </x:c>
      <x:c r="B128" s="24" t="str">
        <x:v>CBY annual-report same-year value revisions</x:v>
      </x:c>
      <x:c r="C128" s="24" t="str">
        <x:v>2022–2025 annual-report vintages</x:v>
      </x:c>
      <x:c r="D128" s="24" t="str">
        <x:v>Successive CBY annual reports can publish materially different values for the same reference year across remittances and selected banking stocks.</x:v>
      </x:c>
      <x:c r="E128" s="24" t="str">
        <x:v>PUBLICATION_VINTAGE_REVISION</x:v>
      </x:c>
      <x:c r="F128" s="24" t="str">
        <x:v>PRESERVE_REFERENCE_YEAR_PLUS_REPORT_VINTAGE_PLUS_METHOD_BASIS</x:v>
      </x:c>
      <x:c r="G128" s="24" t="str">
        <x:v>Show revision history and latest controlled vintage; do not overwrite or convert revision into time change.</x:v>
      </x:c>
      <x:c r="H128" s="24" t="str">
        <x:v>/system + /payments/remittances + /evidence/compare</x:v>
      </x:c>
      <x:c r="I128"/>
      <x:c r="J128"/>
      <x:c r="K128"/>
    </x:row>
    <x:row r="129">
      <x:c r="A129" s="24" t="str">
        <x:v>CON-041</x:v>
      </x:c>
      <x:c r="B129" s="24" t="str">
        <x:v>CBY workers' remittance annual-report vintages</x:v>
      </x:c>
      <x:c r="C129" s="24" t="str">
        <x:v>2021–2025 reference years</x:v>
      </x:c>
      <x:c r="D129" s="24" t="str">
        <x:v>AR2025 materially restates 2021–2024 remittance levels below AR2024 and produces a much smoother published growth path; exact compilation driver is unresolved.</x:v>
      </x:c>
      <x:c r="E129" s="24" t="str">
        <x:v>SERIES_REVISION__METHOD_DRIVER_OPEN</x:v>
      </x:c>
      <x:c r="F129" s="24" t="str">
        <x:v>PRESERVE_VINTAGES__PUBLISH_PATTERN_NOT_CAUSE</x:v>
      </x:c>
      <x:c r="G129" s="24" t="str">
        <x:v>Both vintage histories may be shown; causal/method explanation remains explicitly open.</x:v>
      </x:c>
      <x:c r="H129" s="24" t="str">
        <x:v>/payments/remittances + /evidence/compare</x:v>
      </x:c>
      <x:c r="I129"/>
      <x:c r="J129"/>
      <x:c r="K129"/>
    </x:row>
    <x:row r="130">
      <x:c r="A130" s="24" t="str">
        <x:v>CON-042</x:v>
      </x:c>
      <x:c r="B130" s="24" t="str">
        <x:v>CBY 2022 consolidated banking values across valuation bases</x:v>
      </x:c>
      <x:c r="C130" s="24" t="str">
        <x:v>2022 reference year / AR2022 vs AR2023+</x:v>
      </x:c>
      <x:c r="D130" s="24" t="str">
        <x:v>AR2023+ restates 2022 banking assets, private loans, deposits and FX deposits above AR2022; AR2023 documents market-exchange-rate valuation of foreign positions from Jan-2023.</x:v>
      </x:c>
      <x:c r="E130" s="24" t="str">
        <x:v>VALUATION_BASIS_BREAK</x:v>
      </x:c>
      <x:c r="F130" s="24" t="str">
        <x:v>SEGMENT_METHOD_VINTAGE__NO_TEMPORAL_GROWTH_FROM_RESTATEMENT</x:v>
      </x:c>
      <x:c r="G130" s="24" t="str">
        <x:v>Same-year restatement may display with method note; economic growth uses method-compatible periods only.</x:v>
      </x:c>
      <x:c r="H130" s="24" t="str">
        <x:v>/system + /firms + /evidence/compare</x:v>
      </x:c>
      <x:c r="I130"/>
      <x:c r="J130"/>
      <x:c r="K130"/>
    </x:row>
    <x:row r="131">
      <x:c r="A131" s="24" t="str">
        <x:v>CON-043</x:v>
      </x:c>
      <x:c r="B131" s="24" t="str">
        <x:v>CBY AR2025 remittance reconstruction versus IMF methodological reconstruction</x:v>
      </x:c>
      <x:c r="C131" s="24" t="str">
        <x:v>2021–2025 / TA 2024–2025</x:v>
      </x:c>
      <x:c r="D131" s="24" t="str">
        <x:v>IMF documents a CBY-linked external-sector statistical rebuild and demographic-behavioral transfer model; CBY AR2025 then materially revises the remittance history. Their normalized 2021–2024 paths are nearly identical while reported levels/scopes differ.</x:v>
      </x:c>
      <x:c r="E131" s="24" t="str">
        <x:v>DOCUMENTED_METHOD_LINK_PLUS_CROSS_SOURCE_TRAJECTORY_CONCORDANCE</x:v>
      </x:c>
      <x:c r="F131" s="24" t="str">
        <x:v>TREAT_METHOD_REBUILD_AS_HIGH_CONFIDENCE_LINK__KEEP_EXACT_CONCEPT_GEOGRAPHY_LEVEL_MAPPING_OPEN</x:v>
      </x:c>
      <x:c r="G131" s="24" t="str">
        <x:v>Publish the method linkage and normalized trajectory diagnostic; do not merge raw levels or reverse-engineer the scaling factor.</x:v>
      </x:c>
      <x:c r="H131" s="24" t="str">
        <x:v>/payments/remittances + /evidence/compare + /methodology</x:v>
      </x:c>
    </x:row>
    <x:row r="132">
      <x:c r="A132" s="24" t="str">
        <x:v>CON-044</x:v>
      </x:c>
      <x:c r="B132" s="24" t="str">
        <x:v>Historical foreign-currency market-rate valuation versus Jan-2023 CBY-Aden change</x:v>
      </x:c>
      <x:c r="C132" s="24" t="str">
        <x:v>1996 historical metadata / 2023 contemporary reporting</x:v>
      </x:c>
      <x:c r="D132" s="24" t="str">
        <x:v>IMF metadata records market-rate valuation of foreign-currency-denominated accounts from Jul-1996, while CBY-Aden AR2023/MFD document a Jan-2023 valuation/reporting change and circular basis.</x:v>
      </x:c>
      <x:c r="E132" s="24" t="str">
        <x:v>METHOD_LINEAGE_NOT_FIRST_USE_CONFLICT</x:v>
      </x:c>
      <x:c r="F132" s="24" t="str">
        <x:v>NARROW_2023_CLAIM__PRESERVE_HISTORICAL_PRECEDENT__VERIFY_LINEAGE</x:v>
      </x:c>
      <x:c r="G132" s="24" t="str">
        <x:v>Use 'contemporary Jan-2023 CBY-Aden change', not 'first use of market rates in Yemen'.</x:v>
      </x:c>
      <x:c r="H132" s="24" t="str">
        <x:v>/system + /firms + /methodology + /evidence/compare</x:v>
      </x:c>
    </x:row>
    <x:row r="133">
      <x:c r="A133" s="24" t="str">
        <x:v>CON-045</x:v>
      </x:c>
      <x:c r="B133" s="24" t="str">
        <x:v>World Bank/WDI Yemen remittance public-interface &amp; access-vintage state</x:v>
      </x:c>
      <x:c r="C133" s="24" t="str">
        <x:v>Different interface/access states reviewed across 2025–2026</x:v>
      </x:c>
      <x:c r="D133"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3" s="24" t="str">
        <x:v>PUBLIC_INTERFACE_AND_ACCESS_VINTAGE_DIVERGENCE</x:v>
      </x:c>
      <x:c r="F133" s="24" t="str">
        <x:v>PRESERVE_EXACT_INTERFACE_URL_INDICATOR_RETRIEVAL_DATE__NO_DATA_ABSENCE_OR_REVISION_CAUSE_INFERENCE</x:v>
      </x:c>
      <x:c r="G133" s="24" t="str">
        <x:v>Each public surface/prior publication may be used as evidence of what it exposed at its access date; underlying dataset history remains a separate question.</x:v>
      </x:c>
      <x:c r="H133" s="24" t="str">
        <x:v>/payments/remittances + /evidence + /methodology</x:v>
      </x:c>
    </x:row>
    <x:row r="134">
      <x:c r="A134" s="24" t="str">
        <x:v>CON-046</x:v>
      </x:c>
      <x:c r="B134" s="24" t="str">
        <x:v>Single CBY↔IMF BOP scalar hypothesis</x:v>
      </x:c>
      <x:c r="C134" s="24" t="str">
        <x:v>2021–2024 overlap</x:v>
      </x:c>
      <x:c r="D134" s="24" t="str">
        <x:v>Remittance ratios are almost constant, but ratios for imports, grants, current account and E&amp;O vary materially; IMF Annex IV documents component-specific reconstruction methods.</x:v>
      </x:c>
      <x:c r="E134" s="24" t="str">
        <x:v>CROSSWALK_HYPOTHESIS_CONTRADICTED_BY_COMPONENTS</x:v>
      </x:c>
      <x:c r="F134" s="24" t="str">
        <x:v>REJECT_GLOBAL_SCALAR__USE_COMPONENT_CROSSWALKS</x:v>
      </x:c>
      <x:c r="G134" s="24" t="str">
        <x:v>A single conversion factor is not supported for the BOP. The remittance fingerprint remains separately open.</x:v>
      </x:c>
      <x:c r="H134" s="24" t="str">
        <x:v>/system;/remittances;/methodology</x:v>
      </x:c>
    </x:row>
    <x:row r="135">
      <x:c r="A135" s="24" t="str">
        <x:v>CON-047</x:v>
      </x:c>
      <x:c r="B135" s="24" t="str">
        <x:v>BOP residual versus hidden-flow interpretation</x:v>
      </x:c>
      <x:c r="C135" s="24" t="str">
        <x:v>2021–2025</x:v>
      </x:c>
      <x:c r="D135" s="24" t="str">
        <x:v>CBY and IMF publish material E&amp;O; BPM accounting treats it as a balancing residual while CCY uses an explicit residual model to estimate remittances.</x:v>
      </x:c>
      <x:c r="E135" s="24" t="str">
        <x:v>RESIDUAL_SEMANTICS_VS_MODEL_IDENTIFICATION</x:v>
      </x:c>
      <x:c r="F135" s="24" t="str">
        <x:v>KEEP_EO_AS_RESIDUAL__TYPE_ANY_ALLOCATION_AS_MODEL</x:v>
      </x:c>
      <x:c r="G135" s="24" t="str">
        <x:v>Show E&amp;O scale and alternative model assumptions separately.</x:v>
      </x:c>
      <x:c r="H135" s="24" t="str">
        <x:v>/system;/remittances;/evidence</x:v>
      </x:c>
    </x:row>
    <x:row r="136">
      <x:c r="A136" s="24" t="str">
        <x:v>CON-048</x:v>
      </x:c>
      <x:c r="B136" s="24" t="str">
        <x:v>CBY capital/financial inflows vs IMF financial account</x:v>
      </x:c>
      <x:c r="C136" s="24" t="str">
        <x:v>2021–2025</x:v>
      </x:c>
      <x:c r="D136" s="24" t="str">
        <x:v>CBY presentation uses inflow language while IMF Table 4 follows a BPM financial-account sign convention and instrument classification.</x:v>
      </x:c>
      <x:c r="E136" s="24" t="str">
        <x:v>SIGN_AND_CLASSIFICATION_NONCOMPARABILITY</x:v>
      </x:c>
      <x:c r="F136" s="24" t="str">
        <x:v>NO_RAW_RATIO_OR_ADDITION_UNTIL_INSTRUMENT_CROSSWALK</x:v>
      </x:c>
      <x:c r="G136" s="24" t="str">
        <x:v>Require XR-012 and the BOP/IIP reconciliation contract.</x:v>
      </x:c>
      <x:c r="H136" s="24" t="str">
        <x:v>/system;/external-sector;/methodology</x:v>
      </x:c>
    </x:row>
    <x:row r="137">
      <x:c r="A137" s="24" t="str">
        <x:v>CON-049</x:v>
      </x:c>
      <x:c r="B137" s="24" t="str">
        <x:v>Current whole-Yemen and IRG external-sector lenses</x:v>
      </x:c>
      <x:c r="C137" s="24" t="str">
        <x:v>2025/2026 publications</x:v>
      </x:c>
      <x:c r="D137" s="24" t="str">
        <x:v>Credible institutions use different geographic/statistical universes for current Yemen external-sector analysis.</x:v>
      </x:c>
      <x:c r="E137" s="24" t="str">
        <x:v>GEOGRAPHIC_SCOPE_DIVERGENCE</x:v>
      </x:c>
      <x:c r="F137" s="24" t="str">
        <x:v>SCOPE_TRAVELS_WITH_EVERY_DATUM</x:v>
      </x:c>
      <x:c r="G137" s="24" t="str">
        <x:v>Parallel lenses can both be valid; do not choose a winner or silently merge.</x:v>
      </x:c>
      <x:c r="H137" s="24" t="str">
        <x:v>/system;/remittances;/methodology</x:v>
      </x:c>
    </x:row>
    <x:row r="138">
      <x:c r="A138" s="24" t="str">
        <x:v>CON-050</x:v>
      </x:c>
      <x:c r="B138" s="24" t="str">
        <x:v>Saudi support parent packages versus child tranches/states</x:v>
      </x:c>
      <x:c r="C138" s="24" t="str">
        <x:v>2010–2026</x:v>
      </x:c>
      <x:c r="D138" s="24" t="str">
        <x:v>Pledges, commitments, deposits, amounts made available, budget disbursements, FX-auction use, in-kind support and project totals can overlap.</x:v>
      </x:c>
      <x:c r="E138" s="24" t="str">
        <x:v>FLOW_STATE_DOUBLE_COUNT_RISK</x:v>
      </x:c>
      <x:c r="F138" s="24" t="str">
        <x:v>PARENT_CHILD_AND_STATE_MUST_BE_EXPLICIT</x:v>
      </x:c>
      <x:c r="G138" s="24" t="str">
        <x:v>Use 190 flow-state ledger; no synthetic additive headline.</x:v>
      </x:c>
      <x:c r="H138" s="24" t="str">
        <x:v>/external-support;/system</x:v>
      </x:c>
    </x:row>
    <x:row r="139">
      <x:c r="A139" s="24" t="str">
        <x:v>CON-051</x:v>
      </x:c>
      <x:c r="B139" s="24" t="str">
        <x:v>Cash programme activity versus durable financial inclusion</x:v>
      </x:c>
      <x:c r="C139" s="24" t="str">
        <x:v>2023–2026 evidence</x:v>
      </x:c>
      <x:c r="D139" s="24" t="str">
        <x:v>Programme delivery, VSLAs/identity targets, local multipliers and payment rails are observed/planned at different stages, but durable post-transfer account/wallet use is not yet established.</x:v>
      </x:c>
      <x:c r="E139" s="24" t="str">
        <x:v>ACTIVITY_ACCESS_USE_OUTCOME_CONFLATION_RISK</x:v>
      </x:c>
      <x:c r="F139" s="24" t="str">
        <x:v>STOP_CLAIM_AT_LAST_EVIDENCED_STAGE</x:v>
      </x:c>
      <x:c r="G139" s="24" t="str">
        <x:v>Use the seven-stage cash→finance proof ladder.</x:v>
      </x:c>
      <x:c r="H139" s="24" t="str">
        <x:v>/cash;/people;/payments</x:v>
      </x:c>
    </x:row>
    <x:row r="140">
      <x:c r="A140" s="24" t="str">
        <x:v>CON-052</x:v>
      </x:c>
      <x:c r="B140" s="24" t="str">
        <x:v>Statistical standard migration</x:v>
      </x:c>
      <x:c r="C140" s="24" t="str">
        <x:v>BPM6-era Yemen evidence vs BPM7 released 2025</x:v>
      </x:c>
      <x:c r="D140" s="24" t="str">
        <x:v>BPM7 is the updated global standard, but country implementation is a multi-year transition; historical Yemen series retain their source-native standard until an explicit bridge/revision exists.</x:v>
      </x:c>
      <x:c r="E140" s="24" t="str">
        <x:v>STANDARD_VERSION_RISK</x:v>
      </x:c>
      <x:c r="F140" s="24" t="str">
        <x:v>VERSION_STANDARD_WITH_SERIES__NO_SILENT_RELABEL</x:v>
      </x:c>
      <x:c r="G140" s="24" t="str">
        <x:v>Create BPM7 migration watch; preserve historical semantics.</x:v>
      </x:c>
      <x:c r="H140" s="24" t="str">
        <x:v>/methodology;/external-sector</x:v>
      </x:c>
    </x:row>
    <x:row r="141">
      <x:c r="A141" s="24" t="str">
        <x:v>CON-053</x:v>
      </x:c>
      <x:c r="B141" s="24" t="str">
        <x:v>IBS electronic-money accounts vs active/unique users</x:v>
      </x:c>
      <x:c r="C141" s="24" t="str">
        <x:v>2016–2019</x:v>
      </x:c>
      <x:c r="D141" s="24" t="str">
        <x:v>IBS Table 3 reports account objects while the same source reports average 23% dormant/inactive in 2019; later literature sometimes relabels counts as active users.</x:v>
      </x:c>
      <x:c r="E141" s="24" t="str">
        <x:v>ACCOUNT_ACTIVITY_PERSON_SEMANTIC_CONFLICT</x:v>
      </x:c>
      <x:c r="F141" s="24" t="str">
        <x:v>ACCOUNT_COUNT_GOVERNS__ACTIVE_AND_PERSON_REQUIRE_SEPARATE_EVIDENCE</x:v>
      </x:c>
      <x:c r="G141" s="24" t="str">
        <x:v>Publish account count only with Evidence Passport and source activity qualifier.</x:v>
      </x:c>
      <x:c r="H141" s="24" t="str">
        <x:v>/payments;/people;/methodology</x:v>
      </x:c>
    </x:row>
    <x:row r="142">
      <x:c r="A142" s="24" t="str">
        <x:v>CON-054</x:v>
      </x:c>
      <x:c r="B142" s="24" t="str">
        <x:v>IBS Table 8 vs secondary 2018 subshares</x:v>
      </x:c>
      <x:c r="C142" s="24" t="n">
        <x:v>2018</x:v>
      </x:c>
      <x:c r="D142" s="24" t="str">
        <x:v>A rounded 95% broad grouping is reproducible, but secondary 9% cash-out and 1% bill/purchase subshares do not reproduce from the evident Table 8 denominator.</x:v>
      </x:c>
      <x:c r="E142" s="24" t="str">
        <x:v>SECONDARY_GROUPING_DENOMINATOR_OPEN</x:v>
      </x:c>
      <x:c r="F142" s="24" t="str">
        <x:v>PRIMARY_TABLE_PLUS_EXPLICIT_DERIVATION_GOVERNS</x:v>
      </x:c>
      <x:c r="G142" s="24" t="str">
        <x:v>Withhold unreproduced subshares; expose calculation if any derived percentage is shown.</x:v>
      </x:c>
      <x:c r="H142" s="24" t="str">
        <x:v>/payments;/evidence/compare</x:v>
      </x:c>
    </x:row>
    <x:row r="143">
      <x:c r="A143" s="24" t="str">
        <x:v>CON-055</x:v>
      </x:c>
      <x:c r="B143" s="24" t="str">
        <x:v>IBS 2017 transaction-value total vs Arabic secondary transcription</x:v>
      </x:c>
      <x:c r="C143" s="24" t="n">
        <x:v>2017</x:v>
      </x:c>
      <x:c r="D143" s="24" t="str">
        <x:v>Original category arithmetic supports YER 11,393,123,266 while a later Arabic footnote shows 113,393,123,266.</x:v>
      </x:c>
      <x:c r="E143" s="24" t="str">
        <x:v>SECONDARY_TRANSCRIPTION_ERROR</x:v>
      </x:c>
      <x:c r="F143" s="24" t="str">
        <x:v>PRIMARY_TABLE_ARITHMETIC_GOVERNS</x:v>
      </x:c>
      <x:c r="G143" s="24" t="str">
        <x:v>Use 11.393bn; retain extra-digit form only as discrepancy evidence.</x:v>
      </x:c>
      <x:c r="H143" s="24" t="str">
        <x:v>/payments;/evidence/compare</x:v>
      </x:c>
    </x:row>
    <x:row r="144">
      <x:c r="A144" s="24" t="str">
        <x:v>CON-056</x:v>
      </x:c>
      <x:c r="B144" s="24" t="str">
        <x:v>IBS provider gender distribution vs 611-user survey composition</x:v>
      </x:c>
      <x:c r="C144" s="24" t="str">
        <x:v>2016–2019</x:v>
      </x:c>
      <x:c r="D144" s="24" t="str">
        <x:v>Provider/account-user average is 87% male/13% female, whereas the study's 611-user sample is 73.5% male/26.5% female.</x:v>
      </x:c>
      <x:c r="E144" s="24" t="str">
        <x:v>DIFFERENT_UNIVERSE_METHOD_NOT_CONTRADICTION</x:v>
      </x:c>
      <x:c r="F144" s="24" t="str">
        <x:v>TYPE_AND_DISPLAY_SEPARATELY</x:v>
      </x:c>
      <x:c r="G144" s="24" t="str">
        <x:v>Never blend or use either as national adult gender prevalence.</x:v>
      </x:c>
      <x:c r="H144" s="24" t="str">
        <x:v>/people;/payments;/methodology</x:v>
      </x:c>
    </x:row>
    <x:row r="145">
      <x:c r="A145" s="24" t="str">
        <x:v>CON-057</x:v>
      </x:c>
      <x:c r="B145" s="24" t="str">
        <x:v>Al-Kuraimi 91% concentration metric</x:v>
      </x:c>
      <x:c r="C145" s="24" t="str">
        <x:v>2023 state / 2024 vs 2025 publications</x:v>
      </x:c>
      <x:c r="D145"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5" s="24" t="str">
        <x:v>SEMANTIC_HIERARCHY_RESOLVED__2023_CALCULATION_OPEN</x:v>
      </x:c>
      <x:c r="F145" s="24" t="str">
        <x:v>ALLOW_SOURCE_ATTRIBUTED_GROWTH_SHARE_WITH_CALCULATION_OPEN__WITHHOLD_2023_STOCK_SHARE</x:v>
      </x:c>
      <x:c r="G145" s="24" t="str">
        <x:v>Show 91% only as source-attributed saver-growth share with calculation-open badge; show the 2025 stock-share wording only as an unsupported later restatement until primary 2023 numerator/denominator or correction is recovered.</x:v>
      </x:c>
      <x:c r="H145" s="24" t="str">
        <x:v>/finance/microfinance;/evidence/compare</x:v>
      </x:c>
    </x:row>
    <x:row r="146">
      <x:c r="A146" s="24" t="str">
        <x:v>CON-058</x:v>
      </x:c>
      <x:c r="B146" s="24" t="str">
        <x:v>Active borrowers June vs end-2023</x:v>
      </x:c>
      <x:c r="C146" s="24" t="str">
        <x:v>2023-06 vs 2023 end</x:v>
      </x:c>
      <x:c r="D146" s="24" t="str">
        <x:v>A 2024 social-protection paper reports ~80,800 active borrowers by June 2023 citing MoPIC Issue 80; a separate 2024 MFB paper reports 78,686 by end-2023 citing the SFD/SMED archive.</x:v>
      </x:c>
      <x:c r="E146" s="24" t="str">
        <x:v>DIFFERENT_PERIOD_AND_SOURCE_CHAIN_NOT_CONTRADICTION</x:v>
      </x:c>
      <x:c r="F146" s="24" t="str">
        <x:v>TYPE_AS_SEPARATE_OBSERVATIONS__NO_WITHIN_YEAR_CHANGE_WITHOUT_UNIVERSE_BRIDGE</x:v>
      </x:c>
      <x:c r="G146" s="24" t="str">
        <x:v>Both may be shown as bounded period-specific observations, but not connected as a trend line until source universes are reconciled.</x:v>
      </x:c>
      <x:c r="H146" s="24" t="str">
        <x:v>/finance/microfinance;/evidence-clock</x:v>
      </x:c>
    </x:row>
    <x:row r="147">
      <x:c r="A147" s="24" t="str">
        <x:v>CON-059</x:v>
      </x:c>
      <x:c r="B147" s="24" t="str">
        <x:v>2023 saver concentration semantics</x:v>
      </x:c>
      <x:c r="C147" s="24" t="str">
        <x:v>2016–2023 wording / 2023 endpoint</x:v>
      </x:c>
      <x:c r="D147" s="24" t="str">
        <x:v>The 2024 paper reports 3.3m active MFB savers in 2023 and 96% vs 4% shares 'between 2016 and 2023', but the accessible prose does not establish whether 96/4 is a 2023 stock split, a period-average, or another aggregation.</x:v>
      </x:c>
      <x:c r="E147" s="24" t="str">
        <x:v>PERIOD_DENOMINATOR_AMBIGUITY</x:v>
      </x:c>
      <x:c r="F147" s="24" t="str">
        <x:v>ALLOW_3.3M_AS_BOUNDED_SOURCE_OBJECT__WITHHOLD_EXACT_96_4_PUBLIC_SPLIT</x:v>
      </x:c>
      <x:c r="G147" s="24" t="str">
        <x:v>Use saver scale only with object-definition warning; precise 96/4 concentration chart remains held.</x:v>
      </x:c>
      <x:c r="H147" s="24" t="str">
        <x:v>/finance/microfinance;/people;/evidence/compare</x:v>
      </x:c>
    </x:row>
    <x:row r="150">
      <x:c r="A150" s="70" t="str">
        <x:v>Metric crosswalk</x:v>
      </x:c>
      <x:c r="B150" s="70"/>
      <x:c r="C150" s="70"/>
      <x:c r="D150" s="70"/>
      <x:c r="E150" s="70"/>
      <x:c r="F150" s="70"/>
      <x:c r="G150" s="70"/>
      <x:c r="H150" s="70"/>
      <x:c r="I150" s="70"/>
      <x:c r="J150" s="70"/>
      <x:c r="K150" s="70"/>
      <x:c r="L150" s="70"/>
      <x:c r="M150" s="70"/>
      <x:c r="N150" s="70"/>
    </x:row>
    <x:row r="151">
      <x:c r="A151" s="73" t="str">
        <x:v>crosswalk_id</x:v>
      </x:c>
      <x:c r="B151" s="73" t="str">
        <x:v>concept</x:v>
      </x:c>
      <x:c r="C151" s="73" t="str">
        <x:v>project_state</x:v>
      </x:c>
      <x:c r="D151" s="73" t="str">
        <x:v>project_year</x:v>
      </x:c>
      <x:c r="E151" s="73" t="str">
        <x:v>project_value</x:v>
      </x:c>
      <x:c r="F151" s="73" t="str">
        <x:v>project_unit</x:v>
      </x:c>
      <x:c r="G151" s="73" t="str">
        <x:v>related_admin_metric</x:v>
      </x:c>
      <x:c r="H151" s="73" t="str">
        <x:v>admin_year</x:v>
      </x:c>
      <x:c r="I151" s="73" t="str">
        <x:v>admin_value</x:v>
      </x:c>
      <x:c r="J151" s="73" t="str">
        <x:v>admin_unit</x:v>
      </x:c>
      <x:c r="K151" s="73" t="str">
        <x:v>compatibility_state</x:v>
      </x:c>
      <x:c r="L151" s="73" t="str">
        <x:v>use_rule</x:v>
      </x:c>
      <x:c r="M151" s="73" t="str">
        <x:v>project_source</x:v>
      </x:c>
      <x:c r="N151" s="73" t="str">
        <x:v>admin_source</x:v>
      </x:c>
    </x:row>
    <x:row r="152">
      <x:c r="A152" s="24" t="str">
        <x:v>XW-FMIIP-001</x:v>
      </x:c>
      <x:c r="B152" s="24" t="str">
        <x:v>Active bank accounts</x:v>
      </x:c>
      <x:c r="C152" s="24" t="str">
        <x:v>FMIIP baseline</x:v>
      </x:c>
      <x:c r="D152" s="24" t="n">
        <x:v>2025</x:v>
      </x:c>
      <x:c r="E152" s="24" t="n">
        <x:v>1062441</x:v>
      </x:c>
      <x:c r="F152" s="24" t="str">
        <x:v>accounts</x:v>
      </x:c>
      <x:c r="G152" s="24" t="str">
        <x:v>CBY H1 2025 reported accounts</x:v>
      </x:c>
      <x:c r="H152" s="24" t="n">
        <x:v>2025</x:v>
      </x:c>
      <x:c r="I152" s="24" t="n">
        <x:v>5202019</x:v>
      </x:c>
      <x:c r="J152" s="24" t="str">
        <x:v>accounts</x:v>
      </x:c>
      <x:c r="K152" s="24" t="str">
        <x:v>NOT_DIRECTLY_COMPARABLE__ACTIVE_DEFINITION_AND_UNIVERSE_UNRESOLVED</x:v>
      </x:c>
      <x:c r="L152" s="24" t="str">
        <x:v>Do not reconcile or ratio. Treat as a definitions problem requiring metadata/source-owner clarification.</x:v>
      </x:c>
      <x:c r="M152" s="24" t="str">
        <x:v>https://www.undp.org/yemen/projects/yemen-financial-market-infrastructure-and-inclusion-project</x:v>
      </x:c>
      <x:c r="N152" s="24" t="str">
        <x:v>https://www.cby-ye.com/files/693a7845e7f26.pdf</x:v>
      </x:c>
    </x:row>
    <x:row r="153">
      <x:c r="A153" s="24" t="str">
        <x:v>XW-FMIIP-002</x:v>
      </x:c>
      <x:c r="B153" s="24" t="str">
        <x:v>Active e-wallet accounts</x:v>
      </x:c>
      <x:c r="C153" s="24" t="str">
        <x:v>FMIIP baseline</x:v>
      </x:c>
      <x:c r="D153" s="24" t="n">
        <x:v>2025</x:v>
      </x:c>
      <x:c r="E153" s="24" t="n">
        <x:v>375252</x:v>
      </x:c>
      <x:c r="F153" s="24" t="str">
        <x:v>active e-wallet accounts</x:v>
      </x:c>
      <x:c r="G153" s="24" t="str">
        <x:v>CBY H1 2025 e-wallet subscribers</x:v>
      </x:c>
      <x:c r="H153" s="24" t="n">
        <x:v>2025</x:v>
      </x:c>
      <x:c r="I153" s="24" t="n">
        <x:v>2102484</x:v>
      </x:c>
      <x:c r="J153" s="24" t="str">
        <x:v>subscribers</x:v>
      </x:c>
      <x:c r="K153" s="24" t="str">
        <x:v>NOT_SAME_METRIC</x:v>
      </x:c>
      <x:c r="L153" s="24" t="str">
        <x:v>Subscribers are not active e-wallet accounts. Never use one as the denominator/numerator of the other.</x:v>
      </x:c>
      <x:c r="M153" s="24" t="str">
        <x:v>https://www.undp.org/yemen/projects/yemen-financial-market-infrastructure-and-inclusion-project</x:v>
      </x:c>
      <x:c r="N153" s="24" t="str">
        <x:v>https://www.cby-ye.com/files/693a7845e7f26.pdf</x:v>
      </x:c>
    </x:row>
    <x:row r="154">
      <x:c r="A154" s="24" t="str">
        <x:v>XW-FMIIP-003</x:v>
      </x:c>
      <x:c r="B154" s="24" t="str">
        <x:v>Merchants accepting electronic payments</x:v>
      </x:c>
      <x:c r="C154" s="24" t="str">
        <x:v>FMIIP baseline</x:v>
      </x:c>
      <x:c r="D154" s="24" t="n">
        <x:v>2025</x:v>
      </x:c>
      <x:c r="E154" s="24" t="n">
        <x:v>170</x:v>
      </x:c>
      <x:c r="F154" s="24" t="str">
        <x:v>merchants</x:v>
      </x:c>
      <x:c r="G154" s="24" t="str">
        <x:v>CBY June 2025 POS terminals</x:v>
      </x:c>
      <x:c r="H154" s="24" t="n">
        <x:v>2025</x:v>
      </x:c>
      <x:c r="I154" s="24" t="n">
        <x:v>791</x:v>
      </x:c>
      <x:c r="J154" s="24" t="str">
        <x:v>POS terminals</x:v>
      </x:c>
      <x:c r="K154" s="24" t="str">
        <x:v>NOT_SAME_UNIT</x:v>
      </x:c>
      <x:c r="L154" s="24" t="str">
        <x:v>A merchant can have zero/one/multiple terminals; POS count does not equal merchant count.</x:v>
      </x:c>
      <x:c r="M154" s="24" t="str">
        <x:v>https://www.undp.org/yemen/projects/yemen-financial-market-infrastructure-and-inclusion-project</x:v>
      </x:c>
      <x:c r="N154" s="24" t="str">
        <x:v>https://www.cby-ye.com/files/693a7845e7f26.pdf</x:v>
      </x:c>
    </x:row>
    <x:row r="155">
      <x:c r="A155" s="24" t="str">
        <x:v>XW-FMIIP-004</x:v>
      </x:c>
      <x:c r="B155" s="24" t="str">
        <x:v>Beneficiaries receiving/making electronic payments</x:v>
      </x:c>
      <x:c r="C155" s="24" t="str">
        <x:v>FMIIP baseline</x:v>
      </x:c>
      <x:c r="D155" s="24" t="n">
        <x:v>2025</x:v>
      </x:c>
      <x:c r="E155" s="24" t="n">
        <x:v>10761</x:v>
      </x:c>
      <x:c r="F155" s="24" t="str">
        <x:v>beneficiaries</x:v>
      </x:c>
      <x:c r="G155" s="24" t="str">
        <x:v>CBY H1 2025 POS transactions</x:v>
      </x:c>
      <x:c r="H155" s="24" t="n">
        <x:v>2025</x:v>
      </x:c>
      <x:c r="I155" s="24" t="n">
        <x:v>58512</x:v>
      </x:c>
      <x:c r="J155" s="24" t="str">
        <x:v>transactions</x:v>
      </x:c>
      <x:c r="K155" s="24" t="str">
        <x:v>NOT_SAME_UNIT</x:v>
      </x:c>
      <x:c r="L155" s="24" t="str">
        <x:v>Transactions are events; beneficiaries are people/entities. Never convert without unique-ID methodology.</x:v>
      </x:c>
      <x:c r="M155" s="24" t="str">
        <x:v>https://www.undp.org/yemen/projects/yemen-financial-market-infrastructure-and-inclusion-project</x:v>
      </x:c>
      <x:c r="N155" s="24" t="str">
        <x:v>https://www.cby-ye.com/files/693a7845e7f26.pdf</x:v>
      </x:c>
    </x:row>
    <x:row r="156">
      <x:c r="A156" s="24" t="str">
        <x:v>XW-FMIIP-005</x:v>
      </x:c>
      <x:c r="B156" s="24" t="str">
        <x:v>Financial access points</x:v>
      </x:c>
      <x:c r="C156" s="24" t="str">
        <x:v>FMIIP target</x:v>
      </x:c>
      <x:c r="D156" s="24" t="n">
        <x:v>2030</x:v>
      </x:c>
      <x:c r="E156" s="24" t="n">
        <x:v>1021</x:v>
      </x:c>
      <x:c r="F156" s="24" t="str">
        <x:v>access points</x:v>
      </x:c>
      <x:c r="G156" s="24" t="str">
        <x:v>CBY H1 2025 ATMs and POS</x:v>
      </x:c>
      <x:c r="H156" s="24" t="n">
        <x:v>2025</x:v>
      </x:c>
      <x:c r="I156" s="24"/>
      <x:c r="J156" s="24" t="str">
        <x:v>multiple infrastructure objects</x:v>
      </x:c>
      <x:c r="K156" s="24" t="str">
        <x:v>NO_VALID_ADDITIVE_CROSSWALK</x:v>
      </x:c>
      <x:c r="L156" s="24" t="str">
        <x:v>Do not add ATMs + POS + agents unless FMIIP access-point taxonomy and deduplication rules explicitly permit it.</x:v>
      </x:c>
      <x:c r="M156" s="24" t="str">
        <x:v>https://www.undp.org/yemen/projects/yemen-financial-market-infrastructure-and-inclusion-project</x:v>
      </x:c>
      <x:c r="N156" s="24" t="str">
        <x:v>https://www.cby-ye.com/files/693a7845e7f26.pdf</x:v>
      </x:c>
    </x:row>
    <x:row r="157">
      <x:c r="A157" s="24" t="str">
        <x:v>XW-WALLET-001</x:v>
      </x:c>
      <x:c r="B157" s="24" t="str">
        <x:v>Wallet provider count</x:v>
      </x:c>
      <x:c r="C157" s="24" t="str">
        <x:v>CBY payment report</x:v>
      </x:c>
      <x:c r="D157" s="24" t="n">
        <x:v>2024</x:v>
      </x:c>
      <x:c r="E157" s="24" t="n">
        <x:v>7</x:v>
      </x:c>
      <x:c r="F157" s="24" t="str">
        <x:v>e-wallets</x:v>
      </x:c>
      <x:c r="G157" s="24" t="str">
        <x:v>CBY H1 payment report</x:v>
      </x:c>
      <x:c r="H157" s="24" t="n">
        <x:v>2025</x:v>
      </x:c>
      <x:c r="I157" s="24" t="n">
        <x:v>9</x:v>
      </x:c>
      <x:c r="J157" s="24" t="str">
        <x:v>e-wallets</x:v>
      </x:c>
      <x:c r="K157" s="24" t="str">
        <x:v>NOT_YET_PROVEN_SAME_UNIVERSE</x:v>
      </x:c>
      <x:c r="L157" s="24" t="str">
        <x:v>Keep as separate dated administrative counts; no growth calculation.</x:v>
      </x:c>
      <x:c r="M157" s="24" t="str">
        <x:v>https://www.cby-ye.com/files/677c2e75a4d8c.pdf</x:v>
      </x:c>
      <x:c r="N157" s="24" t="str">
        <x:v>https://www.cby-ye.com/files/693a7845e7f26.pdf</x:v>
      </x:c>
    </x:row>
    <x:row r="158">
      <x:c r="A158" s="24" t="str">
        <x:v>XW-WALLET-002</x:v>
      </x:c>
      <x:c r="B158" s="24" t="str">
        <x:v>Wallet provider count</x:v>
      </x:c>
      <x:c r="C158" s="24" t="str">
        <x:v>CBY H1 payment report</x:v>
      </x:c>
      <x:c r="D158" s="24" t="n">
        <x:v>2025</x:v>
      </x:c>
      <x:c r="E158" s="24" t="n">
        <x:v>9</x:v>
      </x:c>
      <x:c r="F158" s="24" t="str">
        <x:v>e-wallets</x:v>
      </x:c>
      <x:c r="G158" s="24" t="str">
        <x:v>CBY Governor workshop statement</x:v>
      </x:c>
      <x:c r="H158" s="24" t="n">
        <x:v>2025</x:v>
      </x:c>
      <x:c r="I158" s="24" t="n">
        <x:v>8</x:v>
      </x:c>
      <x:c r="J158" s="24" t="str">
        <x:v>licensed e-wallets</x:v>
      </x:c>
      <x:c r="K158" s="24" t="str">
        <x:v>NOT_SAME_WORDING_OR_REFERENCE_DATE</x:v>
      </x:c>
      <x:c r="L158" s="24" t="str">
        <x:v>Administrative 'number of e-wallets' and dated 'licensed e-wallets' statement cannot be reconciled without provider definitions/names.</x:v>
      </x:c>
      <x:c r="M158" s="24" t="str">
        <x:v>https://www.cby-ye.com/files/693a7845e7f26.pdf</x:v>
      </x:c>
      <x:c r="N158" s="24" t="str">
        <x:v>https://cby-ye.com/news/876</x:v>
      </x:c>
    </x:row>
    <x:row r="159">
      <x:c r="A159" s="24" t="str">
        <x:v>XW-WALLET-003</x:v>
      </x:c>
      <x:c r="B159" s="24" t="str">
        <x:v>Wallet provider count</x:v>
      </x:c>
      <x:c r="C159" s="24" t="str">
        <x:v>CBY Governor workshop statement</x:v>
      </x:c>
      <x:c r="D159" s="24" t="n">
        <x:v>2025</x:v>
      </x:c>
      <x:c r="E159" s="24" t="n">
        <x:v>8</x:v>
      </x:c>
      <x:c r="F159" s="24" t="str">
        <x:v>licensed e-wallets</x:v>
      </x:c>
      <x:c r="G159" s="24" t="str">
        <x:v>CBY digital-payment exhibition</x:v>
      </x:c>
      <x:c r="H159" s="24" t="n">
        <x:v>2026</x:v>
      </x:c>
      <x:c r="I159" s="24" t="str">
        <x:v>&gt;9</x:v>
      </x:c>
      <x:c r="J159" s="24" t="str">
        <x:v>e-wallet participants</x:v>
      </x:c>
      <x:c r="K159" s="24" t="str">
        <x:v>NOT_SAME_UNIT__LICENSING_VS_EVENT_PARTICIPATION</x:v>
      </x:c>
      <x:c r="L159" s="24" t="str">
        <x:v>Event participation cannot update the licensed-provider count.</x:v>
      </x:c>
      <x:c r="M159" s="24" t="str">
        <x:v>https://cby-ye.com/news/876</x:v>
      </x:c>
      <x:c r="N159" s="24" t="str">
        <x:v>https://cby-ye.com/news/915</x:v>
      </x:c>
    </x:row>
    <x:row r="162">
      <x:c r="A162" s="70" t="str">
        <x:v>Evidence fusion map</x:v>
      </x:c>
      <x:c r="B162" s="70"/>
      <x:c r="C162" s="70"/>
      <x:c r="D162" s="70"/>
      <x:c r="E162" s="70"/>
      <x:c r="F162" s="70"/>
      <x:c r="G162" s="70"/>
      <x:c r="H162" s="70"/>
      <x:c r="I162" s="70"/>
      <x:c r="J162" s="70"/>
      <x:c r="K162" s="70"/>
    </x:row>
    <x:row r="163">
      <x:c r="A163" s="73" t="str">
        <x:v>question_id</x:v>
      </x:c>
      <x:c r="B163" s="73" t="str">
        <x:v>public_question</x:v>
      </x:c>
      <x:c r="C163" s="73" t="str">
        <x:v>decision_value</x:v>
      </x:c>
      <x:c r="D163" s="73" t="str">
        <x:v>people_demand_evidence</x:v>
      </x:c>
      <x:c r="E163" s="73" t="str">
        <x:v>supply_provider_evidence</x:v>
      </x:c>
      <x:c r="F163" s="73" t="str">
        <x:v>activity_flow_evidence</x:v>
      </x:c>
      <x:c r="G163" s="73" t="str">
        <x:v>regulation_reform_evidence</x:v>
      </x:c>
      <x:c r="H163" s="73" t="str">
        <x:v>context_history_evidence</x:v>
      </x:c>
      <x:c r="I163" s="73" t="str">
        <x:v>synthesis_pattern</x:v>
      </x:c>
      <x:c r="J163" s="73" t="str">
        <x:v>primary_gap</x:v>
      </x:c>
      <x:c r="K163" s="73" t="str">
        <x:v>route</x:v>
      </x:c>
    </x:row>
    <x:row r="164">
      <x:c r="A164" s="24" t="str">
        <x:v>Q-001</x:v>
      </x:c>
      <x:c r="B164" s="24" t="str">
        <x:v>Who is included, who is excluded, and how certain are we?</x:v>
      </x:c>
      <x:c r="C164" s="24" t="str">
        <x:v>Separates people-based inclusion levels from administrative proxies and exposes coverage limits.</x:v>
      </x:c>
      <x:c r="D164" s="24" t="str">
        <x:v>DS-FINDEX-META; DS-FINDEX-VARS; DS-FINDEX-WAVES; DS-FINDEX-WB-OBS; DS-FINDEX-RULES</x:v>
      </x:c>
      <x:c r="E164" s="24" t="str">
        <x:v>DS-PROVIDER-MASTER; DS-PROVIDER-UNIVERSE</x:v>
      </x:c>
      <x:c r="F164" s="24" t="str">
        <x:v>DS-CBY-PAYMENTS</x:v>
      </x:c>
      <x:c r="G164" s="24" t="str">
        <x:v>DS-PRIMARY-AUTHORITY</x:v>
      </x:c>
      <x:c r="H164" s="24" t="str">
        <x:v>DS-OECD-NARRATIVE</x:v>
      </x:c>
      <x:c r="I164" s="24" t="str">
        <x:v>PEOPLE_MEASURES + ACCESS_SYSTEM_CONTEXT + EVIDENCE_PASSPORT</x:v>
      </x:c>
      <x:c r="J164" s="24" t="str">
        <x:v>No current representative 2026 population inclusion wave; Findex geography limits remain material.</x:v>
      </x:c>
      <x:c r="K164" s="24" t="str">
        <x:v>/people + /evidence</x:v>
      </x:c>
    </x:row>
    <x:row r="165">
      <x:c r="A165" s="24" t="str">
        <x:v>Q-002</x:v>
      </x:c>
      <x:c r="B165" s="24" t="str">
        <x:v>Is digital finance expanding inclusion, or only infrastructure and transaction activity?</x:v>
      </x:c>
      <x:c r="C165" s="24" t="str">
        <x:v>Prevents POS/accounts/wallet activity from being mislabeled as unique-person inclusion while still showing genuine system change.</x:v>
      </x:c>
      <x:c r="D165" s="24" t="str">
        <x:v>DS-FINDEX-WB-OBS</x:v>
      </x:c>
      <x:c r="E165" s="24" t="str">
        <x:v>DS-PROVIDER-UNIVERSE; DS-WALLET-COUNT-RECON</x:v>
      </x:c>
      <x:c r="F165" s="24" t="str">
        <x:v>DS-CBY-PAYMENTS; DS-DERIVED-ANALYTICS; DS-PAYMENT-CURRENTNESS</x:v>
      </x:c>
      <x:c r="G165" s="24" t="str">
        <x:v>DS-REFORM-EVENTS; DS-EMONEY-REG; DS-PRIMARY-AUTHORITY</x:v>
      </x:c>
      <x:c r="H165" s="24" t="str">
        <x:v>DS-CBY-MONETARY</x:v>
      </x:c>
      <x:c r="I165" s="24" t="str">
        <x:v>PARALLEL_LAYERS__INFRASTRUCTURE → ACTIVITY → PEOPLE_OUTCOME_GAP</x:v>
      </x:c>
      <x:c r="J165" s="24" t="str">
        <x:v>Unique active-user/unique-person evidence and current wallet-provider universe.</x:v>
      </x:c>
      <x:c r="K165" s="24" t="str">
        <x:v>/payments + /people + /methodology</x:v>
      </x:c>
    </x:row>
    <x:row r="166">
      <x:c r="A166" s="24" t="str">
        <x:v>Q-003</x:v>
      </x:c>
      <x:c r="B166" s="24" t="str">
        <x:v>Which financial providers actually exist, under which authority, and at what date?</x:v>
      </x:c>
      <x:c r="C166" s="24" t="str">
        <x:v>Turns a static directory into a time-aware regulated-provider evidence product.</x:v>
      </x:c>
      <x:c r="D166" s="24"/>
      <x:c r="E166" s="24" t="str">
        <x:v>DS-PROVIDER-MASTER; DS-PROVIDER-UNIVERSE; DS-PROVIDER-OBSERVABILITY; DS-PROVIDER-STATUS-EVENTS; DS-PROVIDER-NEGATIVE-AUTHORITY; DS-PROVIDER-BASELINE-2025; DS-WALLET-COUNT-RECON; DS-MFI-PROVIDER-PANEL; DS-MFI-EVIDENCE</x:v>
      </x:c>
      <x:c r="F166" s="24" t="str">
        <x:v>DS-CBY-PAYMENTS</x:v>
      </x:c>
      <x:c r="G166" s="24" t="str">
        <x:v>DS-PRIMARY-AUTHORITY; DS-EMONEY-REG</x:v>
      </x:c>
      <x:c r="H166" s="24" t="str">
        <x:v>DS-WB2004-CHRON</x:v>
      </x:c>
      <x:c r="I166" s="24" t="str">
        <x:v>PROVIDER_OBSERVABILITY → BITEMPORAL_STATE_MACHINE__AUTHORITY + UNIVERSE + STATUS_EVENTS + OPERATION_GAP</x:v>
      </x:c>
      <x:c r="J166" s="24" t="str">
        <x:v>2026 exchange/remittance row extraction and current named positive wallet/PSP/system-operator universe.</x:v>
      </x:c>
      <x:c r="K166" s="24" t="str">
        <x:v>/providers + /finance</x:v>
      </x:c>
    </x:row>
    <x:row r="167">
      <x:c r="A167" s="24" t="str">
        <x:v>Q-004</x:v>
      </x:c>
      <x:c r="B167" s="24" t="str">
        <x:v>How important are remittances, what does it cost to send them, and what remains invisible?</x:v>
      </x:c>
      <x:c r="C167" s="24" t="str">
        <x:v>Combines macro flow and corridor-price evidence while refusing to invent hawala volume.</x:v>
      </x:c>
      <x:c r="D167" s="24"/>
      <x:c r="E167" s="24" t="str">
        <x:v>DS-PROVIDER-MASTER; DS-PROVIDER-UNIVERSE</x:v>
      </x:c>
      <x:c r="F167" s="24" t="str">
        <x:v>DS-REMITTANCES</x:v>
      </x:c>
      <x:c r="G167" s="24" t="str">
        <x:v>DS-PRIMARY-AUTHORITY</x:v>
      </x:c>
      <x:c r="H167" s="24" t="str">
        <x:v>DS-CBY-MONETARY</x:v>
      </x:c>
      <x:c r="I167" s="24" t="str">
        <x:v>OBSERVED_MACRO_SERIES + CORRIDOR_PRICE_QUOTES + INFORMAL_EVIDENCE_GAP</x:v>
      </x:c>
      <x:c r="J167" s="24" t="str">
        <x:v>No defensible national hawala/informal-transfer volume; current remittance-provider roster not yet extracted.</x:v>
      </x:c>
      <x:c r="K167" s="24" t="str">
        <x:v>/payments/remittances</x:v>
      </x:c>
    </x:row>
    <x:row r="168">
      <x:c r="A168" s="24" t="str">
        <x:v>Q-005</x:v>
      </x:c>
      <x:c r="B168" s="24" t="str">
        <x:v>If a financial consumer is not treated fairly, what is the official path to redress — and do we know if it works?</x:v>
      </x:c>
      <x:c r="C168" s="24" t="str">
        <x:v>Moves FCP from a binary 'rule exists' label to an explicit architecture/performance distinction.</x:v>
      </x:c>
      <x:c r="D168" s="24"/>
      <x:c r="E168" s="24" t="str">
        <x:v>DS-FCP-ARCH</x:v>
      </x:c>
      <x:c r="F168" s="24"/>
      <x:c r="G168" s="24" t="str">
        <x:v>DS-PRIMARY-AUTHORITY; DS-REFORM-EVENTS</x:v>
      </x:c>
      <x:c r="H168" s="24" t="str">
        <x:v>DS-OECD-NARRATIVE; DS-OECD-POLICY</x:v>
      </x:c>
      <x:c r="I168" s="24" t="str">
        <x:v>RULE → PROVIDER_OBLIGATION → 10_DAY_STAGE → ESCALATION → 14_DAY_WINDOW → PERFORMANCE_GAP</x:v>
      </x:c>
      <x:c r="J168" s="24" t="str">
        <x:v>Full controlled legal text/current applicability plus administrative complaint, enforcement and outcome data.</x:v>
      </x:c>
      <x:c r="K168" s="24" t="str">
        <x:v>/reforms/regulation + /evidence</x:v>
      </x:c>
    </x:row>
    <x:row r="169">
      <x:c r="A169" s="24" t="str">
        <x:v>Q-006</x:v>
      </x:c>
      <x:c r="B169" s="24" t="str">
        <x:v>Is financial-literacy activity becoming measurable financial capability?</x:v>
      </x:c>
      <x:c r="C169" s="24" t="str">
        <x:v>Separates programme activity from population capability and evaluated outcomes.</x:v>
      </x:c>
      <x:c r="D169" s="24" t="str">
        <x:v>DS-FINDEX-WB-OBS</x:v>
      </x:c>
      <x:c r="E169" s="24"/>
      <x:c r="F169" s="24"/>
      <x:c r="G169" s="24" t="str">
        <x:v>DS-PRIMARY-AUTHORITY</x:v>
      </x:c>
      <x:c r="H169" s="24" t="str">
        <x:v>DS-OECD-NARRATIVE; DS-LIT-CBY-FI</x:v>
      </x:c>
      <x:c r="I169" s="24" t="str">
        <x:v>ACTIVITY → OUTPUT → POPULATION_CAPABILITY → EVALUATED_OUTCOME</x:v>
      </x:c>
      <x:c r="J169" s="24" t="str">
        <x:v>Programme baseline/endline, participant denominator and evaluated learning/behavioural outcomes.</x:v>
      </x:c>
      <x:c r="K169" s="24" t="str">
        <x:v>/people/capability + /reforms</x:v>
      </x:c>
    </x:row>
    <x:row r="170">
      <x:c r="A170" s="24" t="str">
        <x:v>Q-007</x:v>
      </x:c>
      <x:c r="B170" s="24" t="str">
        <x:v>For firms, is finance the binding constraint — and what competes with it?</x:v>
      </x:c>
      <x:c r="C170" s="24" t="str">
        <x:v>Places finance inside electricity, fuel, transport, tax, political and operating constraints.</x:v>
      </x:c>
      <x:c r="D170" s="24"/>
      <x:c r="E170" s="24"/>
      <x:c r="F170" s="24" t="str">
        <x:v>DS-FIRM-FINANCE; DS-DERIVED-ANALYTICS</x:v>
      </x:c>
      <x:c r="G170" s="24"/>
      <x:c r="H170" s="24" t="str">
        <x:v>DS-CBY-MONETARY</x:v>
      </x:c>
      <x:c r="I170" s="24" t="str">
        <x:v>RANKED_CONSTRAINTS + CONDITIONAL_FINANCE_PATH + DENOMINATOR_DISCLOSURE</x:v>
      </x:c>
      <x:c r="J170" s="24" t="str">
        <x:v>No national extrapolation beyond the seven-governorate custom survey.</x:v>
      </x:c>
      <x:c r="K170" s="24" t="str">
        <x:v>/firms</x:v>
      </x:c>
    </x:row>
    <x:row r="171">
      <x:c r="A171" s="24" t="str">
        <x:v>Q-008</x:v>
      </x:c>
      <x:c r="B171" s="24" t="str">
        <x:v>How is Yemen's payment architecture changing from rule to operational activity?</x:v>
      </x:c>
      <x:c r="C171" s="24" t="str">
        <x:v>Tracks state transitions rather than equating announcements with go-live.</x:v>
      </x:c>
      <x:c r="D171" s="24"/>
      <x:c r="E171" s="24" t="str">
        <x:v>DS-PROVIDER-UNIVERSE</x:v>
      </x:c>
      <x:c r="F171" s="24" t="str">
        <x:v>DS-CBY-PAYMENTS; DS-PAYMENT-CURRENTNESS</x:v>
      </x:c>
      <x:c r="G171" s="24" t="str">
        <x:v>DS-REFORM-EVENTS; DS-EMONEY-REG; DS-PRIMARY-AUTHORITY; DS-PAYMENT-CURRENTNESS</x:v>
      </x:c>
      <x:c r="H171" s="24"/>
      <x:c r="I171" s="24" t="str">
        <x:v>REGULATION → PROJECT → DECISION → INTEGRATION → INSTITUTION → ACTIVITY → USAGE/OUTCOME_GAP</x:v>
      </x:c>
      <x:c r="J171" s="24" t="str">
        <x:v>Independent system go-live/participant/coverage evidence for FPS/RTGS/QR/interconnection and unique-user outcomes; institutional establishment is now better evidenced.</x:v>
      </x:c>
      <x:c r="K171" s="24" t="str">
        <x:v>/payments + /reforms/projects</x:v>
      </x:c>
    </x:row>
    <x:row r="172">
      <x:c r="A172" s="24" t="str">
        <x:v>Q-009</x:v>
      </x:c>
      <x:c r="B172" s="24" t="str">
        <x:v>Where do humanitarian and development capital flows touch the financial system without becoming financial-inclusion outcomes?</x:v>
      </x:c>
      <x:c r="C172" s="24" t="str">
        <x:v>Makes capital pathways visible while preserving funding-class semantics.</x:v>
      </x:c>
      <x:c r="D172" s="24"/>
      <x:c r="E172" s="24"/>
      <x:c r="F172" s="24" t="str">
        <x:v>DS-OCHA-FTS-2026; DS-OCHA-LINKS</x:v>
      </x:c>
      <x:c r="G172" s="24" t="str">
        <x:v>DS-REFORM-EVENTS</x:v>
      </x:c>
      <x:c r="H172" s="24"/>
      <x:c r="I172" s="24" t="str">
        <x:v>RELATIONSHIP_GRAPH__FLOW_CLASS + PROGRAMME_STATE + NO_OUTCOME_CONVERSION</x:v>
      </x:c>
      <x:c r="J172" s="24" t="str">
        <x:v>Programme-owner evidence linking finance to actual financial-service delivery, reach and post-transfer use.</x:v>
      </x:c>
      <x:c r="K172" s="24" t="str">
        <x:v>/reforms/projects + /evidence</x:v>
      </x:c>
    </x:row>
    <x:row r="173">
      <x:c r="A173" s="24" t="str">
        <x:v>Q-010</x:v>
      </x:c>
      <x:c r="B173" s="24" t="str">
        <x:v>What does the microfinance record tell us — and where does the historical series break?</x:v>
      </x:c>
      <x:c r="C173" s="24" t="str">
        <x:v>Combines historical programme narrative with bounded provider-period evidence without pretending continuity.</x:v>
      </x:c>
      <x:c r="D173" s="24"/>
      <x:c r="E173" s="24" t="str">
        <x:v>DS-MFI-EVIDENCE; DS-MFI-PROVIDER-PANEL; DS-MFI-YEAR-COVERAGE; DS-MFI-TEMPORAL-SPINE; DS-MFI-METRIC-COVERAGE</x:v>
      </x:c>
      <x:c r="F173" s="24"/>
      <x:c r="G173" s="24"/>
      <x:c r="H173" s="24" t="str">
        <x:v>DS-WB2004-NARR; DS-WB2004-CASES; DS-WB2004-CHRON; DS-MF-ORIGIN-CHRONOLOGY</x:v>
      </x:c>
      <x:c r="I173" s="24" t="str">
        <x:v>LAYERED_ORIGIN_TIMELINE + SEGMENTED_PRIMARY_TEMPORAL_SPINE + PROVIDER_SMALL_MULTIPLES + METRIC_ELIGIBILITY</x:v>
      </x:c>
      <x:c r="J173" s="24" t="str">
        <x:v>2021 primary source remains missing; 2022/2024 no comparable primary point; 2023 exact archive object inaccessible; rights/passports remain S05.</x:v>
      </x:c>
      <x:c r="K173" s="24" t="str">
        <x:v>/finance/microfinance</x:v>
      </x:c>
    </x:row>
    <x:row r="174">
      <x:c r="A174" s="24" t="str">
        <x:v>Q-011</x:v>
      </x:c>
      <x:c r="B174" s="24" t="str">
        <x:v>When trusted sources disagree, are they actually measuring the same thing?</x:v>
      </x:c>
      <x:c r="C174" s="24" t="str">
        <x:v>Turns semantic mismatch into a user-facing analytical feature.</x:v>
      </x:c>
      <x:c r="D174" s="24" t="str">
        <x:v>DS-FINDEX-RULES</x:v>
      </x:c>
      <x:c r="E174" s="24"/>
      <x:c r="F174" s="24" t="str">
        <x:v>DS-CBY-PAYMENTS</x:v>
      </x:c>
      <x:c r="G174" s="24"/>
      <x:c r="H174" s="24"/>
      <x:c r="I174" s="24" t="str">
        <x:v>SIDE_BY_SIDE_DEFINITION_COMPARE + COMPATIBILITY_STATE</x:v>
      </x:c>
      <x:c r="J174" s="24" t="str">
        <x:v>Some incompatible metrics may remain permanently non-reconcilable; that is an acceptable finding.</x:v>
      </x:c>
      <x:c r="K174" s="24" t="str">
        <x:v>/evidence/compare</x:v>
      </x:c>
    </x:row>
    <x:row r="175">
      <x:c r="A175" s="24" t="str">
        <x:v>Q-012</x:v>
      </x:c>
      <x:c r="B175" s="24" t="str">
        <x:v>Where is the evidence fresh, stale, missing or only partially verified?</x:v>
      </x:c>
      <x:c r="C175" s="24" t="str">
        <x:v>Prevents the newest administrative observation from being mistaken for the newest population truth.</x:v>
      </x:c>
      <x:c r="D175" s="24" t="str">
        <x:v>DS-FINDEX-WAVES</x:v>
      </x:c>
      <x:c r="E175" s="24" t="str">
        <x:v>DS-PROVIDER-UNIVERSE</x:v>
      </x:c>
      <x:c r="F175" s="24" t="str">
        <x:v>DS-CBY-PAYMENTS</x:v>
      </x:c>
      <x:c r="G175" s="24" t="str">
        <x:v>DS-PRIMARY-AUTHORITY</x:v>
      </x:c>
      <x:c r="H175" s="24" t="str">
        <x:v>DS-WB2004-CHRON; DS-OECD-NARRATIVE</x:v>
      </x:c>
      <x:c r="I175" s="24" t="str">
        <x:v>EVIDENCE_FRESHNESS_SKYLINE + GAP_MATRIX + DOMAIN_VINTAGE_BADGES</x:v>
      </x:c>
      <x:c r="J175" s="24" t="str">
        <x:v>Current demand-side/subgroup data, provider-universe closure and several outcome layers remain old/open.</x:v>
      </x:c>
      <x:c r="K175" s="24" t="str">
        <x:v>/evidence + /methodology</x:v>
      </x:c>
    </x:row>
    <x:row r="176">
      <x:c r="A176" s="24" t="str">
        <x:v>Q-013</x:v>
      </x:c>
      <x:c r="B176" s="24" t="str">
        <x:v>How does YFSI turn evidence into a decision surface without losing provenance?</x:v>
      </x:c>
      <x:c r="C176" s="24" t="str">
        <x:v>Makes product architecture itself auditable and prevents design from overruling evidence.</x:v>
      </x:c>
      <x:c r="D176" s="24"/>
      <x:c r="E176" s="24"/>
      <x:c r="F176" s="24" t="str">
        <x:v>DS-DERIVED-ANALYTICS</x:v>
      </x:c>
      <x:c r="G176" s="24"/>
      <x:c r="H176" s="24" t="str">
        <x:v>DS-STRATEGIC-INSIGHTS</x:v>
      </x:c>
      <x:c r="I176" s="24" t="str">
        <x:v>SOURCE → CLAIM_BOUNDARY → DERIVATION → VISUAL_CONTRACT → PAGE_BUNDLE → PUBLICATION_DECISION</x:v>
      </x:c>
      <x:c r="J176" s="24" t="str">
        <x:v>No frontend surface should bypass the governed release package.</x:v>
      </x:c>
      <x:c r="K176" s="24" t="str">
        <x:v>/methodology + internal product governance</x:v>
      </x:c>
    </x:row>
    <x:row r="177">
      <x:c r="A177" s="24" t="str">
        <x:v>Q-014</x:v>
      </x:c>
      <x:c r="B177" s="24" t="str">
        <x:v>What mechanisms may sit behind an observed pattern — and what does the evidence still not prove?</x:v>
      </x:c>
      <x:c r="C177" s="24" t="str">
        <x:v>Adds qualitative explanation without fabricating prevalence or causality and makes interpretation itself traceable.</x:v>
      </x:c>
      <x:c r="D177" s="24" t="str">
        <x:v>DS-FINDEX-WB-OBS</x:v>
      </x:c>
      <x:c r="E177" s="24" t="str">
        <x:v>DS-PROVIDER-OBSERVABILITY</x:v>
      </x:c>
      <x:c r="F177" s="24" t="str">
        <x:v>DS-FIRM-FINANCE; DS-CBY-PAYMENTS; DS-REMITTANCES</x:v>
      </x:c>
      <x:c r="G177" s="24" t="str">
        <x:v>DS-FCP-ARCH; DS-EMONEY-REG; DS-REFORM-EVENTS</x:v>
      </x:c>
      <x:c r="H177" s="24" t="str">
        <x:v>DS-QUAL-EVIDENCE; DS-MECHANISM-TAXONOMY</x:v>
      </x:c>
      <x:c r="I177" s="24" t="str">
        <x:v>MEASURED_OBJECT ↔ GOVERNED_MECHANISM_LINKS ↔ SOURCE_METHOD ↔ ALLOWED/PROHIBITED_INFERENCE</x:v>
      </x:c>
      <x:c r="J177" s="24" t="str">
        <x:v>Qualitative coverage is not yet comprehensive across all mechanisms/populations/geographies; links must remain source-bounded.</x:v>
      </x:c>
      <x:c r="K177" s="24" t="str">
        <x:v>/people + /firms + /evidence</x:v>
      </x:c>
    </x:row>
    <x:row r="178">
      <x:c r="A178" s="24" t="str">
        <x:v>Q-015</x:v>
      </x:c>
      <x:c r="B178" s="24" t="str">
        <x:v>Can this evidence object survive publication without losing meaning, provenance, rights controls or accessibility?</x:v>
      </x:c>
      <x:c r="C178" s="24" t="str">
        <x:v>Turns release readiness into an auditable evidence question rather than a final editorial checklist.</x:v>
      </x:c>
      <x:c r="D178" s="24" t="str">
        <x:v>DS-RC0-FIXTURE</x:v>
      </x:c>
      <x:c r="E178" s="24" t="str">
        <x:v>DS-RC0-PASSPORTS</x:v>
      </x:c>
      <x:c r="F178" s="24" t="str">
        <x:v>DS-RC0-RIGHTS</x:v>
      </x:c>
      <x:c r="G178" s="24" t="str">
        <x:v>DS-RC0-VISUAL-BINDINGS; DS-PUBLICATION-ELIGIBILITY</x:v>
      </x:c>
      <x:c r="H178" s="24" t="str">
        <x:v>DS-S05-RECON-GATE</x:v>
      </x:c>
      <x:c r="I178" s="24" t="str">
        <x:v>OBJECT → PASSPORT → RIGHTS/INTENDED_USE → VISUAL/FALLBACK → ACCEPTANCE_TEST → RELEASE_STATE</x:v>
      </x:c>
      <x:c r="J178" s="24" t="str">
        <x:v>Global site rights backfill, non-fixture D1 bindings and later bilingual design/implementation gates remain open.</x:v>
      </x:c>
      <x:c r="K178" s="24" t="str">
        <x:v>/methodology + internal release governance</x:v>
      </x:c>
    </x:row>
    <x:row r="179">
      <x:c r="A179" s="24" t="str">
        <x:v>Q-016</x:v>
      </x:c>
      <x:c r="B179" s="24" t="str">
        <x:v>What can demand-side evidence tell us beyond account ownership — and which parts are still computation-gated?</x:v>
      </x:c>
      <x:c r="C179" s="24" t="str">
        <x:v>Separates currently publishable weighted anchors from a much richer but correctly withheld microdata panel, while making subgroup and denominator constraints explicit.</x:v>
      </x:c>
      <x:c r="D179" s="24" t="str">
        <x:v>DS-FINDEX-WB-OBS; DS-FINDEX-PANEL-CATALOG; DS-FINDEX-SUBGROUP-MATRIX; DS-FINDEX-DENOMINATOR-STRESS</x:v>
      </x:c>
      <x:c r="E179" s="24"/>
      <x:c r="F179" s="24"/>
      <x:c r="G179" s="24"/>
      <x:c r="H179" s="24"/>
      <x:c r="I179" s="24" t="str">
        <x:v>PUBLISHED_ANCHOR → PANEL_CONTRACT → DENOMINATOR/SUBGROUP_GATE → WEIGHTED_MICRODATA_REPLICATION → PUBLIC_OBJECT</x:v>
      </x:c>
      <x:c r="J179" s="24" t="str">
        <x:v>Respondent microdata require authorized login and are not yet in controlled YFSI custody; custom weighted estimates remain withheld.</x:v>
      </x:c>
      <x:c r="K179" s="24" t="str">
        <x:v>/people + /methodology + /evidence</x:v>
      </x:c>
    </x:row>
    <x:row r="180">
      <x:c r="A180" s="24" t="str">
        <x:v>Q-017</x:v>
      </x:c>
      <x:c r="B180" s="24" t="str">
        <x:v>What should the public product show first — and what should remain deep-dive, conditional or held?</x:v>
      </x:c>
      <x:c r="C180" s="24" t="str">
        <x:v>Turns product scope into a governed analytical decision so backend richness does not become interface clutter.</x:v>
      </x:c>
      <x:c r="D180" s="24"/>
      <x:c r="E180" s="24"/>
      <x:c r="F180" s="24"/>
      <x:c r="G180" s="24"/>
      <x:c r="H180" s="24" t="str">
        <x:v>DS-PRODUCT-IDENTITY</x:v>
      </x:c>
      <x:c r="I180" s="24" t="str">
        <x:v>CANONICAL_EVIDENCE → RELEASE_ELIGIBILITY → ROUTE/QUESTION → EDITORIAL_TIER → BILINGUAL/INTERACTION_CONTRACT → PUBLIC_SURFACE</x:v>
      </x:c>
      <x:c r="J180" s="24" t="str">
        <x:v>D2 usability testing and B0 compiler/static-package fixture remain to validate the frozen contract in a real bilingual build.</x:v>
      </x:c>
      <x:c r="K180" s="24" t="str">
        <x:v>/methodology + internal product governance</x:v>
      </x:c>
    </x:row>
    <x:row r="181">
      <x:c r="A181" s="24" t="str">
        <x:v>Q-018</x:v>
      </x:c>
      <x:c r="B181" s="24" t="str">
        <x:v>Can the frozen evidence/product contract survive compilation and a real bilingual screen without losing semantics?</x:v>
      </x:c>
      <x:c r="C181" s="24" t="str">
        <x:v>Connects canonical evidence governance to implementation proof: immutable package, object compiler chain, machine tests and screen-level acceptance.</x:v>
      </x:c>
      <x:c r="D181" s="24"/>
      <x:c r="E181" s="24"/>
      <x:c r="F181" s="24" t="str">
        <x:v>DS-B0-PACKAGE-MANIFEST; DS-B0-OBJECT-COMPILER-MAP</x:v>
      </x:c>
      <x:c r="G181" s="24"/>
      <x:c r="H181" s="24" t="str">
        <x:v>DS-D2-SCREEN-CONTRACT</x:v>
      </x:c>
      <x:c r="I181" s="24" t="str">
        <x:v>CANONICAL_OBJECT → IMMUTABLE_PACKAGE → PASSPORT/RIGHTS/VISUAL_BINDING → SCHEMA_TEST → D2_SCREEN_ACCEPTANCE → BUILD_PASS/FAIL</x:v>
      </x:c>
      <x:c r="J181" s="24" t="str">
        <x:v>Actual D2 high-fidelity prototype has not yet passed the 12-screen contract; global public-release gates remain independent.</x:v>
      </x:c>
      <x:c r="K181" s="24" t="str">
        <x:v>/methodology + internal compiler/design governance</x:v>
      </x:c>
    </x:row>
    <x:row r="182">
      <x:c r="A182" s="24" t="str">
        <x:v>Q-019</x:v>
      </x:c>
      <x:c r="B182" s="24" t="str">
        <x:v>Does the implementation preserve the frozen evidence contract in both languages and constrained device modes?</x:v>
      </x:c>
      <x:c r="C182" s="24" t="str">
        <x:v>Turns the actual prototype into a governed implementation object rather than an untracked design artifact.</x:v>
      </x:c>
      <x:c r="D182" s="24"/>
      <x:c r="E182" s="24"/>
      <x:c r="F182" s="24" t="str">
        <x:v>DS-D2-PROTOTYPE-MANIFEST</x:v>
      </x:c>
      <x:c r="G182" s="24"/>
      <x:c r="H182" s="24"/>
      <x:c r="I182" s="24" t="str">
        <x:v>STATIC_FIXTURE_PACKAGE → PROTOTYPE_CODE → BILINGUAL/ROUTE/PASSPORT BINDING → STATIC_TESTS → RUNTIME_VISUAL/A11Y_GATE</x:v>
      </x:c>
      <x:c r="J182" s="24" t="str">
        <x:v>Runtime browser visual/usability/accessibility QA remains open.</x:v>
      </x:c>
      <x:c r="K182" s="24" t="str">
        <x:v>/methodology + internal design/build governance</x:v>
      </x:c>
    </x:row>
    <x:row r="183">
      <x:c r="A183" s="24" t="str">
        <x:v>Q-020</x:v>
      </x:c>
      <x:c r="B183" s="24" t="str">
        <x:v>What weighted people-side evidence can YFSI publish now without respondent microdata — and how old is it by financial function?</x:v>
      </x:c>
      <x:c r="C183" s="24" t="str">
        <x:v>Separates historical weighted-public evidence from latest-wave computation gates and turns evidence vintage into part of the analysis.</x:v>
      </x:c>
      <x:c r="D183" s="24" t="str">
        <x:v>DS-FINDEX-PUBLIC-HISTORY; DS-FINDEX-WB-OBS</x:v>
      </x:c>
      <x:c r="E183" s="24"/>
      <x:c r="F183" s="24" t="str">
        <x:v>DS-FINDEX-PUBLIC-HISTORY</x:v>
      </x:c>
      <x:c r="G183" s="24"/>
      <x:c r="H183" s="24" t="str">
        <x:v>DS-DEMAND-VINTAGE-LENS</x:v>
      </x:c>
      <x:c r="I183" s="24" t="str">
        <x:v>PUBLISHED_WEIGHTED_HISTORY → FUNCTION_EVIDENCE_CLOCK → LATEST_WAVE_CONTRACT/HOLD → PUBLIC_SURFACE</x:v>
      </x:c>
      <x:c r="J183" s="24" t="str">
        <x:v>Current weighted values for resilience/barriers/latest saving/borrowing/remittance/digital-use remain unavailable; historical values cannot be relabeled current.</x:v>
      </x:c>
      <x:c r="K183" s="24" t="str">
        <x:v>/people + /evidence</x:v>
      </x:c>
    </x:row>
    <x:row r="184">
      <x:c r="A184" s="24" t="str">
        <x:v>Q-021</x:v>
      </x:c>
      <x:c r="B184" s="24" t="str">
        <x:v>What happens when canonical evidence improves after an immutable B0 package and D2 prototype candidate already exist?</x:v>
      </x:c>
      <x:c r="C184" s="24" t="str">
        <x:v>Prevents content enrichment from either invalidating real package-integrity proofs or silently creating a stale-content release.</x:v>
      </x:c>
      <x:c r="D184" s="24"/>
      <x:c r="E184" s="24"/>
      <x:c r="F184" s="24" t="str">
        <x:v>DS-POST-B0-CONTENT-DELTA</x:v>
      </x:c>
      <x:c r="G184" s="24"/>
      <x:c r="H184" s="24"/>
      <x:c r="I184" s="24" t="str">
        <x:v>CANONICAL_EVIDENCE_DELTA → PACKAGE_SCOPE_CHECK → PROTOTYPE_SCOPE_CHECK → SELECT/RECOMPILE BEFORE B1</x:v>
      </x:c>
      <x:c r="J184" s="24" t="str">
        <x:v>The current prototype/package remains a valid implementation-test artifact but does not contain v0.17 historical demand objects.</x:v>
      </x:c>
      <x:c r="K184" s="24" t="str">
        <x:v>/methodology + internal build governance</x:v>
      </x:c>
    </x:row>
    <x:row r="185">
      <x:c r="A185" s="24" t="str">
        <x:v>Q-022</x:v>
      </x:c>
      <x:c r="B185" s="24" t="str">
        <x:v>How far is a financial-inclusion object from a measured outcome for people or firms?</x:v>
      </x:c>
      <x:c r="C185" s="24" t="str">
        <x:v>Prevents access, activity, regulation and programme delivery from being interpreted as welfare/resilience/economic outcomes.</x:v>
      </x:c>
      <x:c r="D185" s="24" t="str">
        <x:v>DS-FINDEX-WB-OBS; DS-FINDEX-PUBLIC-HISTORY</x:v>
      </x:c>
      <x:c r="E185" s="24" t="str">
        <x:v>DS-PROVIDER-OBSERVABILITY</x:v>
      </x:c>
      <x:c r="F185" s="24" t="str">
        <x:v>DS-CBY-PAYMENTS; DS-FIRM-FINANCE</x:v>
      </x:c>
      <x:c r="G185" s="24" t="str">
        <x:v>DS-REFORM-EVENTS; DS-FCP-ARCH</x:v>
      </x:c>
      <x:c r="H185" s="24" t="str">
        <x:v>DS-QUAL-EVIDENCE</x:v>
      </x:c>
      <x:c r="I185" s="24" t="str">
        <x:v>EVIDENCE_OBJECT → ACCESS/ACTIVITY/RULE/IMPLEMENTATION CLASS → OUTCOME_DISTANCE → ALLOWED CLAIM</x:v>
      </x:c>
      <x:c r="J185" s="24" t="str">
        <x:v>Direct outcome/evaluation evidence is sparse for several reform/activity pathways.</x:v>
      </x:c>
      <x:c r="K185" s="24" t="str">
        <x:v>/methodology + relevant domain</x:v>
      </x:c>
    </x:row>
    <x:row r="186">
      <x:c r="A186" s="24" t="str">
        <x:v>Q-023</x:v>
      </x:c>
      <x:c r="B186" s="24" t="str">
        <x:v>How can different stakeholders use the same evidence without YFSI pretending to perform their institutional role?</x:v>
      </x:c>
      <x:c r="C186" s="24" t="str">
        <x:v>Makes stakeholder utility and role boundaries explicit so this resource can serve regulators, providers, DFIs, researchers and the public without becoming an authority/rating system.</x:v>
      </x:c>
      <x:c r="D186" s="24" t="str">
        <x:v>DS-FINDEX-WB-OBS</x:v>
      </x:c>
      <x:c r="E186" s="24" t="str">
        <x:v>DS-PROVIDER-OBSERVABILITY</x:v>
      </x:c>
      <x:c r="F186" s="24" t="str">
        <x:v>DS-CBY-PAYMENTS; DS-FIRM-FINANCE</x:v>
      </x:c>
      <x:c r="G186" s="24" t="str">
        <x:v>DS-PRIMARY-AUTHORITY</x:v>
      </x:c>
      <x:c r="H186" s="24" t="str">
        <x:v>DS-STRATEGIC-INSIGHTS</x:v>
      </x:c>
      <x:c r="I186" s="24" t="str">
        <x:v>USER QUESTION → GOVERNED EVIDENCE → SAFE DECISION USE → EXPLICIT NON_ROLE</x:v>
      </x:c>
      <x:c r="J186" s="24" t="str">
        <x:v>Public identity must remain clear that CauseWay integrates and analyses evidence but does not issue regulatory/compliance findings.</x:v>
      </x:c>
      <x:c r="K186" s="24" t="str">
        <x:v>/ + /methodology</x:v>
      </x:c>
    </x:row>
    <x:row r="187">
      <x:c r="A187" s="24" t="str">
        <x:v>Q-024</x:v>
      </x:c>
      <x:c r="B187" s="24" t="str">
        <x:v>Which advanced analytical experiences genuinely add decision value and which should remain held?</x:v>
      </x:c>
      <x:c r="C187" s="24" t="str">
        <x:v>Stops innovation theatre by requiring novelty to pass evidence, denominator, causal, rights, usability and stakeholder tests.</x:v>
      </x:c>
      <x:c r="D187" s="24" t="str">
        <x:v>DS-FINDEX-PUBLIC-HISTORY</x:v>
      </x:c>
      <x:c r="E187" s="24" t="str">
        <x:v>DS-PROVIDER-OBSERVABILITY</x:v>
      </x:c>
      <x:c r="F187" s="24" t="str">
        <x:v>DS-CBY-PAYMENTS; DS-FIRM-FINANCE; DS-REMITTANCES</x:v>
      </x:c>
      <x:c r="G187" s="24" t="str">
        <x:v>DS-REFORM-EVENTS</x:v>
      </x:c>
      <x:c r="H187" s="24" t="str">
        <x:v>DS-MFI-TEMPORAL-SPINE</x:v>
      </x:c>
      <x:c r="I187" s="24" t="str">
        <x:v>ANALYTICAL IDEA → METHOD MINIMUM → CURRENT EVIDENCE STATE → VISUAL GRAMMAR → SELECT/HOLD</x:v>
      </x:c>
      <x:c r="J187" s="24" t="str">
        <x:v>Several attractive ideas remain held because unique-user, causal, geographic or flow-width conditions are not satisfied.</x:v>
      </x:c>
      <x:c r="K187" s="24" t="str">
        <x:v>/methodology + internal product governance</x:v>
      </x:c>
    </x:row>
    <x:row r="188">
      <x:c r="A188" s="24" t="str">
        <x:v>Q-025</x:v>
      </x:c>
      <x:c r="B188" s="24" t="str">
        <x:v>Which post-B0 canonical additions enter the next immutable package before B1?</x:v>
      </x:c>
      <x:c r="C188" s="24" t="str">
        <x:v>Creates an explicit evidence/content selection gate after D2 rather than silently shipping every new canonical object.</x:v>
      </x:c>
      <x:c r="D188" s="24" t="str">
        <x:v>DS-FINDEX-PUBLIC-HISTORY</x:v>
      </x:c>
      <x:c r="E188" s="24"/>
      <x:c r="F188" s="24"/>
      <x:c r="G188" s="24"/>
      <x:c r="H188" s="24" t="str">
        <x:v>DS-DEMAND-VINTAGE-LENS</x:v>
      </x:c>
      <x:c r="I188" s="24" t="str">
        <x:v>CANONICAL DELTA → PUBLICATION/RIGHTS → EDITORIAL TIER → PACKAGE SELECTION → NEW IMMUTABLE PACKAGE → B1</x:v>
      </x:c>
      <x:c r="J188" s="24" t="str">
        <x:v>Selected objects still require actual package compilation and implementation acceptance.</x:v>
      </x:c>
      <x:c r="K188" s="24" t="str">
        <x:v>internal build governance</x:v>
      </x:c>
    </x:row>
    <x:row r="189">
      <x:c r="A189" s="24" t="str">
        <x:v>Q-026</x:v>
      </x:c>
      <x:c r="B189" s="24" t="str">
        <x:v>How does YFSI compare with leading financial-inclusion measurement systems without becoming a copy of them?</x:v>
      </x:c>
      <x:c r="C189" s="24" t="str">
        <x:v>Uses benchmarks as method challenge while keeping Yemen evidence/source authority primary.</x:v>
      </x:c>
      <x:c r="D189" s="24"/>
      <x:c r="E189" s="24"/>
      <x:c r="F189" s="24"/>
      <x:c r="G189" s="24"/>
      <x:c r="H189" s="24" t="str">
        <x:v>DS-GLOBAL-BENCHMARK-CHALLENGE</x:v>
      </x:c>
      <x:c r="I189" s="24" t="str">
        <x:v>GLOBAL_METHOD → YEMEN_SOURCE_REALITY → ADOPT/EXCEED/HOLD</x:v>
      </x:c>
      <x:c r="J189" s="24" t="str">
        <x:v>Benchmarks cannot create missing Yemen observations.</x:v>
      </x:c>
      <x:c r="K189" s="24" t="str">
        <x:v>/methodology</x:v>
      </x:c>
    </x:row>
    <x:row r="190">
      <x:c r="A190" s="24" t="str">
        <x:v>Q-027</x:v>
      </x:c>
      <x:c r="B190" s="24" t="str">
        <x:v>How should YFSI relate to the institutions already working on financial inclusion, cash, livelihoods, infrastructure and macro stability in Yemen?</x:v>
      </x:c>
      <x:c r="C190" s="24" t="str">
        <x:v>Clarifies value-add and prevents institutional overreach.</x:v>
      </x:c>
      <x:c r="D190" s="24"/>
      <x:c r="E190" s="24" t="str">
        <x:v>DS-PROVIDER-OBSERVABILITY</x:v>
      </x:c>
      <x:c r="F190" s="24"/>
      <x:c r="G190" s="24" t="str">
        <x:v>DS-REFORM-EVENTS</x:v>
      </x:c>
      <x:c r="H190" s="24" t="str">
        <x:v>DS-YEMEN-ECOSYSTEM-ALIGNMENT</x:v>
      </x:c>
      <x:c r="I190" s="24" t="str">
        <x:v>ACTOR_ROLE → SOURCE_ROLE → YFSI_COMPLEMENT → NON_ROLE</x:v>
      </x:c>
      <x:c r="J190" s="24" t="str">
        <x:v>Partnership role cannot upgrade evidence state or authority.</x:v>
      </x:c>
      <x:c r="K190" s="24" t="str">
        <x:v>/ + /methodology</x:v>
      </x:c>
    </x:row>
    <x:row r="191">
      <x:c r="A191" s="24" t="str">
        <x:v>Q-028</x:v>
      </x:c>
      <x:c r="B191" s="24" t="str">
        <x:v>What does independent review require before an advanced analysis or visualization reaches the public interface?</x:v>
      </x:c>
      <x:c r="C191" s="24" t="str">
        <x:v>Creates three separate challenge lanes instead of one self-review.</x:v>
      </x:c>
      <x:c r="D191" s="24"/>
      <x:c r="E191" s="24"/>
      <x:c r="F191" s="24"/>
      <x:c r="G191" s="24"/>
      <x:c r="H191" s="24"/>
      <x:c r="I191" s="24" t="str">
        <x:v>FI_METHOD + DATA_SCIENCE + PUBLIC_INTEREST → CONSENSUS/HOLD → B1</x:v>
      </x:c>
      <x:c r="J191" s="24" t="str">
        <x:v>Passing one review lane cannot override a failure in another.</x:v>
      </x:c>
      <x:c r="K191" s="24" t="str">
        <x:v>internal / methodology</x:v>
      </x:c>
    </x:row>
    <x:row r="192">
      <x:c r="A192" s="24" t="str">
        <x:v>Q-029</x:v>
      </x:c>
      <x:c r="B192" s="24" t="str">
        <x:v>Is the current selected canonical delta compiled into an immutable package that can enter implementation?</x:v>
      </x:c>
      <x:c r="C192" s="24" t="str">
        <x:v>Closes the package integrity/rights/schema gap before B1.</x:v>
      </x:c>
      <x:c r="D192" s="24"/>
      <x:c r="E192" s="24"/>
      <x:c r="F192" s="24"/>
      <x:c r="G192" s="24"/>
      <x:c r="H192" s="24"/>
      <x:c r="I192" s="24" t="str">
        <x:v>SELECTION → ASSET MANIFEST → SCHEMA/SEMANTIC/RIGHTS TESTS → IMMUTABLE ZIP → IMPLEMENT</x:v>
      </x:c>
      <x:c r="J192" s="24" t="str">
        <x:v>Package PASS still does not equal B1 build acceptance.</x:v>
      </x:c>
      <x:c r="K192" s="24" t="str">
        <x:v>internal build governance</x:v>
      </x:c>
    </x:row>
    <x:row r="193">
      <x:c r="A193" s="24" t="str">
        <x:v>Q-030</x:v>
      </x:c>
      <x:c r="B193" s="24" t="str">
        <x:v>Have all legacy assets been either used, superseded, held or rejected — rather than silently ignored?</x:v>
      </x:c>
      <x:c r="C193" s="24" t="str">
        <x:v>Turns 'use all data' into an auditable legacy-coverage decision instead of indiscriminate ingestion.</x:v>
      </x:c>
      <x:c r="D193" s="24"/>
      <x:c r="E193" s="24"/>
      <x:c r="F193" s="24"/>
      <x:c r="G193" s="24"/>
      <x:c r="H193" s="24" t="str">
        <x:v>DS-LEGACY-COVERAGE; DS-LEGACY-RESCUE</x:v>
      </x:c>
      <x:c r="I193" s="24" t="str">
        <x:v>LEGACY_ASSET → CURRENT_AUTHORITY/METHOD_CHECK → ADMIT/SUPERSEDE/SALVAGE/HOLD/REJECT → NAMED_YFSI_DESTINATION</x:v>
      </x:c>
      <x:c r="J193" s="24" t="str">
        <x:v>Bayan 4 large archive remains only partially reviewable; some source candidates require primary/currentness/rights verification.</x:v>
      </x:c>
      <x:c r="K193" s="24" t="str">
        <x:v>internal governance</x:v>
      </x:c>
    </x:row>
    <x:row r="194">
      <x:c r="A194" s="24" t="str">
        <x:v>Q-031</x:v>
      </x:c>
      <x:c r="B194" s="24" t="str">
        <x:v>Does every priority audience have a recurring decision/job that YFSI can actually help with?</x:v>
      </x:c>
      <x:c r="C194" s="24" t="str">
        <x:v>Prevents stakeholder-name lists from masquerading as product strategy.</x:v>
      </x:c>
      <x:c r="D194" s="24"/>
      <x:c r="E194" s="24" t="str">
        <x:v>DS-CBY-DECISION-UTILITY</x:v>
      </x:c>
      <x:c r="F194" s="24"/>
      <x:c r="G194" s="24"/>
      <x:c r="H194" s="24" t="str">
        <x:v>DS-AUDIENCE-DECISION-PRODUCTS; DS-GOVT-DONOR-DECISION-ROOMS</x:v>
      </x:c>
      <x:c r="I194" s="24" t="str">
        <x:v>AUDIENCE → JOB_TO_BE_DONE → EVIDENCE_AVAILABLE → PRODUCT → NON_ROLE → ACCEPTANCE_TEST</x:v>
      </x:c>
      <x:c r="J194" s="24" t="str">
        <x:v>Some products require partner/primary data and cannot be fully public today.</x:v>
      </x:c>
      <x:c r="K194" s="24" t="str">
        <x:v>/ + /methodology</x:v>
      </x:c>
    </x:row>
    <x:row r="195">
      <x:c r="A195" s="24" t="str">
        <x:v>Q-032</x:v>
      </x:c>
      <x:c r="B195" s="24" t="str">
        <x:v>How can YFSI explain the economic cost of exclusion or no action without inventing a macro impact number?</x:v>
      </x:c>
      <x:c r="C195" s="24" t="str">
        <x:v>Creates useful plain-economics tools while separating arithmetic, scenarios, forecasts and causal counterfactuals.</x:v>
      </x:c>
      <x:c r="D195" s="24" t="str">
        <x:v>DS-FINDEX-PUBLIC-HISTORY</x:v>
      </x:c>
      <x:c r="E195" s="24"/>
      <x:c r="F195" s="24" t="str">
        <x:v>DS-FIRM-FINANCE; DS-REMITTANCES</x:v>
      </x:c>
      <x:c r="G195" s="24"/>
      <x:c r="H195" s="24" t="str">
        <x:v>DS-PUBLIC-ECONOMICS-LAB</x:v>
      </x:c>
      <x:c r="I195" s="24" t="str">
        <x:v>PUBLIC_QUESTION → MODEL_CLASS → INPUT_STATE → ASSUMPTION_LEDGER → ALLOWED_OUTPUT / FORBIDDEN_INFERENCE</x:v>
      </x:c>
      <x:c r="J195" s="24" t="str">
        <x:v>National GDP-loss/peace-dividend counterfactual remains HOLD absent separately validated causal model.</x:v>
      </x:c>
      <x:c r="K195" s="24" t="str">
        <x:v>/people + /firms + /payments + /methodology</x:v>
      </x:c>
    </x:row>
    <x:row r="196">
      <x:c r="A196" s="24" t="str">
        <x:v>Q-033</x:v>
      </x:c>
      <x:c r="B196" s="24" t="str">
        <x:v>Can a researcher cite, reproduce and audit a YFSI object without reverse-engineering the website?</x:v>
      </x:c>
      <x:c r="C196" s="24" t="str">
        <x:v>Moves YFSI toward journal-grade evidence infrastructure.</x:v>
      </x:c>
      <x:c r="D196" s="24" t="str">
        <x:v>DS-FINDEX-PUBLIC-HISTORY</x:v>
      </x:c>
      <x:c r="E196" s="24"/>
      <x:c r="F196" s="24"/>
      <x:c r="G196" s="24"/>
      <x:c r="H196" s="24" t="str">
        <x:v>DS-RESEARCH-REPRODUCIBILITY</x:v>
      </x:c>
      <x:c r="I196" s="24" t="str">
        <x:v>OBJECT_ID → SOURCE/VERSION → METHOD/DENOMINATOR → RIGHTS → MACHINE_DATA / RECIPE → CITATION / RELEASE_DIFF</x:v>
      </x:c>
      <x:c r="J196" s="24" t="str">
        <x:v>Raw or rights-restricted inputs cannot be redistributed merely for reproducibility.</x:v>
      </x:c>
      <x:c r="K196" s="24" t="str">
        <x:v>/data + /methodology + /evidence</x:v>
      </x:c>
    </x:row>
    <x:row r="197">
      <x:c r="A197" s="24" t="str">
        <x:v>Q-034</x:v>
      </x:c>
      <x:c r="B197" s="24" t="str">
        <x:v>What can YFSI provide to CBY leadership that is genuinely decision-useful without becoming a shadow supervisory system?</x:v>
      </x:c>
      <x:c r="C197" s="24" t="str">
        <x:v>Transforms public/authorized evidence into definition, currentness, gap and reform utilities while preserving CBY authority.</x:v>
      </x:c>
      <x:c r="D197" s="24" t="str">
        <x:v>DS-FINDEX-WB-OBS</x:v>
      </x:c>
      <x:c r="E197" s="24" t="str">
        <x:v>DS-PROVIDER-OBSERVABILITY</x:v>
      </x:c>
      <x:c r="F197" s="24" t="str">
        <x:v>DS-CBY-PAYMENTS</x:v>
      </x:c>
      <x:c r="G197" s="24" t="str">
        <x:v>DS-REFORM-EVENTS; DS-FCP-ARCH</x:v>
      </x:c>
      <x:c r="H197" s="24" t="str">
        <x:v>DS-CBY-DECISION-UTILITY</x:v>
      </x:c>
      <x:c r="I197" s="24" t="str">
        <x:v>PUBLIC_OR_AUTHORIZED_EVIDENCE → DECISION_QUESTION → DEFINITION/CURRENTNESS/GAP/STATE → DATA_REQUEST / BRIEF</x:v>
      </x:c>
      <x:c r="J197" s="24" t="str">
        <x:v>No supervisory finding, compliance certification, institution ranking or non-public operational assertion.</x:v>
      </x:c>
      <x:c r="K197" s="24" t="str">
        <x:v>/payments + /providers + /reforms + /evidence</x:v>
      </x:c>
    </x:row>
    <x:row r="198">
      <x:c r="A198" s="24" t="str">
        <x:v>Q-035</x:v>
      </x:c>
      <x:c r="B198" s="24" t="str">
        <x:v>How can CauseWay use YFSI in the live World Bank NFID Diagnostic opportunity without pretending the platform replaces the required primary study?</x:v>
      </x:c>
      <x:c r="C198" s="24" t="str">
        <x:v>Maps TOR workstreams to existing infrastructure, missing primary collection and secure delivery tools.</x:v>
      </x:c>
      <x:c r="D198" s="24" t="str">
        <x:v>DS-FINDEX-WB-OBS</x:v>
      </x:c>
      <x:c r="E198" s="24" t="str">
        <x:v>DS-PROVIDER-OBSERVABILITY</x:v>
      </x:c>
      <x:c r="F198" s="24" t="str">
        <x:v>DS-FIRM-FINANCE</x:v>
      </x:c>
      <x:c r="G198" s="24" t="str">
        <x:v>DS-REFORM-EVENTS; DS-FCP-ARCH</x:v>
      </x:c>
      <x:c r="H198" s="24" t="str">
        <x:v>DS-NFID-EOI-ALIGNMENT</x:v>
      </x:c>
      <x:c r="I198" s="24" t="str">
        <x:v>TOR_REQUIREMENT → EXISTING_YFSI_ASSET → NEW_PRIMARY_DATA_REQUIRED → BID/DELIVERY_TOOL → CONFIDENTIALITY_BOUNDARY</x:v>
      </x:c>
      <x:c r="J198" s="24" t="str">
        <x:v>FSP survey/interview evidence does not yet exist; assignment-confidential data must remain outside public YFSI unless approved for release.</x:v>
      </x:c>
      <x:c r="K198" s="24" t="str">
        <x:v>internal partnership / bid</x:v>
      </x:c>
    </x:row>
    <x:row r="199">
      <x:c r="A199" s="24" t="str">
        <x:v>Q-036</x:v>
      </x:c>
      <x:c r="B199" s="24" t="str">
        <x:v>Is the current B1 product expressing the analytical power of the canon clearly enough for people, researchers and decision-makers?</x:v>
      </x:c>
      <x:c r="C199" s="24" t="str">
        <x:v>Makes product usefulness an independent gate in addition to technical correctness.</x:v>
      </x:c>
      <x:c r="D199" s="24" t="str">
        <x:v>DS-FINDEX-PUBLIC-HISTORY</x:v>
      </x:c>
      <x:c r="E199" s="24" t="str">
        <x:v>DS-PROVIDER-OBSERVABILITY</x:v>
      </x:c>
      <x:c r="F199" s="24" t="str">
        <x:v>DS-CBY-PAYMENTS; DS-REMITTANCES</x:v>
      </x:c>
      <x:c r="G199" s="24" t="str">
        <x:v>DS-REFORM-EVENTS</x:v>
      </x:c>
      <x:c r="H199" s="24" t="str">
        <x:v>DS-B1-PRODUCT-CHALLENGE</x:v>
      </x:c>
      <x:c r="I199" s="24" t="str">
        <x:v>CANONICAL_POWER → CURRENT_RENDERED_PRODUCT → AUDIENCE_TASK_TEST → FIX/ELEVATE/HOLD</x:v>
      </x:c>
      <x:c r="J199" s="24" t="str">
        <x:v>B1 v0.3 fixes known state-label/borrowing defects but strategic audience-product testing remains open.</x:v>
      </x:c>
      <x:c r="K199" s="24" t="str">
        <x:v>internal / product</x:v>
      </x:c>
    </x:row>
    <x:row r="200">
      <x:c r="A200" s="24" t="str">
        <x:v>Q-037</x:v>
      </x:c>
      <x:c r="B200" s="24" t="str">
        <x:v>Can a public financial-inclusion tool be useful without turning assumptions into facts?</x:v>
      </x:c>
      <x:c r="C200" s="24" t="str">
        <x:v>Tests whether plain-economics calculators preserve model class, assumptions and causal boundaries.</x:v>
      </x:c>
      <x:c r="D200" s="24" t="str">
        <x:v>DS-FINDEX-PUBLIC-HISTORY</x:v>
      </x:c>
      <x:c r="E200" s="24"/>
      <x:c r="F200" s="24" t="str">
        <x:v>DS-REMITTANCES</x:v>
      </x:c>
      <x:c r="G200" s="24"/>
      <x:c r="H200" s="24" t="str">
        <x:v>DS-PUBLIC-ECONOMICS-IMPL</x:v>
      </x:c>
      <x:c r="I200" s="24" t="str">
        <x:v>USER_INPUT / ELIGIBLE_FACT → MODEL_CLASS → ASSUMPTION_LEDGER → ARITHMETIC/SCENARIO OUTPUT → EXPLICIT NON_CAUSAL BOUNDARY</x:v>
      </x:c>
      <x:c r="J200" s="24" t="str">
        <x:v>No validated national causal cost-of-exclusion model.</x:v>
      </x:c>
      <x:c r="K200" s="24" t="str">
        <x:v>/learn + /methodology</x:v>
      </x:c>
    </x:row>
    <x:row r="201">
      <x:c r="A201" s="24" t="str">
        <x:v>Q-038</x:v>
      </x:c>
      <x:c r="B201" s="24" t="str">
        <x:v>Can a researcher cite, download and audit the exact YFSI object without redistributing restricted source data?</x:v>
      </x:c>
      <x:c r="C201" s="24" t="str">
        <x:v>Converts research reproducibility from architecture into a tested product behavior.</x:v>
      </x:c>
      <x:c r="D201" s="24" t="str">
        <x:v>DS-FINDEX-PUBLIC-HISTORY</x:v>
      </x:c>
      <x:c r="E201" s="24"/>
      <x:c r="F201" s="24"/>
      <x:c r="G201" s="24"/>
      <x:c r="H201" s="24" t="str">
        <x:v>DS-RESEARCH-LAB-IMPL</x:v>
      </x:c>
      <x:c r="I201" s="24" t="str">
        <x:v>OBJECT_ID → SOURCE/PASSPORT → RIGHTS → CITATION / SAFE_EXPORT → RELEASE_VERSION</x:v>
      </x:c>
      <x:c r="J201" s="24" t="str">
        <x:v>Persistent R0 URLs, release diff and full derivation recipes remain open.</x:v>
      </x:c>
      <x:c r="K201" s="24" t="str">
        <x:v>/research + /data</x:v>
      </x:c>
    </x:row>
    <x:row r="202">
      <x:c r="A202" s="24" t="str">
        <x:v>Q-039</x:v>
      </x:c>
      <x:c r="B202" s="24" t="str">
        <x:v>Can CBY-facing decision utility improve definitions and evidence readiness without imitating supervision?</x:v>
      </x:c>
      <x:c r="C202" s="24" t="str">
        <x:v>Tests the strongest institutional value proposition against the permanent non-authority boundary.</x:v>
      </x:c>
      <x:c r="D202" s="24"/>
      <x:c r="E202" s="24" t="str">
        <x:v>DS-PROVIDER-OBSERVABILITY</x:v>
      </x:c>
      <x:c r="F202" s="24" t="str">
        <x:v>DS-CBY-PAYMENTS</x:v>
      </x:c>
      <x:c r="G202" s="24" t="str">
        <x:v>DS-FCP-ARCH; DS-REFORM-EVENTS</x:v>
      </x:c>
      <x:c r="H202" s="24" t="str">
        <x:v>DS-CBY-UTILITY-IMPL</x:v>
      </x:c>
      <x:c r="I202" s="24" t="str">
        <x:v>PUBLIC/AUTHORIZED EVIDENCE → DEFINITION/CURRENTNESS/UNIVERSE GAP → DATA SPEC/KPI CONTRACT → DECISION SUPPORT</x:v>
      </x:c>
      <x:c r="J202" s="24" t="str">
        <x:v>Authorized operational/provider data remain absent; no supervisory conclusion allowed.</x:v>
      </x:c>
      <x:c r="K202" s="24" t="str">
        <x:v>/decision/cby + /payments + /providers</x:v>
      </x:c>
    </x:row>
    <x:row r="203">
      <x:c r="A203" s="24" t="str">
        <x:v>Q-040</x:v>
      </x:c>
      <x:c r="B203" s="24" t="str">
        <x:v>Is the NFID primary-data architecture ready to collect new evidence without contaminating public YFSI with confidential project data?</x:v>
      </x:c>
      <x:c r="C203" s="24" t="str">
        <x:v>Makes the procurement opportunity a secure data-design test rather than a reason to overclaim existing coverage.</x:v>
      </x:c>
      <x:c r="D203" s="24"/>
      <x:c r="E203" s="24" t="str">
        <x:v>DS-PROVIDER-OBSERVABILITY</x:v>
      </x:c>
      <x:c r="F203" s="24" t="str">
        <x:v>DS-FIRM-FINANCE</x:v>
      </x:c>
      <x:c r="G203" s="24" t="str">
        <x:v>DS-FCP-ARCH; DS-REFORM-EVENTS</x:v>
      </x:c>
      <x:c r="H203" s="24" t="str">
        <x:v>DS-NFID-SECURE-ARCH</x:v>
      </x:c>
      <x:c r="I203" s="24" t="str">
        <x:v>TOR → MODULE/FIELD/VALIDATION → SECURE RESPONSE WORKSPACE → ANALYSIS/VALIDATION → APPROVED AGGREGATE/PUBLICATION GATE</x:v>
      </x:c>
      <x:c r="J203" s="24" t="str">
        <x:v>No FSP/interview responses exist; award/clarifications/security terms may change requirements.</x:v>
      </x:c>
      <x:c r="K203" s="24" t="str">
        <x:v>internal secure project / bid</x:v>
      </x:c>
    </x:row>
    <x:row r="204">
      <x:c r="A204" s="24" t="str">
        <x:v>Q-041</x:v>
      </x:c>
      <x:c r="B204" s="24" t="str">
        <x:v>Has B1 v0.4 earned promotion from concept to a controlled production candidate?</x:v>
      </x:c>
      <x:c r="C204" s="24" t="str">
        <x:v>Joins static QA, browser runtime, asset hashes and visual review into one implementation gate.</x:v>
      </x:c>
      <x:c r="D204" s="24"/>
      <x:c r="E204" s="24"/>
      <x:c r="F204" s="24"/>
      <x:c r="G204" s="24"/>
      <x:c r="H204" s="24" t="str">
        <x:v>DS-B1-V04-ASSET-MANIFEST</x:v>
      </x:c>
      <x:c r="I204" s="24" t="str">
        <x:v>IMMUTABLE ASSETS → STATIC QA → CHROMIUM QA → VISUAL QA → PASS/REOPEN → NEXT PRODUCTION INCREMENT</x:v>
      </x:c>
      <x:c r="J204" s="24" t="str">
        <x:v>External task/usability testing, full accessibility matrix and R0 remain open.</x:v>
      </x:c>
      <x:c r="K204" s="24" t="str">
        <x:v>internal build governance</x:v>
      </x:c>
    </x:row>
    <x:row r="205">
      <x:c r="A205" s="24" t="str">
        <x:v>Q-042</x:v>
      </x:c>
      <x:c r="B205" s="24" t="str">
        <x:v>Can every declared public/launch object be compiled without bypassing publication, provenance, rights, semantic or HOLD controls?</x:v>
      </x:c>
      <x:c r="C205" s="24" t="str">
        <x:v>Turns release eligibility into an executable object compiler rather than a collection of disconnected spreadsheets.</x:v>
      </x:c>
      <x:c r="D205" s="24"/>
      <x:c r="E205" s="24"/>
      <x:c r="F205" s="24"/>
      <x:c r="G205" s="24"/>
      <x:c r="H205" s="24" t="str">
        <x:v>DS-FULL-LAUNCH-COMPILER</x:v>
      </x:c>
      <x:c r="I205" s="24" t="str">
        <x:v>PUBLICATION_ELIGIBILITY → PASSPORT/TRACEABILITY → ROUTE/LAUNCH → COMPILER_ACTION → FAIL_CLOSED_PACKAGE</x:v>
      </x:c>
      <x:c r="J205" s="24" t="str">
        <x:v>Full frontend implementation and Arabic authoring remain open.</x:v>
      </x:c>
      <x:c r="K205" s="24" t="str">
        <x:v>internal compiler / methodology</x:v>
      </x:c>
    </x:row>
    <x:row r="206">
      <x:c r="A206" s="24" t="str">
        <x:v>Q-043</x:v>
      </x:c>
      <x:c r="B206" s="24" t="str">
        <x:v>Can the full launch package be consumed by routes without hand-copying evidence or creating route drift?</x:v>
      </x:c>
      <x:c r="C206" s="24" t="str">
        <x:v>Binds immutable release input to governed route contracts and makes missing route state a build failure.</x:v>
      </x:c>
      <x:c r="D206" s="24"/>
      <x:c r="E206" s="24"/>
      <x:c r="F206" s="24"/>
      <x:c r="G206" s="24"/>
      <x:c r="H206" s="24" t="str">
        <x:v>DS-ROUTE-OBJECT-BINDINGS</x:v>
      </x:c>
      <x:c r="I206" s="24" t="str">
        <x:v>IMMUTABLE_PACKAGE → ROUTE_CONTRACT → OBJECT_BINDING → COMPONENT_RENDER / HOLD_GAP</x:v>
      </x:c>
      <x:c r="J206" s="24" t="str">
        <x:v>Binding contract exists; B1 full frontend implementation is next.</x:v>
      </x:c>
      <x:c r="K206" s="24" t="str">
        <x:v>internal build governance</x:v>
      </x:c>
    </x:row>
    <x:row r="207">
      <x:c r="A207" s="24" t="str">
        <x:v>Q-044</x:v>
      </x:c>
      <x:c r="B207" s="24" t="str">
        <x:v>Is bilingual expansion governed object-by-object rather than treated as a final translation pass?</x:v>
      </x:c>
      <x:c r="C207" s="24" t="str">
        <x:v>Makes Arabic a release gate while preserving one language-neutral factual/evidence object.</x:v>
      </x:c>
      <x:c r="D207" s="24" t="str">
        <x:v>DS-FINDEX-PUBLIC-HISTORY</x:v>
      </x:c>
      <x:c r="E207" s="24"/>
      <x:c r="F207" s="24"/>
      <x:c r="G207" s="24"/>
      <x:c r="H207" s="24" t="str">
        <x:v>DS-BILINGUAL-AUTHORING-GATE</x:v>
      </x:c>
      <x:c r="I207" s="24" t="str">
        <x:v>CANONICAL_OBJECT → NATIVE_AR_AUTHORING → TERMINOLOGY_QA → EVIDENCE_INVARIANCE → BROWSER_QA</x:v>
      </x:c>
      <x:c r="J207" s="24" t="str">
        <x:v>Non-P0 Arabic claim narratives are not fully authored yet; R0 remains blocked.</x:v>
      </x:c>
      <x:c r="K207" s="24" t="str">
        <x:v>Arabic full-route implementation</x:v>
      </x:c>
    </x:row>
    <x:row r="208">
      <x:c r="A208" s="24" t="str">
        <x:v>Q-045</x:v>
      </x:c>
      <x:c r="B208" s="24" t="str">
        <x:v>Has the canonical evidence/product system reached the point where full B1 frontend implementation can proceed without reopening evidence truth?</x:v>
      </x:c>
      <x:c r="C208" s="24" t="str">
        <x:v>Joins publication completeness, package integrity, routes, HOLD behavior and bilingual gating into one next-lane decision.</x:v>
      </x:c>
      <x:c r="D208" s="24"/>
      <x:c r="E208" s="24"/>
      <x:c r="F208" s="24"/>
      <x:c r="G208" s="24"/>
      <x:c r="H208" s="24" t="str">
        <x:v>DS-V022-RECON-GATE</x:v>
      </x:c>
      <x:c r="I208" s="24" t="str">
        <x:v>CANONICAL_TRUTH → FULL_LAUNCH_COMPILER → IMMUTABLE_PACKAGE → B1_FULL_IMPLEMENTATION</x:v>
      </x:c>
      <x:c r="J208" s="24" t="str">
        <x:v>Audience task acceptance, full accessibility/device regression and R0 remain open.</x:v>
      </x:c>
      <x:c r="K208" s="24" t="str">
        <x:v>internal release control</x:v>
      </x:c>
    </x:row>
    <x:row r="209">
      <x:c r="A209" s="24" t="str">
        <x:v>Q-046</x:v>
      </x:c>
      <x:c r="B209" s="24" t="str">
        <x:v>How much is remitted to Yemen, and why do credible estimates differ?</x:v>
      </x:c>
      <x:c r="C209" s="24" t="str">
        <x:v>Prevents a false single-number baseline and identifies conclusions robust to method/scope.</x:v>
      </x:c>
      <x:c r="D209" s="24" t="str">
        <x:v>Household/remittance context</x:v>
      </x:c>
      <x:c r="E209" s="24"/>
      <x:c r="F209" s="24" t="str">
        <x:v>CBY/IMF/CCY flows</x:v>
      </x:c>
      <x:c r="G209" s="24"/>
      <x:c r="H209" s="24" t="str">
        <x:v>World Bank/IGC history</x:v>
      </x:c>
      <x:c r="I209" s="24" t="str">
        <x:v>REGIME → COMPONENT_METHOD → SCOPE → MODEL/OBSERVATION → RESIDUAL → ROBUST_CONCLUSION</x:v>
      </x:c>
      <x:c r="J209" s="24" t="str">
        <x:v>Exact remittance formula/CBY scope crosswalk.</x:v>
      </x:c>
      <x:c r="K209" s="24" t="str">
        <x:v>/remittances + /evidence/compare</x:v>
      </x:c>
    </x:row>
    <x:row r="210">
      <x:c r="A210" s="24" t="str">
        <x:v>Q-047</x:v>
      </x:c>
      <x:c r="B210" s="24" t="str">
        <x:v>Can CBY and IMF external-sector tables be converted into each other?</x:v>
      </x:c>
      <x:c r="C210" s="24" t="str">
        <x:v>Answers the crosswalk question component-by-component rather than with an invented scalar.</x:v>
      </x:c>
      <x:c r="D210" s="24"/>
      <x:c r="E210" s="24"/>
      <x:c r="F210" s="24" t="str">
        <x:v>CBY/IMF BOP components</x:v>
      </x:c>
      <x:c r="G210" s="24"/>
      <x:c r="H210" s="24" t="str">
        <x:v>IMF method history</x:v>
      </x:c>
      <x:c r="I210" s="24" t="str">
        <x:v>COMPONENT → CONCEPT → SIGN → SOURCE → TRANSFORM → GEOGRAPHY → COMPARABILITY_CLASS</x:v>
      </x:c>
      <x:c r="J210" s="24" t="str">
        <x:v>Detailed mission crosswalk and financial-account mapping.</x:v>
      </x:c>
      <x:c r="K210" s="24" t="str">
        <x:v>/external-sector + /methodology</x:v>
      </x:c>
    </x:row>
    <x:row r="211">
      <x:c r="A211" s="24" t="str">
        <x:v>Q-048</x:v>
      </x:c>
      <x:c r="B211" s="24" t="str">
        <x:v>How should Yemen's external-flow uncertainty change a decision?</x:v>
      </x:c>
      <x:c r="C211" s="24" t="str">
        <x:v>Makes E&amp;O and stock-flow reconciliation visible before precise flow ranking.</x:v>
      </x:c>
      <x:c r="D211" s="24"/>
      <x:c r="E211" s="24"/>
      <x:c r="F211" s="24" t="str">
        <x:v>BOP/IIP/residual evidence</x:v>
      </x:c>
      <x:c r="G211" s="24"/>
      <x:c r="H211" s="24" t="str">
        <x:v>BPM standard</x:v>
      </x:c>
      <x:c r="I211" s="24" t="str">
        <x:v>FLOW → RESIDUAL_SCALE → COMPONENT_RECON → STOCK_FLOW_TEST → CONFIDENCE_BOUNDARY</x:v>
      </x:c>
      <x:c r="J211" s="24" t="str">
        <x:v>Component-level E&amp;O and IIP reconciliation inputs.</x:v>
      </x:c>
      <x:c r="K211" s="24" t="str">
        <x:v>/external-sector + /evidence</x:v>
      </x:c>
    </x:row>
    <x:row r="212">
      <x:c r="A212" s="24" t="str">
        <x:v>Q-049</x:v>
      </x:c>
      <x:c r="B212" s="24" t="str">
        <x:v>When does a cash payment become durable financial inclusion?</x:v>
      </x:c>
      <x:c r="C212" s="24" t="str">
        <x:v>Separates delivery success from persistent active use and outcome.</x:v>
      </x:c>
      <x:c r="D212" s="24" t="str">
        <x:v>Programme/household evidence</x:v>
      </x:c>
      <x:c r="E212" s="24" t="str">
        <x:v>Rail/provider evidence</x:v>
      </x:c>
      <x:c r="F212" s="24" t="str">
        <x:v>Cash/payment evidence</x:v>
      </x:c>
      <x:c r="G212" s="24" t="str">
        <x:v>Project/regulatory state</x:v>
      </x:c>
      <x:c r="H212" s="24" t="str">
        <x:v>CCY/REACH/WB context</x:v>
      </x:c>
      <x:c r="I212" s="24" t="str">
        <x:v>DELIVERY → USABILITY → RESILIENCE → LINKAGES → FORMAL_ACCESS → DURABLE_USE → OUTCOME</x:v>
      </x:c>
      <x:c r="J212" s="24" t="str">
        <x:v>Longitudinal post-transfer transaction data.</x:v>
      </x:c>
      <x:c r="K212" s="24" t="str">
        <x:v>/cash + /people + /payments</x:v>
      </x:c>
    </x:row>
    <x:row r="213">
      <x:c r="A213" s="24" t="str">
        <x:v>Q-050</x:v>
      </x:c>
      <x:c r="B213" s="24" t="str">
        <x:v>How does Saudi support move from announcement to economic use?</x:v>
      </x:c>
      <x:c r="C213" s="24" t="str">
        <x:v>Prevents double count and distinguishes fiscal, reserve, import-finance and project channels.</x:v>
      </x:c>
      <x:c r="D213" s="24"/>
      <x:c r="E213" s="24"/>
      <x:c r="F213" s="24" t="str">
        <x:v>Budget/deposit/auction flows</x:v>
      </x:c>
      <x:c r="G213" s="24"/>
      <x:c r="H213" s="24" t="str">
        <x:v>AidData history</x:v>
      </x:c>
      <x:c r="I213" s="24" t="str">
        <x:v>PLEDGE/COMMITMENT → CUSTODY/AGREEMENT → AVAILABLE/DISBURSED → AUCTION/IN_KIND/PROJECT_USE</x:v>
      </x:c>
      <x:c r="J213" s="24" t="str">
        <x:v>Reconciled parent-package/tranche/disbursement ledger.</x:v>
      </x:c>
      <x:c r="K213" s="24" t="str">
        <x:v>/external-support + /system</x:v>
      </x:c>
    </x:row>
  </x:sheetData>
  <x:mergeCells>
    <x:mergeCell ref="A1:N1"/>
    <x:mergeCell ref="A2:N2"/>
    <x:mergeCell ref="A4:K4"/>
    <x:mergeCell ref="A40:I40"/>
    <x:mergeCell ref="A106:H106"/>
    <x:mergeCell ref="A150:N150"/>
    <x:mergeCell ref="A162:K162"/>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row>
    <x:row r="6">
      <x:c r="A6" s="24" t="str">
        <x:v>EP-CBY-POS-MONTHLY</x:v>
      </x:c>
      <x:c r="B6" s="24" t="str">
        <x:v>Series</x:v>
      </x:c>
      <x:c r="C6" s="24" t="str">
        <x:v>POS monthly observations</x:v>
      </x:c>
      <x:c r="D6" s="24" t="str">
        <x:v>Central Bank of Yemen — Aden</x:v>
      </x:c>
      <x:c r="E6" s="24" t="str">
        <x:v>IND-0002/0003/0004</x:v>
      </x:c>
      <x:c r="F6" s="24" t="str">
        <x:v>Mar-2025–Jan-2026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A smaller source-internal mismatch also appears in June 2025: 733→791 terminals imply approximately +7.91%, while the June graphic displays +7.6%.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discrepancies prominently; retain the June 2025 mismatch in the evidence detail/method note. Keep the September 2025 gap only on the YER transaction-value series, not on terminal counts.</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row>
    <x:row r="9">
      <x:c r="A9" s="24" t="str">
        <x:v>EP-FIRM-2022</x:v>
      </x:c>
      <x:c r="B9" s="24" t="str">
        <x:v>Survey</x:v>
      </x:c>
      <x:c r="C9" s="24" t="str">
        <x:v>Formal enterprise finance evidence</x:v>
      </x:c>
      <x:c r="D9" s="24" t="str">
        <x:v>World Bank 2022 custom enterprise survey</x:v>
      </x:c>
      <x:c r="E9" s="24" t="str">
        <x:v>FFM-001..007</x:v>
      </x:c>
      <x:c r="F9" s="24" t="str">
        <x:v>2022-09</x:v>
      </x:c>
      <x:c r="G9" s="24" t="str">
        <x:v>Formal enterprises in seven selected governorates</x:v>
      </x:c>
      <x:c r="H9" s="24" t="str">
        <x:v>Custom enterprise survey</x:v>
      </x:c>
      <x:c r="I9" s="24" t="str">
        <x:v>Not national; some tables have small conditional denominators; obstacle tabulation has filtered denominator</x:v>
      </x:c>
      <x:c r="J9" s="24" t="str">
        <x:v>PRIMARY_SURVEY</x:v>
      </x:c>
      <x:c r="K9" s="24" t="str">
        <x:v>/firms/</x:v>
      </x:c>
      <x:c r="L9" s="24" t="str">
        <x:v>Every chart shows sample/universe/denominator.</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named entity or branch type, action, annual-roster context and the fact that current operation requires entity-level reconciliation.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160</x:v>
      </x:c>
      <x:c r="D15" s="24" t="n">
        <x:v>160</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82</x:v>
      </x:c>
      <x:c r="D19" s="24" t="n">
        <x:f>COUNTA('19_PAYMENTS_DATA'!A5:A200)</x:f>
        <x:v>82</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