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143</x:v>
      </x:c>
      <x:c r="C14" s="23" t="n">
        <x:v>143</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574</x:v>
      </x:c>
      <x:c r="C15" s="23" t="n">
        <x:v>574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10</x:v>
      </x:c>
      <x:c r="C19" s="23" t="n">
        <x:v>10</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23</x:v>
      </x:c>
      <x:c r="C23" s="23" t="n">
        <x:v>23</x:v>
      </x:c>
    </x:row>
    <x:row r="24">
      <x:c r="A24" s="23" t="str">
        <x:v>Sources</x:v>
      </x:c>
      <x:c r="B24" s="23" t="n">
        <x:v>165</x:v>
      </x:c>
      <x:c r="C24" s="23" t="n">
        <x:v>165</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التحويلات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التحويلات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التحويلات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نعرف أجزاءً من شبكة الوصول إلى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إتاحة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إتاحة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As checked on 3 October 2026, the most recent representative observation of account ownership in Yemen published by the World Bank was 11.9% (Global Findex 2021; fieldwork 2022–23).</x:v>
      </x:c>
      <x:c r="H11" s="28" t="str">
        <x:v>عند الاطلاع في 3 أكتوبر 2026، كانت أحدث مشاهدة ممثلة نشرها البنك الدولي لامتلاك الحساب في اليمن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 of men and 5.4% of women aged 15+ in the areas surveyed had an account.</x:v>
      </x:c>
      <x:c r="H12" s="28" t="str">
        <x:v>في موجة 2021 من Global Findex لليمن (العمل الميداني 2022–2023)، كان لدى 18.3% من الرجال و5.4%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reported history, the 2025 estimate and 2026–2030 projections separate; they are not a whole-of-Yemen figure.</x:v>
      </x:c>
      <x:c r="H17" s="28" t="str">
        <x:v>تفصل أرقام صندوق النقد الدولي للتحويلات الواردة بين القيم التاريخية المنشورة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7 November 2022 to 9 January 2023; all population estimates require survey weights.</x:v>
      </x:c>
      <x:c r="H33" s="28" t="str">
        <x:v>يصف هذا السجل ملف دراسة اليمن ضمن موجة Findex 2021، المنفذة ميدانيًا من 7 نوفمبر 2022 إلى 9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Global Findex 2021 wave for Yemen excludes Al Baydaa, Al Jawf, Mareb, Sadah, Socotra and several districts elsewhere: areas with about 23% of the population.</x:v>
      </x:c>
      <x:c r="H35" s="28" t="str">
        <x:v>تستبعد موجة Findex 2021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Demand-side measures are specified across access, barriers, digital use, saving, borrowing and resilience; custom weighted estimates are not yet published.</x:v>
      </x:c>
      <x:c r="H36" s="28" t="str">
        <x:v>حُدِّدت مقاييس جانب الطلب للوصول والعوائق والاستخدام الرقمي والادخار والاقتراض والصمود؛ ولم تُنشر التقديرات الموزونة المخصصة بعد.</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account ownership is measured for 2022; use, saving, borrowing and domestic remittances centre on 2014.</x:v>
      </x:c>
      <x:c r="H41" s="28" t="str">
        <x:v>لا توجد سنة حديثة واحدة لأدلة الأفراد: أحدث قياس لامتلاك الحساب يعود إلى 2022، بينما تتركز أدلة الاستخدام والادخار والاقتراض والحوالات المحلية في 2014.</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للتحويلات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التحويلات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للتحويلات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التحويلات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التحويلات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التحويلات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التحويلات بإسناد فرق متبقٍّ مفترض إليها؛ وهو نموذج بديل، لا خط الأساس المعتمد للتحويلات.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16 July 2026 IMF staff and the Yemeni authorities announced staff-level agreement on a proposed Staff-Monitored Program, subject to Management approval.</x:v>
      </x:c>
      <x:c r="H59" s="28" t="str">
        <x:v>في 16 يوليو 2026 أعلن خبراء صندوق النقد الدولي والسلطات اليمنية اتفاقًا على مستوى الخبراء بشأن برنامج مقترح يراقبه الخبراء، رهنًا بموافقة الإدارة.</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Al-Kuraimi; the figure is not a verified 2023 depositor stock share.</x:v>
      </x:c>
      <x:c r="H66" s="28" t="str">
        <x:v>تنسب ورقة مركز صنعاء لعام 2024 إلى الكريمي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Support and disbursement figures reported by the Small and Micro Enterprise Promotion Service (SMEPS) describe the programme, not all MSMEs in Yemen.</x:v>
      </x:c>
      <x:c r="H69" s="28" t="str">
        <x:v>أرقام الدعم والصرف التي تفيد بها وكالة تنمية المنشآت الصغيرة والأصغر (SMEPS) تصف البرنامج،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2021 wave, keeping publishable values apart from pending ones.</x:v>
      </x:c>
      <x:c r="H73" s="28" t="str">
        <x:v>تربط خريطة قابلية المقارنة هذه مقاييس Findex التاريخية لليمن بمقاييس موجة 2021، مع الفصل بين القيم القابلة للنشر والمقاييس التي لم تُستكمل حساباتها.</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/evidence/PSE-011/</x:v>
      </x:c>
      <x:c r="B78" s="24" t="str">
        <x:v>evidence_detail</x:v>
      </x:c>
      <x:c r="C78" s="24" t="str">
        <x:v>/evidence/[id]</x:v>
      </x:c>
      <x:c r="D78" s="24" t="str">
        <x:v>PSE-011</x:v>
      </x:c>
      <x:c r="E78" s="24"/>
      <x:c r="F78" s="28"/>
      <x:c r="G78" s="24" t="str">
        <x:v>Decision No. 9 of 2026 of the Central Bank of Yemen – Aden, dated 21 May 2026, suspends a remittance agent's licence in Tuban, Lahj, and closes its office.</x:v>
      </x:c>
      <x:c r="H78" s="28" t="str">
        <x:v>يعلّق قرار البنك المركزي اليمني – عدن رقم 9 لسنة 2026، المؤرخ في 21 مايو 2026، ترخيص وكيل حوالات في تُبن، لحج، ويقضي بإغلاق مقره.</x:v>
      </x:c>
    </x:row>
    <x:row r="79">
      <x:c r="A79" s="24" t="str">
        <x:v>/evidence/QUAL-001/</x:v>
      </x:c>
      <x:c r="B79" s="24" t="str">
        <x:v>evidence_detail</x:v>
      </x:c>
      <x:c r="C79" s="24" t="str">
        <x:v>/evidence/[id]</x:v>
      </x:c>
      <x:c r="D79" s="24" t="str">
        <x:v>QUAL-001</x:v>
      </x:c>
      <x:c r="E79" s="24"/>
      <x:c r="F79" s="28"/>
      <x:c r="G79" s="24" t="str">
        <x:v>The OECD links fragmented institutions, supervisory gaps and weak formal access to financial-sector fragility and low trust: a qualitative interpretation.</x:v>
      </x:c>
      <x:c r="H79" s="28" t="str">
        <x:v>تربط منظمة التعاون الاقتصادي والتنمية (OECD) تفتت المؤسسات وفجوات الرقابة وضعف الوصول الرسمي بهشاشة القطاع المالي وانخفاض الثقة: تفسير نوعي.</x:v>
      </x:c>
    </x:row>
    <x:row r="80">
      <x:c r="A80" s="24" t="str">
        <x:v>/evidence/VIS-BORROWING-SOURCES-2014/</x:v>
      </x:c>
      <x:c r="B80" s="24" t="str">
        <x:v>evidence_detail</x:v>
      </x:c>
      <x:c r="C80" s="24" t="str">
        <x:v>/evidence/[id]</x:v>
      </x:c>
      <x:c r="D80" s="24" t="str">
        <x:v>VIS-BORROWING-SOURCES-2014</x:v>
      </x:c>
      <x:c r="E80" s="24"/>
      <x:c r="F80" s="28"/>
      <x:c r="G80" s="24" t="str">
        <x:v>In 2014, 65.9% of adults reported borrowing any money; the sources overlap, so shares by source cannot be added up or read as shares of borrowers.</x:v>
      </x:c>
      <x:c r="H80" s="28" t="str">
        <x:v>في 2014 أفاد 65.9% من البالغين بأنهم اقترضوا أي مبلغ؛ والمصادر متداخلة، فلا تُجمع حصصها ولا تُقرأ حصصًا من المقترضين.</x:v>
      </x:c>
    </x:row>
    <x:row r="81">
      <x:c r="A81" s="24" t="str">
        <x:v>/evidence/VIS-CAPITAL-CONTEXT/</x:v>
      </x:c>
      <x:c r="B81" s="24" t="str">
        <x:v>evidence_detail</x:v>
      </x:c>
      <x:c r="C81" s="24" t="str">
        <x:v>/evidence/[id]</x:v>
      </x:c>
      <x:c r="D81" s="24" t="str">
        <x:v>VIS-CAPITAL-CONTEXT</x:v>
      </x:c>
      <x:c r="E81" s="24"/>
      <x:c r="F81" s="28"/>
      <x:c r="G81" s="24" t="str">
        <x:v>Humanitarian, development, project and financial-institution finance are kept as separate pathways; this record reports no amounts and no inclusion total.</x:v>
      </x:c>
      <x:c r="H81"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2">
      <x:c r="A82" s="24" t="str">
        <x:v>/evidence/VIS-DEMAND-VINTAGE-LADDER/</x:v>
      </x:c>
      <x:c r="B82" s="24" t="str">
        <x:v>evidence_detail</x:v>
      </x:c>
      <x:c r="C82" s="24" t="str">
        <x:v>/evidence/[id]</x:v>
      </x:c>
      <x:c r="D82" s="24" t="str">
        <x:v>VIS-DEMAND-VINTAGE-LADDER</x:v>
      </x:c>
      <x:c r="E82" s="24"/>
      <x:c r="F82" s="28"/>
      <x:c r="G82" s="24" t="str">
        <x:v>As checked on 3 October 2026, the latest weighted evidence on people differs by function: account ownership from the 2021 Findex wave; saving, borrowing and domestic remittances from 2014.</x:v>
      </x:c>
      <x:c r="H82" s="28" t="str">
        <x:v>عند الاطلاع في 3 أكتوبر 2026، كان أحدث دليل موزون عن الأفراد يختلف بحسب الوظيفة: امتلاك الحساب من موجة Findex 2021، والادخار والاقتراض والحوالات المحلية من 2014.</x:v>
      </x:c>
    </x:row>
    <x:row r="83">
      <x:c r="A83" s="24" t="str">
        <x:v>/evidence/VIS-DOMESTIC-REMITTANCE-PATH-2014/</x:v>
      </x:c>
      <x:c r="B83" s="24" t="str">
        <x:v>evidence_detail</x:v>
      </x:c>
      <x:c r="C83" s="24" t="str">
        <x:v>/evidence/[id]</x:v>
      </x:c>
      <x:c r="D83" s="24" t="str">
        <x:v>VIS-DOMESTIC-REMITTANCE-PATH-2014</x:v>
      </x:c>
      <x:c r="E83" s="24"/>
      <x:c r="F83" s="28"/>
      <x:c r="G83" s="24"/>
      <x:c r="H83" s="28"/>
    </x:row>
    <x:row r="84">
      <x:c r="A84" s="24" t="str">
        <x:v>/evidence/VIS-E-MONEY-RULE-STACK/</x:v>
      </x:c>
      <x:c r="B84" s="24" t="str">
        <x:v>evidence_detail</x:v>
      </x:c>
      <x:c r="C84" s="24" t="str">
        <x:v>/evidence/[id]</x:v>
      </x:c>
      <x:c r="D84" s="24" t="str">
        <x:v>VIS-E-MONEY-RULE-STACK</x:v>
      </x:c>
      <x:c r="E84" s="24"/>
      <x:c r="F84" s="28"/>
      <x:c r="G84" s="24" t="str">
        <x:v>Mobile e-money rules of the Central Bank of Yemen – Aden come in layers: August 2023 instructions and a July 2025 amendment on currencies and ceilings.</x:v>
      </x:c>
      <x:c r="H84" s="28" t="str">
        <x:v>تتكون قواعد النقود الإلكترونية لدى البنك المركزي اليمني – عدن من طبقات: تعليمات أغسطس 2023، وتعديل يوليو 2025 بشأن العملات والسقوف.</x:v>
      </x:c>
    </x:row>
    <x:row r="85">
      <x:c r="A85" s="24" t="str">
        <x:v>/evidence/VIS-EVIDENCE-CLASS-LADDER/</x:v>
      </x:c>
      <x:c r="B85" s="24" t="str">
        <x:v>evidence_detail</x:v>
      </x:c>
      <x:c r="C85" s="24" t="str">
        <x:v>/evidence/[id]</x:v>
      </x:c>
      <x:c r="D85" s="24" t="str">
        <x:v>VIS-EVIDENCE-CLASS-LADDER</x:v>
      </x:c>
      <x:c r="E85" s="24"/>
      <x:c r="F85" s="28"/>
      <x:c r="G85" s="24" t="str">
        <x:v>Evidence falls into types, from weighted population measures to reform stages, each supporting different conclusions; the types are not a ranking of truth.</x:v>
      </x:c>
      <x:c r="H85"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6">
      <x:c r="A86" s="24" t="str">
        <x:v>/evidence/VIS-EVIDENCE-FRESHNESS/</x:v>
      </x:c>
      <x:c r="B86" s="24" t="str">
        <x:v>evidence_detail</x:v>
      </x:c>
      <x:c r="C86" s="24" t="str">
        <x:v>/evidence/[id]</x:v>
      </x:c>
      <x:c r="D86" s="24" t="str">
        <x:v>VIS-EVIDENCE-FRESHNESS</x:v>
      </x:c>
      <x:c r="E86" s="24"/>
      <x:c r="F86" s="28"/>
      <x:c r="G86" s="24" t="str">
        <x:v>Evidence dates differ by domain: several payments and regulatory observations date from 2025–2026, while key representative evidence about people is older.</x:v>
      </x:c>
      <x:c r="H86" s="28" t="str">
        <x:v>تختلف تواريخ الأدلة بحسب المجال: فعدد من مشاهدات المدفوعات والتنظيم يعود إلى 2025–2026، بينما تعود أدلة أساسية ممثلة للسكان إلى فترات أقدم.</x:v>
      </x:c>
    </x:row>
    <x:row r="87">
      <x:c r="A87" s="24" t="str">
        <x:v>/evidence/VIS-EVIDENCE-GAPS/</x:v>
      </x:c>
      <x:c r="B87" s="24" t="str">
        <x:v>evidence_detail</x:v>
      </x:c>
      <x:c r="C87" s="24" t="str">
        <x:v>/evidence/[id]</x:v>
      </x:c>
      <x:c r="D87" s="24" t="str">
        <x:v>VIS-EVIDENCE-GAPS</x:v>
      </x:c>
      <x:c r="E87" s="24"/>
      <x:c r="F87" s="28"/>
      <x:c r="G87" s="24" t="str">
        <x:v>This record lists evidence gaps: missing periods, calculation bases or primary files, map layers not yet buildable, and unresolved source scope.</x:v>
      </x:c>
      <x:c r="H87" s="28" t="str">
        <x:v>يسرد هذا السجل فجوات الأدلة: فترات أو قواعد احتساب أو ملفات أصلية مفقودة، وطبقات مكانية لا يمكن بناؤها بعد، ونطاق مصدر غير محسوم.</x:v>
      </x:c>
    </x:row>
    <x:row r="88">
      <x:c r="A88" s="24" t="str">
        <x:v>/evidence/VIS-FCP-REDRESS-PATH/</x:v>
      </x:c>
      <x:c r="B88" s="24" t="str">
        <x:v>evidence_detail</x:v>
      </x:c>
      <x:c r="C88" s="24" t="str">
        <x:v>/evidence/[id]</x:v>
      </x:c>
      <x:c r="D88" s="24" t="str">
        <x:v>VIS-FCP-REDRESS-PATH</x:v>
      </x:c>
      <x:c r="E88" s="24"/>
      <x:c r="F88" s="28"/>
      <x:c r="G88" s="24" t="str">
        <x:v>A 2024 brochure of the Central Bank of Yemen – Aden sets a provider complaint stage, then escalation to the bank; the time limits come from the brochure.</x:v>
      </x:c>
      <x:c r="H88" s="28" t="str">
        <x:v>يصف كتيّب للبنك المركزي اليمني – عدن صادر في 2024 مرحلة لتسوية الشكوى لدى مقدم الخدمة ثم التصعيد إلى البنك؛ والمدد مأخوذة من الكتيّب.</x:v>
      </x:c>
    </x:row>
    <x:row r="89">
      <x:c r="A89" s="24" t="str">
        <x:v>/evidence/VIS-FINDEX-ACCESS-USE/</x:v>
      </x:c>
      <x:c r="B89" s="24" t="str">
        <x:v>evidence_detail</x:v>
      </x:c>
      <x:c r="C89" s="24" t="str">
        <x:v>/evidence/[id]</x:v>
      </x:c>
      <x:c r="D89" s="24" t="str">
        <x:v>VIS-FINDEX-ACCESS-USE</x:v>
      </x:c>
      <x:c r="E89" s="24"/>
      <x:c r="F89" s="28"/>
      <x:c r="G89" s="24" t="str">
        <x:v>In the 2021 Findex wave for Yemen, 11.9% of adults in surveyed areas had an account; weighted estimates of account and digital use are not yet produced.</x:v>
      </x:c>
      <x:c r="H89" s="28" t="str">
        <x:v>في موجة Findex 2021 لليمن، كان لدى 11.9% من البالغين في المناطق المشمولة حساب؛ ولم تُنتج بعد تقديرات موزونة لاستخدام الحساب أو الاستخدام الرقمي.</x:v>
      </x:c>
    </x:row>
    <x:row r="90">
      <x:c r="A90" s="24" t="str">
        <x:v>/evidence/VIS-FINDEX-BARRIERS/</x:v>
      </x:c>
      <x:c r="B90" s="24" t="str">
        <x:v>evidence_detail</x:v>
      </x:c>
      <x:c r="C90" s="24" t="str">
        <x:v>/evidence/[id]</x:v>
      </x:c>
      <x:c r="D90" s="24" t="str">
        <x:v>VIS-FINDEX-BARRIERS</x:v>
      </x:c>
      <x:c r="E90" s="24"/>
      <x:c r="F90" s="28"/>
      <x:c r="G90" s="24" t="str">
        <x:v>Weighted estimates of why adults without an account do not have one are not yet produced for the 2021 wave, so no values are shown.</x:v>
      </x:c>
      <x:c r="H90" s="28" t="str">
        <x:v>لم تُنتج بعد تقديرات موزونة للأسباب التي يذكرها البالغون الذين لا يملكون حسابًا في موجة 2021، لذلك لا تُعرض أي قيم.</x:v>
      </x:c>
    </x:row>
    <x:row r="91">
      <x:c r="A91" s="24" t="str">
        <x:v>/evidence/VIS-FINDEX-FLOW-CHANNELS/</x:v>
      </x:c>
      <x:c r="B91" s="24" t="str">
        <x:v>evidence_detail</x:v>
      </x:c>
      <x:c r="C91" s="24" t="str">
        <x:v>/evidence/[id]</x:v>
      </x:c>
      <x:c r="D91" s="24" t="str">
        <x:v>VIS-FINDEX-FLOW-CHANNELS</x:v>
      </x:c>
      <x:c r="E91" s="24"/>
      <x:c r="F91" s="28"/>
      <x:c r="G91" s="24" t="str">
        <x:v>Weighted 2021-wave estimates of how adults received wages, government transfers, agricultural payments and domestic remittances are not yet produced.</x:v>
      </x:c>
      <x:c r="H91" s="28" t="str">
        <x:v>لم تُنتج بعد تقديرات موزونة لموجة 2021 لكيفية تلقي البالغين الأجور والتحويلات الحكومية والمدفوعات الزراعية والحوالات المحلية.</x:v>
      </x:c>
    </x:row>
    <x:row r="92">
      <x:c r="A92" s="24" t="str">
        <x:v>/evidence/VIS-FINDEX-GAPS/</x:v>
      </x:c>
      <x:c r="B92" s="24" t="str">
        <x:v>evidence_detail</x:v>
      </x:c>
      <x:c r="C92" s="24" t="str">
        <x:v>/evidence/[id]</x:v>
      </x:c>
      <x:c r="D92" s="24" t="str">
        <x:v>VIS-FINDEX-GAPS</x:v>
      </x:c>
      <x:c r="E92" s="24"/>
      <x:c r="F92" s="28"/>
      <x:c r="G92" s="24" t="str">
        <x:v>This view shows account ownership in Yemen from the 2021 Global Findex wave (fieldwork 2022–23), with measured gaps by sex, income, education and age.</x:v>
      </x:c>
      <x:c r="H92" s="28" t="str">
        <x:v>يعرض هذا الرسم امتلاك الحساب في اليمن من موجة Global Findex 2021 (العمل الميداني 2022–2023)، مع الفجوات المقاسة بحسب الجنس والدخل والتعليم والعمر.</x:v>
      </x:c>
    </x:row>
    <x:row r="93">
      <x:c r="A93" s="24" t="str">
        <x:v>/evidence/VIS-FINDEX-OBSERVED-WAVES/</x:v>
      </x:c>
      <x:c r="B93" s="24" t="str">
        <x:v>evidence_detail</x:v>
      </x:c>
      <x:c r="C93" s="24" t="str">
        <x:v>/evidence/[id]</x:v>
      </x:c>
      <x:c r="D93" s="24" t="str">
        <x:v>VIS-FINDEX-OBSERVED-WAVES</x:v>
      </x:c>
      <x:c r="E93" s="24"/>
      <x:c r="F93" s="28"/>
      <x:c r="G93" s="24" t="str">
        <x:v>The World Bank observed account ownership in Yemen in 2011, 2014 and the 2021 Findex wave; the years between these waves were not observed.</x:v>
      </x:c>
      <x:c r="H93" s="28" t="str">
        <x:v>رصد البنك الدولي امتلاك الحساب في اليمن في 2011 و2014 وموجة Findex 2021؛ ولم تُرصد السنوات الواقعة بين هذه الموجات.</x:v>
      </x:c>
    </x:row>
    <x:row r="94">
      <x:c r="A94" s="24" t="str">
        <x:v>/evidence/VIS-FINDEX-RESILIENCE/</x:v>
      </x:c>
      <x:c r="B94" s="24" t="str">
        <x:v>evidence_detail</x:v>
      </x:c>
      <x:c r="C94" s="24" t="str">
        <x:v>/evidence/[id]</x:v>
      </x:c>
      <x:c r="D94" s="24" t="str">
        <x:v>VIS-FINDEX-RESILIENCE</x:v>
      </x:c>
      <x:c r="E94" s="24"/>
      <x:c r="F94" s="28"/>
      <x:c r="G94" s="24" t="str">
        <x:v>Weighted estimates of whether adults could raise emergency funds within 7 or 30 days are not yet produced for the 2021 wave, so no values are shown.</x:v>
      </x:c>
      <x:c r="H94" s="28" t="str">
        <x:v>لم تُنتج بعد تقديرات موزونة لقدرة البالغين على تدبير أموال للطوارئ خلال 7 أيام أو خلال 30 يومًا في موجة 2021، لذلك لا تُعرض أي قيم.</x:v>
      </x:c>
    </x:row>
    <x:row r="95">
      <x:c r="A95" s="24" t="str">
        <x:v>/evidence/VIS-FINDEX-SAMPLE-SUPPORT/</x:v>
      </x:c>
      <x:c r="B95" s="24" t="str">
        <x:v>evidence_detail</x:v>
      </x:c>
      <x:c r="C95" s="24" t="str">
        <x:v>/evidence/[id]</x:v>
      </x:c>
      <x:c r="D95" s="24" t="str">
        <x:v>VIS-FINDEX-SAMPLE-SUPPORT</x:v>
      </x:c>
      <x:c r="E95" s="24"/>
      <x:c r="F95" s="28"/>
      <x:c r="G95" s="24"/>
      <x:c r="H95" s="28"/>
    </x:row>
    <x:row r="96">
      <x:c r="A96" s="24" t="str">
        <x:v>/evidence/VIS-FIRM-CONSTRAINTS/</x:v>
      </x:c>
      <x:c r="B96" s="24" t="str">
        <x:v>evidence_detail</x:v>
      </x:c>
      <x:c r="C96" s="24" t="str">
        <x:v>/evidence/[id]</x:v>
      </x:c>
      <x:c r="D96" s="24" t="str">
        <x:v>VIS-FIRM-CONSTRAINTS</x:v>
      </x:c>
      <x:c r="E96" s="24"/>
      <x:c r="F96" s="28"/>
      <x:c r="G96" s="24" t="str">
        <x:v>Formal firms in a 2022 survey of seven governorates named electricity and fuel shortages more often than access to finance; each could name several.</x:v>
      </x:c>
      <x:c r="H96" s="28" t="str">
        <x:v>ذكرت المنشآت الرسمية في مسح عام 2022 لسبع محافظات الكهرباء ونقص الوقود أكثر من الوصول إلى التمويل؛ وكان بإمكان كل منها ذكر أكثر من تحدٍّ.</x:v>
      </x:c>
    </x:row>
    <x:row r="97">
      <x:c r="A97" s="24" t="str">
        <x:v>/evidence/VIS-FIRM-FINANCE-PATH/</x:v>
      </x:c>
      <x:c r="B97" s="24" t="str">
        <x:v>evidence_detail</x:v>
      </x:c>
      <x:c r="C97" s="24" t="str">
        <x:v>/evidence/[id]</x:v>
      </x:c>
      <x:c r="D97" s="24" t="str">
        <x:v>VIS-FIRM-FINANCE-PATH</x:v>
      </x:c>
      <x:c r="E97" s="24"/>
      <x:c r="F97" s="28"/>
      <x:c r="G97" s="24" t="str">
        <x:v>Formal firms surveyed in seven governorates in 2022 named their loan sources; the counts come from the valid responses to the loan-source question.</x:v>
      </x:c>
      <x:c r="H97" s="28" t="str">
        <x:v>ذكرت المنشآت الرسمية المشمولة بمسح عام 2022 في سبع محافظات مصادر قروضها، والأعداد محسوبة من الاستجابات الصالحة لسؤال مصدر القرض.</x:v>
      </x:c>
    </x:row>
    <x:row r="98">
      <x:c r="A98" s="24" t="str">
        <x:v>/evidence/VIS-FIRM-FINANCE-SEVERITY/</x:v>
      </x:c>
      <x:c r="B98" s="24" t="str">
        <x:v>evidence_detail</x:v>
      </x:c>
      <x:c r="C98" s="24" t="str">
        <x:v>/evidence/[id]</x:v>
      </x:c>
      <x:c r="D98" s="24" t="str">
        <x:v>VIS-FIRM-FINANCE-SEVERITY</x:v>
      </x:c>
      <x:c r="E98" s="24"/>
      <x:c r="F98" s="28"/>
      <x:c r="G98" s="24" t="str">
        <x:v>Among formal firms in the 2022 survey's finance-obstacle tabulation, excluding those needing no loan, 91.84% rated finance a major or moderate obstacle.</x:v>
      </x:c>
      <x:c r="H98" s="28" t="str">
        <x:v>بين المنشآت الرسمية في جدول عوائق التمويل لمسح 2022، باستثناء غير المحتاجة إلى قرض، صنّفت 91.84% منها عوائق التمويل كبيرة أو متوسطة.</x:v>
      </x:c>
    </x:row>
    <x:row r="99">
      <x:c r="A99" s="24" t="str">
        <x:v>/evidence/VIS-FL-EVIDENCE-LADDER/</x:v>
      </x:c>
      <x:c r="B99" s="24" t="str">
        <x:v>evidence_detail</x:v>
      </x:c>
      <x:c r="C99" s="24" t="str">
        <x:v>/evidence/[id]</x:v>
      </x:c>
      <x:c r="D99" s="24" t="str">
        <x:v>VIS-FL-EVIDENCE-LADDER</x:v>
      </x:c>
      <x:c r="E99" s="24"/>
      <x:c r="F99" s="28"/>
      <x:c r="G99" s="24" t="str">
        <x:v>Global Money Week records of the Central Bank of Yemen – Aden document financial-literacy activities, March 2023 to March 2025; activity is not outcome.</x:v>
      </x:c>
      <x:c r="H99" s="28" t="str">
        <x:v>توثق سجلات الأسبوع العالمي للمال لدى البنك المركزي اليمني – عدن أنشطة للثقافة المالية من مارس 2023 إلى مارس 2025؛ والنشاط لا يساوي نتيجة.</x:v>
      </x:c>
    </x:row>
    <x:row r="100">
      <x:c r="A100" s="24" t="str">
        <x:v>/evidence/VIS-INCLUSION-TRANSMISSION/</x:v>
      </x:c>
      <x:c r="B100" s="24" t="str">
        <x:v>evidence_detail</x:v>
      </x:c>
      <x:c r="C100" s="24" t="str">
        <x:v>/evidence/[id]</x:v>
      </x:c>
      <x:c r="D100" s="24" t="str">
        <x:v>VIS-INCLUSION-TRANSMISSION</x:v>
      </x:c>
      <x:c r="E100" s="24"/>
      <x:c r="F100" s="28"/>
      <x:c r="G100" s="24" t="str">
        <x:v>Financial inclusion in Yemen is shown as connected parts, from people and firms to payment systems, flows and rules, with no causal links or single score.</x:v>
      </x:c>
      <x:c r="H100"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1">
      <x:c r="A101" s="24" t="str">
        <x:v>/evidence/VIS-MECHANISM-METRIC-BRIDGE/</x:v>
      </x:c>
      <x:c r="B101" s="24" t="str">
        <x:v>evidence_detail</x:v>
      </x:c>
      <x:c r="C101" s="24" t="str">
        <x:v>/evidence/[id]</x:v>
      </x:c>
      <x:c r="D101" s="24" t="str">
        <x:v>VIS-MECHANISM-METRIC-BRIDGE</x:v>
      </x:c>
      <x:c r="E101" s="24"/>
      <x:c r="F101" s="28"/>
      <x:c r="G101" s="24" t="str">
        <x:v>This record links a quantitative measure to documented mechanisms, policy propositions or research priorities; these aid interpretation, not causal proof.</x:v>
      </x:c>
      <x:c r="H101"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2">
      <x:c r="A102" s="24" t="str">
        <x:v>/evidence/VIS-MFI-2014-PANEL/</x:v>
      </x:c>
      <x:c r="B102" s="24" t="str">
        <x:v>evidence_detail</x:v>
      </x:c>
      <x:c r="C102" s="24" t="str">
        <x:v>/evidence/[id]</x:v>
      </x:c>
      <x:c r="D102" s="24" t="str">
        <x:v>VIS-MFI-2014-PANEL</x:v>
      </x:c>
      <x:c r="E102" s="24"/>
      <x:c r="F102" s="28"/>
      <x:c r="G102" s="24" t="str">
        <x:v>For the same nine providers reporting to the Yemen Microfinance Network, the first two quarters of 2014 are comparable; they are not a long trend.</x:v>
      </x:c>
      <x:c r="H102"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3">
      <x:c r="A103" s="24" t="str">
        <x:v>/evidence/VIS-MFI-RUPTURE-LENS/</x:v>
      </x:c>
      <x:c r="B103" s="24" t="str">
        <x:v>evidence_detail</x:v>
      </x:c>
      <x:c r="C103" s="24" t="str">
        <x:v>/evidence/[id]</x:v>
      </x:c>
      <x:c r="D103" s="24" t="str">
        <x:v>VIS-MFI-RUPTURE-LENS</x:v>
      </x:c>
      <x:c r="E103" s="24"/>
      <x:c r="F103" s="28"/>
      <x:c r="G103" s="24" t="str">
        <x:v>Active borrowers of microfinance programmes supported by the Social Fund for Development fell sharply during 2015, from end-March to end-December.</x:v>
      </x:c>
      <x:c r="H103"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4">
      <x:c r="A104" s="24" t="str">
        <x:v>/evidence/VIS-MFI-SPINE/</x:v>
      </x:c>
      <x:c r="B104" s="24" t="str">
        <x:v>evidence_detail</x:v>
      </x:c>
      <x:c r="C104" s="24" t="str">
        <x:v>/evidence/[id]</x:v>
      </x:c>
      <x:c r="D104" s="24" t="str">
        <x:v>VIS-MFI-SPINE</x:v>
      </x:c>
      <x:c r="E104" s="24"/>
      <x:c r="F104" s="28"/>
      <x:c r="G104" s="24" t="str">
        <x:v>Microfinance figures linked to the Social Fund for Development exist at dated points from 2010 to 2020, not every year-end; gaps and breaks are shown.</x:v>
      </x:c>
      <x:c r="H104"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5">
      <x:c r="A105" s="24" t="str">
        <x:v>/evidence/VIS-OECD-FCP-TIMELINE/</x:v>
      </x:c>
      <x:c r="B105" s="24" t="str">
        <x:v>evidence_detail</x:v>
      </x:c>
      <x:c r="C105" s="24" t="str">
        <x:v>/evidence/[id]</x:v>
      </x:c>
      <x:c r="D105" s="24" t="str">
        <x:v>VIS-OECD-FCP-TIMELINE</x:v>
      </x:c>
      <x:c r="E105" s="24"/>
      <x:c r="F105" s="28"/>
      <x:c r="G105" s="24" t="str">
        <x:v>Of the steps from framework to outcome, the evidence covers 2023 consumer-protection instructions of the Central Bank of Yemen – Aden and a 2024 brochure.</x:v>
      </x:c>
      <x:c r="H105" s="28" t="str">
        <x:v>من المراحل الممتدة من الإطار إلى النتيجة، تغطي الأدلة تعليمات البنك المركزي اليمني – عدن لحماية المستهلك لعام 2023 وكتيّب 2024.</x:v>
      </x:c>
    </x:row>
    <x:row r="106">
      <x:c r="A106" s="24" t="str">
        <x:v>/evidence/VIS-PAYMENT-ANATOMY/</x:v>
      </x:c>
      <x:c r="B106" s="24" t="str">
        <x:v>evidence_detail</x:v>
      </x:c>
      <x:c r="C106" s="24" t="str">
        <x:v>/evidence/[id]</x:v>
      </x:c>
      <x:c r="D106" s="24" t="str">
        <x:v>VIS-PAYMENT-ANATOMY</x:v>
      </x:c>
      <x:c r="E106" s="24"/>
      <x:c r="F106" s="28"/>
      <x:c r="G106" s="24" t="str">
        <x:v>The first-half 2025 payment report of the Central Bank of Yemen – Aden counts cards, ATMs, point-of-sale terminals, transactions, e-wallets and accounts.</x:v>
      </x:c>
      <x:c r="H106" s="28" t="str">
        <x:v>يعدّ تقرير المدفوعات للنصف الأول من 2025 لدى البنك المركزي اليمني – عدن البطاقات وأجهزة الصراف الآلي وأجهزة نقاط البيع والمعاملات والمحافظ والحسابات.</x:v>
      </x:c>
    </x:row>
    <x:row r="107">
      <x:c r="A107" s="24" t="str">
        <x:v>/evidence/VIS-PAYMENT-RAILS/</x:v>
      </x:c>
      <x:c r="B107" s="24" t="str">
        <x:v>evidence_detail</x:v>
      </x:c>
      <x:c r="C107" s="24" t="str">
        <x:v>/evidence/[id]</x:v>
      </x:c>
      <x:c r="D107" s="24" t="str">
        <x:v>VIS-PAYMENT-RAILS</x:v>
      </x:c>
      <x:c r="E107" s="24"/>
      <x:c r="F107" s="28"/>
      <x:c r="G107" s="24"/>
      <x:c r="H107" s="28"/>
    </x:row>
    <x:row r="108">
      <x:c r="A108" s="24" t="str">
        <x:v>/evidence/VIS-POS-TERMINALS/</x:v>
      </x:c>
      <x:c r="B108" s="24" t="str">
        <x:v>evidence_detail</x:v>
      </x:c>
      <x:c r="C108" s="24" t="str">
        <x:v>/evidence/[id]</x:v>
      </x:c>
      <x:c r="D108" s="24" t="str">
        <x:v>VIS-POS-TERMINALS</x:v>
      </x:c>
      <x:c r="E108" s="24"/>
      <x:c r="F108" s="28"/>
      <x:c r="G108" s="24" t="str">
        <x:v>The Central Bank of Yemen – Aden reports monthly point-of-sale (POS) terminal totals, March 2025 to June 2026, within its reporting scope.</x:v>
      </x:c>
      <x:c r="H108" s="28" t="str">
        <x:v>يُبلغ البنك المركزي اليمني – عدن عن الإجماليات الشهرية لأجهزة نقاط البيع من مارس 2025 إلى يونيو 2026، ضمن نطاق إبلاغه.</x:v>
      </x:c>
    </x:row>
    <x:row r="109">
      <x:c r="A109" s="24" t="str">
        <x:v>/evidence/VIS-POS-TRANSACTIONS/</x:v>
      </x:c>
      <x:c r="B109" s="24" t="str">
        <x:v>evidence_detail</x:v>
      </x:c>
      <x:c r="C109" s="24" t="str">
        <x:v>/evidence/[id]</x:v>
      </x:c>
      <x:c r="D109" s="24" t="str">
        <x:v>VIS-POS-TRANSACTIONS</x:v>
      </x:c>
      <x:c r="E109" s="24"/>
      <x:c r="F109" s="28"/>
      <x:c r="G109" s="24" t="str">
        <x:v>Monthly point-of-sale (POS) transactions reported by the Central Bank of Yemen – Aden rose from March 2025 to June 2026, but not steadily.</x:v>
      </x:c>
      <x:c r="H109" s="28" t="str">
        <x:v>ارتفعت معاملات نقاط البيع الشهرية التي يُبلغ عنها البنك المركزي اليمني – عدن بين مارس 2025 ويونيو 2026، ولكن ليس بصورة مطردة.</x:v>
      </x:c>
    </x:row>
    <x:row r="110">
      <x:c r="A110" s="24" t="str">
        <x:v>/evidence/VIS-POS-VALUE/</x:v>
      </x:c>
      <x:c r="B110" s="24" t="str">
        <x:v>evidence_detail</x:v>
      </x:c>
      <x:c r="C110" s="24" t="str">
        <x:v>/evidence/[id]</x:v>
      </x:c>
      <x:c r="D110" s="24" t="str">
        <x:v>VIS-POS-VALUE</x:v>
      </x:c>
      <x:c r="E110" s="24"/>
      <x:c r="F110" s="28"/>
      <x:c r="G110" s="24" t="str">
        <x:v>The Central Bank of Yemen – Aden reports the nominal value of point-of-sale (POS) transactions monthly from March 2025; September 2025 is missing.</x:v>
      </x:c>
      <x:c r="H110" s="28" t="str">
        <x:v>يُبلغ البنك المركزي اليمني – عدن شهريًا منذ مارس 2025 عن القيمة الاسمية لمعاملات نقاط البيع؛ وقيمة سبتمبر 2025 مفقودة.</x:v>
      </x:c>
    </x:row>
    <x:row r="111">
      <x:c r="A111" s="24" t="str">
        <x:v>/evidence/VIS-PROVIDER-OBSERVABILITY/</x:v>
      </x:c>
      <x:c r="B111" s="24" t="str">
        <x:v>evidence_detail</x:v>
      </x:c>
      <x:c r="C111" s="24" t="str">
        <x:v>/evidence/[id]</x:v>
      </x:c>
      <x:c r="D111" s="24" t="str">
        <x:v>VIS-PROVIDER-OBSERVABILITY</x:v>
      </x:c>
      <x:c r="E111" s="24"/>
      <x:c r="F111" s="28"/>
      <x:c r="G111" s="24" t="str">
        <x:v>For each provider class the evidence separates the issuing authority, the dated list or count, dated status decisions and evidence of operation.</x:v>
      </x:c>
      <x:c r="H111" s="28" t="str">
        <x:v>تفصل الأدلة لكل فئة من مقدمي الخدمات بين الجهة المصدرة والقائمة أو العدد المؤرخ وقرارات الوضع المؤرخة وأدلة التشغيل.</x:v>
      </x:c>
    </x:row>
    <x:row r="112">
      <x:c r="A112" s="24" t="str">
        <x:v>/evidence/VIS-PROVIDER-TIME/</x:v>
      </x:c>
      <x:c r="B112" s="24" t="str">
        <x:v>evidence_detail</x:v>
      </x:c>
      <x:c r="C112" s="24" t="str">
        <x:v>/evidence/[id]</x:v>
      </x:c>
      <x:c r="D112" s="24" t="str">
        <x:v>VIS-PROVIDER-TIME</x:v>
      </x:c>
      <x:c r="E112" s="24"/>
      <x:c r="F112" s="28"/>
      <x:c r="G112" s="24" t="str">
        <x:v>The 2026 exchange and remittance roster of the Central Bank of Yemen – Aden is kept apart from dated 2026 Governor's decisions, which have not yet been matched to it entity by entity.</x:v>
      </x:c>
      <x:c r="H112" s="28" t="str">
        <x:v>تبقى القائمة الرسمية للصرافة والحوالات لعام 2026 لدى البنك المركزي اليمني – عدن منفصلة عن قرارات المحافظ المؤرخة في 2026، ولم تُطابَق معها جهةً جهة بعد.</x:v>
      </x:c>
    </x:row>
    <x:row r="113">
      <x:c r="A113" s="24" t="str">
        <x:v>/evidence/VIS-REMITTANCE-COST/</x:v>
      </x:c>
      <x:c r="B113" s="24" t="str">
        <x:v>evidence_detail</x:v>
      </x:c>
      <x:c r="C113" s="24" t="str">
        <x:v>/evidence/[id]</x:v>
      </x:c>
      <x:c r="D113" s="24" t="str">
        <x:v>VIS-REMITTANCE-COST</x:v>
      </x:c>
      <x:c r="E113" s="24"/>
      <x:c r="F113" s="28"/>
      <x:c r="G113" s="24" t="str">
        <x:v>This view shows average quoted costs of sending US$200 and US$500 to Yemen from Saudi Arabia and the UAE in 2025 Q3, not a national average.</x:v>
      </x:c>
      <x:c r="H113" s="28" t="str">
        <x:v>يعرض هذا الرسم متوسط التكلفة المعلنة لإرسال 200 و500 دولار أمريكي إلى اليمن من السعودية والإمارات في الربع الثالث من 2025، لا متوسطًا وطنيًا.</x:v>
      </x:c>
    </x:row>
    <x:row r="114">
      <x:c r="A114" s="24" t="str">
        <x:v>/evidence/VIS-REMITTANCE-MACRO/</x:v>
      </x:c>
      <x:c r="B114" s="24" t="str">
        <x:v>evidence_detail</x:v>
      </x:c>
      <x:c r="C114" s="24" t="str">
        <x:v>/evidence/[id]</x:v>
      </x:c>
      <x:c r="D114" s="24" t="str">
        <x:v>VIS-REMITTANCE-MACRO</x:v>
      </x:c>
      <x:c r="E114" s="24"/>
      <x:c r="F114" s="28"/>
      <x:c r="G114" s="24" t="str">
        <x:v>IMF remittance figures for Yemen's external sector keep reported history for 2018–2024, a 2025 estimate and 2026–2030 projections apart.</x:v>
      </x:c>
      <x:c r="H114" s="28" t="str">
        <x:v>تفصل أرقام صندوق النقد الدولي للتحويلات في القطاع الخارجي لليمن بين القيم التاريخية للفترة 2018–2024 وتقدير 2025 وتوقعات 2026–2030.</x:v>
      </x:c>
    </x:row>
    <x:row r="115">
      <x:c r="A115" s="24" t="str">
        <x:v>/evidence/VIS-SOURCE-COMPARISON/</x:v>
      </x:c>
      <x:c r="B115" s="24" t="str">
        <x:v>evidence_detail</x:v>
      </x:c>
      <x:c r="C115" s="24" t="str">
        <x:v>/evidence/[id]</x:v>
      </x:c>
      <x:c r="D115" s="24" t="str">
        <x:v>VIS-SOURCE-COMPARISON</x:v>
      </x:c>
      <x:c r="E115" s="24"/>
      <x:c r="F115" s="28"/>
      <x:c r="G115" s="24" t="str">
        <x:v>The comparison table sets the selected records side by side on definition, population or calculation base, period, method, source and currentness.</x:v>
      </x:c>
      <x:c r="H115" s="28" t="str">
        <x:v>يضع جدول المقارنة السجلات المختارة جنبًا إلى جنب من حيث التعريف والمجتمع أو قاعدة الاحتساب والفترة والطريقة والمصدر ومدى الحداثة.</x:v>
      </x:c>
    </x:row>
    <x:row r="116">
      <x:c r="A116" s="24" t="str">
        <x:v>/evidence/VIS-TARGET-RESULT-STATE/</x:v>
      </x:c>
      <x:c r="B116" s="24" t="str">
        <x:v>evidence_detail</x:v>
      </x:c>
      <x:c r="C116" s="24" t="str">
        <x:v>/evidence/[id]</x:v>
      </x:c>
      <x:c r="D116" s="24" t="str">
        <x:v>VIS-TARGET-RESULT-STATE</x:v>
      </x:c>
      <x:c r="E116" s="24"/>
      <x:c r="F116" s="28"/>
      <x:c r="G116" s="24" t="str">
        <x:v>The FMIIP results framework sets a January 2025 baseline and a June 2030 target for financial access points; no observed result is recorded.</x:v>
      </x:c>
      <x:c r="H116" s="28" t="str">
        <x:v>يحدد إطار نتائج مشروع FMIIP خط أساس في يناير 2025 ومستهدفًا في يونيو 2030 لنقاط الوصول المالي؛ ولا تُسجَّل أي نتيجة مرصودة.</x:v>
      </x:c>
    </x:row>
    <x:row r="117">
      <x:c r="A117" s="24" t="str">
        <x:v>/evidence/XW-FMIIP-005/</x:v>
      </x:c>
      <x:c r="B117" s="24" t="str">
        <x:v>evidence_detail</x:v>
      </x:c>
      <x:c r="C117" s="24" t="str">
        <x:v>/evidence/[id]</x:v>
      </x:c>
      <x:c r="D117" s="24" t="str">
        <x:v>XW-FMIIP-005</x:v>
      </x:c>
      <x:c r="E117" s="24"/>
      <x:c r="F117" s="28"/>
      <x:c r="G117" s="24" t="str">
        <x:v>The FMIIP access-point target, under the project's own definition, cannot be added to or compared with ATM, point-of-sale or agent counts.</x:v>
      </x:c>
      <x:c r="H117" s="28" t="str">
        <x:v>مستهدف نقاط الوصول في مشروع FMIIP، وفق تعريف المشروع نفسه، لا يُجمع إلى أعداد أجهزة الصراف الآلي أو نقاط البيع أو الوكلاء ولا يُقارن بها.</x:v>
      </x:c>
    </x:row>
    <x:row r="118">
      <x:c r="A118" s="24" t="str">
        <x:v>/evidence/compare/</x:v>
      </x:c>
      <x:c r="B118" s="24" t="str">
        <x:v>static</x:v>
      </x:c>
      <x:c r="C118" s="24" t="str">
        <x:v>/evidence/compare</x:v>
      </x:c>
      <x:c r="D118" s="24"/>
      <x:c r="E118" s="24" t="str">
        <x:v>Compare evidence without forcing unlike measures onto one scale</x:v>
      </x:c>
      <x:c r="F118" s="28" t="str">
        <x:v>قارن الأدلة من دون وضع ما لا يتماثل على مقياس واحد</x:v>
      </x:c>
      <x:c r="G118" s="24" t="str">
        <x:v>Records are set side by side on definition, population, period, method, source and currentness; when they do not match, “not comparable” is a valid result.</x:v>
      </x:c>
      <x:c r="H118" s="28" t="str">
        <x:v>تُعرض السجلات جنبًا إلى جنب من حيث التعريف والمجتمع والفترة والطريقة والمصدر وحداثة الدليل؛ وحين لا تتطابق يكون الحكم «غير قابلة للمقارنة» نتيجة صحيحة.</x:v>
      </x:c>
    </x:row>
    <x:row r="119">
      <x:c r="A119" s="24" t="str">
        <x:v>/evidence/</x:v>
      </x:c>
      <x:c r="B119" s="24" t="str">
        <x:v>static</x:v>
      </x:c>
      <x:c r="C119" s="24" t="str">
        <x:v>/evidence</x:v>
      </x:c>
      <x:c r="D119" s="24"/>
      <x:c r="E119" s="24" t="str">
        <x:v>Inspect the evidence behind the answer</x:v>
      </x:c>
      <x:c r="F119" s="28" t="str">
        <x:v>افحص الدليل الذي تستند إليه الإجابة</x:v>
      </x:c>
      <x:c r="G119" s="24" t="str">
        <x:v>The evidence hub lists claims, indicators, visuals and source-backed records, each with its definition, period, method, limitations and source.</x:v>
      </x:c>
      <x:c r="H119" s="28" t="str">
        <x:v>يضم مركز الأدلة خلاصات ومؤشرات ورسومًا وسجلات تستند إلى مصادر، لكل منها تعريفه وفترته وطريقته وحدوده ومصدره.</x:v>
      </x:c>
    </x:row>
    <x:row r="120">
      <x:c r="A120" s="24" t="str">
        <x:v>/explore/</x:v>
      </x:c>
      <x:c r="B120" s="24" t="str">
        <x:v>static</x:v>
      </x:c>
      <x:c r="C120" s="24" t="str">
        <x:v>/explore</x:v>
      </x:c>
      <x:c r="D120" s="24"/>
      <x:c r="E120" s="24" t="str">
        <x:v>Start with the question, not the dataset.</x:v>
      </x:c>
      <x:c r="F120" s="28" t="str">
        <x:v>ابدأ بالسؤال، لا بالبيانات.</x:v>
      </x:c>
      <x:c r="G120" s="24"/>
      <x:c r="H120" s="28"/>
    </x:row>
    <x:row r="121">
      <x:c r="A121" s="24" t="str">
        <x:v>/finance/</x:v>
      </x:c>
      <x:c r="B121" s="24" t="str">
        <x:v>static</x:v>
      </x:c>
      <x:c r="C121" s="24" t="str">
        <x:v>/finance</x:v>
      </x:c>
      <x:c r="D121" s="24"/>
      <x:c r="E121" s="24" t="str">
        <x:v>Finance: borrower, saver and balance figures measure different things</x:v>
      </x:c>
      <x:c r="F121" s="28" t="str">
        <x:v>التمويل: أرقام المقترضين والمدخرين والأرصدة تقيس أشياء مختلفة</x:v>
      </x:c>
      <x:c r="G121" s="24" t="str">
        <x:v>Microfinance borrower, saver and portfolio figures and bank balances come from different sources and definitions, so they are kept separate, not one trend.</x:v>
      </x:c>
      <x:c r="H121"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2">
      <x:c r="A122" s="24" t="str">
        <x:v>/firms/</x:v>
      </x:c>
      <x:c r="B122" s="24" t="str">
        <x:v>static</x:v>
      </x:c>
      <x:c r="C122" s="24" t="str">
        <x:v>/firms</x:v>
      </x:c>
      <x:c r="D122" s="24"/>
      <x:c r="E122" s="24" t="str">
        <x:v>Firms: how much finance matters depends on the question and the firms asked</x:v>
      </x:c>
      <x:c r="F122" s="28" t="str">
        <x:v>المنشآت: مدى أهمية التمويل يتوقف على السؤال وعلى المنشآت التي سُئلت</x:v>
      </x:c>
      <x:c r="G122" s="24" t="str">
        <x:v>In a 2022 survey of formal firms in seven governorates, 22% named access to finance as a challenge, against 50% for electricity and 46% for fuel shortages.</x:v>
      </x:c>
      <x:c r="H122" s="28" t="str">
        <x:v>في مسح عام 2022 للمنشآت الرسمية في سبع محافظات، ذكرت 22% منها الوصول إلى التمويل تحديًا، مقابل 50% للكهرباء و46% لنقص الوقود.</x:v>
      </x:c>
    </x:row>
    <x:row r="123">
      <x:c r="A123" s="24" t="str">
        <x:v>/</x:v>
      </x:c>
      <x:c r="B123" s="24" t="str">
        <x:v>static</x:v>
      </x:c>
      <x:c r="C123" s="24" t="str">
        <x:v>/</x:v>
      </x:c>
      <x:c r="D123" s="24"/>
      <x:c r="E123" s="24" t="str">
        <x:v>Financial inclusion in Yemen is not one number.</x:v>
      </x:c>
      <x:c r="F123" s="28" t="str">
        <x:v>الشمول المالي في اليمن ليس رقمًا واحدًا.</x:v>
      </x:c>
      <x:c r="G123" s="24" t="str">
        <x:v>This bilingual resource helps you understand, compare and verify evidence on financial inclusion in Yemen: what it shows, what it does not, and its source.</x:v>
      </x:c>
      <x:c r="H123" s="28" t="str">
        <x:v>يساعدك هذا المورد العام ثنائي اللغة على فهم أدلة الشمول المالي في اليمن ومقارنتها والتحقق منها: ما تسنده الأدلة، وما لا تثبته، ومصدرها.</x:v>
      </x:c>
    </x:row>
    <x:row r="124">
      <x:c r="A124" s="24" t="str">
        <x:v>/measurement/</x:v>
      </x:c>
      <x:c r="B124" s="24" t="str">
        <x:v>static</x:v>
      </x:c>
      <x:c r="C124" s="24" t="str">
        <x:v>/measurement</x:v>
      </x:c>
      <x:c r="D124" s="24"/>
      <x:c r="E124" s="24" t="str">
        <x:v>Missing evidence matters when it could change a decision.</x:v>
      </x:c>
      <x:c r="F124" s="28" t="str">
        <x:v>تكتسب فجوة الدليل أهميتها عندما يمكن أن تغيّر قرارًا.</x:v>
      </x:c>
      <x:c r="G124" s="24" t="str">
        <x:v>This agenda links evidence gaps to specific decision questions; it does not rank national priorities or use a hidden score.</x:v>
      </x:c>
      <x:c r="H124" s="28" t="str">
        <x:v>تربط هذه الأولويات فجوات الأدلة بأسئلة قرار محددة، ولا تمثل ترتيبًا للأولويات الوطنية، ولا تستند إلى درجة خفية.</x:v>
      </x:c>
    </x:row>
    <x:row r="125">
      <x:c r="A125" s="24" t="str">
        <x:v>/methodology/</x:v>
      </x:c>
      <x:c r="B125" s="24" t="str">
        <x:v>static</x:v>
      </x:c>
      <x:c r="C125" s="24" t="str">
        <x:v>/methodology</x:v>
      </x:c>
      <x:c r="D125" s="24"/>
      <x:c r="E125" s="24" t="str">
        <x:v>Preserve the meaning of the evidence before comparing the numbers.</x:v>
      </x:c>
      <x:c r="F125" s="28" t="str">
        <x:v>حافظ على معنى الدليل قبل أن تقارن الأرقام.</x:v>
      </x:c>
      <x:c r="G125" s="24" t="str">
        <x:v>Every figure is checked against its source and exceptions are marked; unverified figures are withheld and secondary ones are labelled.</x:v>
      </x:c>
      <x:c r="H125" s="28" t="str">
        <x:v>يُراجَع كل رقم مقابل مصدره ويُشار إلى الاستثناءات؛ ويُحجب الرقم غير المتحقق منه ويوسم الرقم الثانوي.</x:v>
      </x:c>
    </x:row>
    <x:row r="126">
      <x:c r="A126" s="24" t="str">
        <x:v>/payments/</x:v>
      </x:c>
      <x:c r="B126" s="24" t="str">
        <x:v>static</x:v>
      </x:c>
      <x:c r="C126" s="24" t="str">
        <x:v>/payments</x:v>
      </x:c>
      <x:c r="D126" s="24"/>
      <x:c r="E126" s="24" t="str">
        <x:v>Payments: reported POS terminals rose between March 2025 and June 2026; how many people use them is not measured</x:v>
      </x:c>
      <x:c r="F126" s="28" t="str">
        <x:v>المدفوعات: ارتفع عدد أجهزة نقاط البيع المُبلَّغ عنها بين مارس 2025 ويونيو 2026، أما عدد مستخدميها فغير مقيس</x:v>
      </x:c>
      <x:c r="G126" s="24" t="str">
        <x:v>Administrative payment data show devices, accounts, transactions and values at high frequency; none is a number of people or an inclusion outcome.</x:v>
      </x:c>
      <x:c r="H126" s="28" t="str">
        <x:v>تُظهر البيانات الإدارية للمدفوعات الأجهزة والحسابات والمعاملات والقيم بوتيرة عالية؛ ولا يمثل أي منها عدد أشخاص أو نتيجة للشمول المالي.</x:v>
      </x:c>
    </x:row>
    <x:row r="127">
      <x:c r="A127" s="24" t="str">
        <x:v>/people/</x:v>
      </x:c>
      <x:c r="B127" s="24" t="str">
        <x:v>static</x:v>
      </x:c>
      <x:c r="C127" s="24" t="str">
        <x:v>/people</x:v>
      </x:c>
      <x:c r="D127" s="24"/>
      <x:c r="E127" s="24" t="str">
        <x:v>People: one population, evidence from different dates</x:v>
      </x:c>
      <x:c r="F127" s="28" t="str">
        <x:v>الأفراد: مجتمع سكاني واحد، وأدلة من تواريخ مختلفة</x:v>
      </x:c>
      <x:c r="G127" s="24" t="str">
        <x:v>The Global Findex 2021 wave, a representative survey (fieldwork 2022–23), found that 11.9% of adults in surveyed areas had an account; not a 2026 rate.</x:v>
      </x:c>
      <x:c r="H127" s="28" t="str">
        <x:v>وجدت موجة Global Findex 2021، وهي مسح ممثل (العمل الميداني 2022–2023)، أن 11.9% من البالغين في المناطق المشمولة يملكون حسابًا؛ وليس هذا معدلًا لعام 2026.</x:v>
      </x:c>
    </x:row>
    <x:row r="128">
      <x:c r="A128" s="24" t="str">
        <x:v>/privacy/</x:v>
      </x:c>
      <x:c r="B128" s="24" t="str">
        <x:v>operational</x:v>
      </x:c>
      <x:c r="C128" s="24" t="str">
        <x:v>/privacy</x:v>
      </x:c>
      <x:c r="D128" s="24"/>
      <x:c r="E128" s="24" t="str">
        <x:v>Privacy</x:v>
      </x:c>
      <x:c r="F128" s="28" t="str">
        <x:v>الخصوصية</x:v>
      </x:c>
      <x:c r="G128" s="24"/>
      <x:c r="H128" s="28"/>
    </x:row>
    <x:row r="129">
      <x:c r="A129" s="24" t="str">
        <x:v>/providers/</x:v>
      </x:c>
      <x:c r="B129" s="24" t="str">
        <x:v>static</x:v>
      </x:c>
      <x:c r="C129" s="24" t="str">
        <x:v>/providers</x:v>
      </x:c>
      <x:c r="D129" s="24"/>
      <x:c r="E129" s="24" t="str">
        <x:v>Providers: official lists show formal status on a date; operation needs other evidence</x:v>
      </x:c>
      <x:c r="F129" s="28" t="str">
        <x:v>قائمة مقدمي الخدمات تثبت وضعًا رسميًا في تاريخ محدد، لكنها لا تثبت التشغيل بذاتها.</x:v>
      </x:c>
      <x:c r="G129" s="24" t="str">
        <x:v>Official lists of the Central Bank of Yemen – Aden show which banks and exchange and remittance providers hold formal status on a date, not which operate.</x:v>
      </x:c>
      <x:c r="H129"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0">
      <x:c r="A130" s="24" t="str">
        <x:v>/readings/after-transfer-persistence/</x:v>
      </x:c>
      <x:c r="B130" s="24" t="str">
        <x:v>reading_detail</x:v>
      </x:c>
      <x:c r="C130" s="24" t="str">
        <x:v>/readings/[reading_id]</x:v>
      </x:c>
      <x:c r="D130" s="24" t="str">
        <x:v>after-transfer-persistence</x:v>
      </x:c>
      <x:c r="E130" s="24"/>
      <x:c r="F130" s="28"/>
      <x:c r="G130" s="24"/>
      <x:c r="H130" s="28"/>
    </x:row>
    <x:row r="131">
      <x:c r="A131" s="24" t="str">
        <x:v>/readings/banking-jump-measurement-basis/</x:v>
      </x:c>
      <x:c r="B131" s="24" t="str">
        <x:v>reading_detail</x:v>
      </x:c>
      <x:c r="C131" s="24" t="str">
        <x:v>/readings/[reading_id]</x:v>
      </x:c>
      <x:c r="D131" s="24" t="str">
        <x:v>banking-jump-measurement-basis</x:v>
      </x:c>
      <x:c r="E131" s="24"/>
      <x:c r="F131" s="28"/>
      <x:c r="G131" s="24" t="str">
        <x:v>A number can rise because the economy changed, or because the way an existing position is valued, classified or reported changed.</x:v>
      </x:c>
      <x:c r="H131" s="28" t="str">
        <x:v>قد يرتفع الرقم لأن الاقتصاد تغيّر، وقد يرتفع لأن طريقة تقييم مركز قائم أو تصنيفه أو الإبلاغ عنه تغيّرت.</x:v>
      </x:c>
    </x:row>
    <x:row r="132">
      <x:c r="A132" s="24" t="str">
        <x:v>/readings/define-what-you-count/</x:v>
      </x:c>
      <x:c r="B132" s="24" t="str">
        <x:v>reading_detail</x:v>
      </x:c>
      <x:c r="C132" s="24" t="str">
        <x:v>/readings/[reading_id]</x:v>
      </x:c>
      <x:c r="D132" s="24" t="str">
        <x:v>define-what-you-count</x:v>
      </x:c>
      <x:c r="E132" s="24"/>
      <x:c r="F132" s="28"/>
      <x:c r="G132" s="24"/>
      <x:c r="H132" s="28"/>
    </x:row>
    <x:row r="133">
      <x:c r="A133" s="24" t="str">
        <x:v>/readings/digital-workaround-not-yet-durable-inclusion/</x:v>
      </x:c>
      <x:c r="B133" s="24" t="str">
        <x:v>reading_detail</x:v>
      </x:c>
      <x:c r="C133" s="24" t="str">
        <x:v>/readings/[reading_id]</x:v>
      </x:c>
      <x:c r="D133" s="24" t="str">
        <x:v>digital-workaround-not-yet-durable-inclusion</x:v>
      </x:c>
      <x:c r="E133" s="24"/>
      <x:c r="F133" s="28"/>
      <x:c r="G133" s="24" t="str">
        <x:v>A study of e-money accounts to December 2019 found dormant accounts and one-time use. When does digital growth in Yemen become durable financial use?</x:v>
      </x:c>
      <x:c r="H133"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4">
      <x:c r="A134" s="24" t="str">
        <x:v>/readings/finance-constraint-different-questions/</x:v>
      </x:c>
      <x:c r="B134" s="24" t="str">
        <x:v>reading_detail</x:v>
      </x:c>
      <x:c r="C134" s="24" t="str">
        <x:v>/readings/[reading_id]</x:v>
      </x:c>
      <x:c r="D134" s="24" t="str">
        <x:v>finance-constraint-different-questions</x:v>
      </x:c>
      <x:c r="E134" s="24"/>
      <x:c r="F134" s="28"/>
      <x:c r="G134" s="24" t="str">
        <x:v>In a 2022 survey of formal firms, 22% named finance as a challenge, yet 91.84% of a narrower group rated it a major or moderate obstacle.</x:v>
      </x:c>
      <x:c r="H134" s="28" t="str">
        <x:v>في مسح عام 2022 للمنشآت الرسمية، ذكرت 22% التمويل تحديًا، بينما صنّفت 91.84% من مجموعة أضيق عائق التمويل كبيرًا أو متوسطًا.</x:v>
      </x:c>
    </x:row>
    <x:row r="135">
      <x:c r="A135" s="24" t="str">
        <x:v>/readings/from-rail-to-result-missing-middle/</x:v>
      </x:c>
      <x:c r="B135" s="24" t="str">
        <x:v>reading_detail</x:v>
      </x:c>
      <x:c r="C135" s="24" t="str">
        <x:v>/readings/[reading_id]</x:v>
      </x:c>
      <x:c r="D135" s="24" t="str">
        <x:v>from-rail-to-result-missing-middle</x:v>
      </x:c>
      <x:c r="E135" s="24"/>
      <x:c r="F135" s="28"/>
      <x:c r="G135" s="24"/>
      <x:c r="H135" s="28"/>
    </x:row>
    <x:row r="136">
      <x:c r="A136" s="24" t="str">
        <x:v>/readings/gender-gap-measured-causes-open/</x:v>
      </x:c>
      <x:c r="B136" s="24" t="str">
        <x:v>reading_detail</x:v>
      </x:c>
      <x:c r="C136" s="24" t="str">
        <x:v>/readings/[reading_id]</x:v>
      </x:c>
      <x:c r="D136" s="24" t="str">
        <x:v>gender-gap-measured-causes-open</x:v>
      </x:c>
      <x:c r="E136" s="24"/>
      <x:c r="F136" s="28"/>
      <x:c r="G136" s="24" t="str">
        <x:v>In the Global Findex 2021 wave for Yemen, 18.3% of men and 5.4% of women in surveyed areas had an account: a measured gap whose explanation is open.</x:v>
      </x:c>
      <x:c r="H136" s="28" t="str">
        <x:v>في موجة Global Findex 2021 الخاصة باليمن، كان لدى 18.3% من الرجال و5.4% من النساء في المناطق المشمولة حساب؛ وهي فجوة مقاسة ما يزال تفسيرها مفتوحًا.</x:v>
      </x:c>
    </x:row>
    <x:row r="137">
      <x:c r="A137" s="24" t="str">
        <x:v>/readings/</x:v>
      </x:c>
      <x:c r="B137" s="24" t="str">
        <x:v>static</x:v>
      </x:c>
      <x:c r="C137" s="24" t="str">
        <x:v>/readings</x:v>
      </x:c>
      <x:c r="D137" s="24"/>
      <x:c r="E137" s="24" t="str">
        <x:v>Evidence Readings</x:v>
      </x:c>
      <x:c r="F137" s="28" t="str">
        <x:v>قراءات الأدلة</x:v>
      </x:c>
      <x:c r="G137" s="24"/>
      <x:c r="H137" s="28"/>
    </x:row>
    <x:row r="138">
      <x:c r="A138" s="24" t="str">
        <x:v>/readings/microfinance-structural-divergence/</x:v>
      </x:c>
      <x:c r="B138" s="24" t="str">
        <x:v>reading_detail</x:v>
      </x:c>
      <x:c r="C138" s="24" t="str">
        <x:v>/readings/[reading_id]</x:v>
      </x:c>
      <x:c r="D138" s="24" t="str">
        <x:v>microfinance-structural-divergence</x:v>
      </x:c>
      <x:c r="E138" s="24"/>
      <x:c r="F138" s="28"/>
      <x:c r="G138" s="24" t="str">
        <x:v>“Microfinance growth” sounds like one result. The evidence describes several.</x:v>
      </x:c>
      <x:c r="H138" s="28" t="str">
        <x:v>تبدو عبارة «نمو التمويل الأصغر» كأنها نتيجة واحدة، لكن الأدلة تصف أكثر من نتيجة.</x:v>
      </x:c>
    </x:row>
    <x:row r="139">
      <x:c r="A139" s="24" t="str">
        <x:v>/readings/reforms-newer-than-people-evidence/</x:v>
      </x:c>
      <x:c r="B139" s="24" t="str">
        <x:v>reading_detail</x:v>
      </x:c>
      <x:c r="C139" s="24" t="str">
        <x:v>/readings/[reading_id]</x:v>
      </x:c>
      <x:c r="D139" s="24" t="str">
        <x:v>reforms-newer-than-people-evidence</x:v>
      </x:c>
      <x:c r="E139" s="24"/>
      <x:c r="F139" s="28"/>
      <x:c r="G139" s="24" t="str">
        <x:v>As checked on 3 October 2026, the most recent representative measure of account ownership in Yemen is 11.9% of adults in surveyed areas (Findex 2021; fieldwork 2022–23); the system has moved since.</x:v>
      </x:c>
      <x:c r="H139" s="28" t="str">
        <x:v>عند الاطلاع في 3 أكتوبر 2026، كانت أحدث نسبة ممثلة لامتلاك الحساب في اليمن 11.9% من البالغين في المناطق المشمولة (Findex 2021؛ العمل الميداني 2022–2023)؛ والمنظومة تغيّرت منذ ذلك الحين.</x:v>
      </x:c>
    </x:row>
    <x:row r="140">
      <x:c r="A140" s="24" t="str">
        <x:v>/readings/same-year-different-number/</x:v>
      </x:c>
      <x:c r="B140" s="24" t="str">
        <x:v>reading_detail</x:v>
      </x:c>
      <x:c r="C140" s="24" t="str">
        <x:v>/readings/[reading_id]</x:v>
      </x:c>
      <x:c r="D140" s="24" t="str">
        <x:v>same-year-different-number</x:v>
      </x:c>
      <x:c r="E140" s="24"/>
      <x:c r="F140" s="28"/>
      <x:c r="G140" s="24" t="str">
        <x:v>Two annual reports of the Central Bank of Yemen – Aden (CBY-Aden) give markedly different remittance values for the same reference year.</x:v>
      </x:c>
      <x:c r="H140" s="28" t="str">
        <x:v>يورد تقريران سنويان للبنك المركزي اليمني – عدن قيمتين متباينتين تباينًا واضحًا للتحويلات في السنة المرجعية نفسها.</x:v>
      </x:c>
    </x:row>
    <x:row r="141">
      <x:c r="A141" s="24" t="str">
        <x:v>/reforms/</x:v>
      </x:c>
      <x:c r="B141" s="24" t="str">
        <x:v>static</x:v>
      </x:c>
      <x:c r="C141" s="24" t="str">
        <x:v>/reforms</x:v>
      </x:c>
      <x:c r="D141" s="24"/>
      <x:c r="E141" s="24" t="str">
        <x:v>A reform can be real before its outcome is known.</x:v>
      </x:c>
      <x:c r="F141" s="28" t="str">
        <x:v>قد يقع الإصلاح فعلًا وتبقى نتيجته مجهولة.</x:v>
      </x:c>
      <x:c r="G141" s="24" t="str">
        <x:v>Recent reforms are documented at the rule, funding and institution stages; there is no evidence yet that they changed access, use, quality or outcomes.</x:v>
      </x:c>
      <x:c r="H141"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2">
      <x:c r="A142" s="24" t="str">
        <x:v>/remittances/</x:v>
      </x:c>
      <x:c r="B142" s="24" t="str">
        <x:v>static</x:v>
      </x:c>
      <x:c r="C142" s="24" t="str">
        <x:v>/remittances</x:v>
      </x:c>
      <x:c r="D142" s="24"/>
      <x:c r="E142" s="24" t="str">
        <x:v>Remittances: each figure depends on its source, concept and edition</x:v>
      </x:c>
      <x:c r="F142" s="28" t="str">
        <x:v>التحويلات: كل رقم يتوقف على مصدره ومفهومه والإصدار الذي نُشر فيه</x:v>
      </x:c>
      <x:c r="G142" s="24" t="str">
        <x:v>Remittance figures depend on source, concept and edition: the 2025 annual report of the Central Bank of Yemen – Aden revised 2024, which is not a fall.</x:v>
      </x:c>
      <x:c r="H142" s="28" t="str">
        <x:v>يتوقف رقم التحويلات على مصدره ومفهومه وإصداره: فقد راجع التقرير السنوي 2025 للبنك المركزي اليمني – عدن قيمة عام 2024، وهذه مراجعة لا هبوط.</x:v>
      </x:c>
    </x:row>
    <x:row r="143">
      <x:c r="A143" s="24" t="str">
        <x:v>/rights/</x:v>
      </x:c>
      <x:c r="B143" s="24" t="str">
        <x:v>operational</x:v>
      </x:c>
      <x:c r="C143" s="24" t="str">
        <x:v>/rights</x:v>
      </x:c>
      <x:c r="D143" s="24"/>
      <x:c r="E143" s="24" t="str">
        <x:v>Source and data rights</x:v>
      </x:c>
      <x:c r="F143" s="28" t="str">
        <x:v>حقوق المصادر والبيانات</x:v>
      </x:c>
      <x:c r="G143" s="24"/>
      <x:c r="H143" s="28"/>
    </x:row>
    <x:row r="144">
      <x:c r="A144" s="24" t="str">
        <x:v>/terms/</x:v>
      </x:c>
      <x:c r="B144" s="24" t="str">
        <x:v>operational</x:v>
      </x:c>
      <x:c r="C144" s="24" t="str">
        <x:v>/terms</x:v>
      </x:c>
      <x:c r="D144" s="24"/>
      <x:c r="E144" s="24" t="str">
        <x:v>Terms and responsible reuse</x:v>
      </x:c>
      <x:c r="F144" s="28" t="str">
        <x:v>الشروط وإعادة الاستخدام المسؤول</x:v>
      </x:c>
      <x:c r="G144" s="24"/>
      <x:c r="H144" s="28"/>
    </x:row>
    <x:row r="145">
      <x:c r="A145" s="24" t="str">
        <x:v>/evidence/CLM-062/</x:v>
      </x:c>
      <x:c r="B145" s="24" t="str">
        <x:v>evidence_detail</x:v>
      </x:c>
      <x:c r="C145" s="24" t="str">
        <x:v>/evidence/[id]</x:v>
      </x:c>
      <x:c r="D145" s="24" t="str">
        <x:v>CLM-062</x:v>
      </x:c>
      <x:c r="E145" s="24"/>
      <x:c r="F145" s="28"/>
      <x:c r="G145" s="24" t="str">
        <x:v>In the 2022 seven-governorate survey, 58.2% of formal firms reported a bank account, but their working capital came mainly from internal sources.</x:v>
      </x:c>
      <x:c r="H145" s="28" t="str">
        <x:v>في مسح عام 2022 لسبع محافظات، أفادت 58.2% من المنشآت الرسمية بامتلاك حساب مصرفي، لكن رأس مالها العامل جاء أساسًا من مصادر داخلية.</x:v>
      </x:c>
    </x:row>
    <x:row r="146">
      <x:c r="A146" s="24" t="str">
        <x:v>/evidence/FMIIP-BASELINE-2025-01/</x:v>
      </x:c>
      <x:c r="B146" s="24" t="str">
        <x:v>evidence_detail</x:v>
      </x:c>
      <x:c r="C146" s="24" t="str">
        <x:v>/evidence/[id]</x:v>
      </x:c>
      <x:c r="D146" s="24" t="str">
        <x:v>FMIIP-BASELINE-2025-01</x:v>
      </x:c>
      <x:c r="E146" s="24"/>
      <x:c r="F146" s="28"/>
      <x:c r="G146" s="24" t="str">
        <x:v>January 2025 baselines in the World Bank-financed FMIIP results framework count accounts, access points, merchants and agents, not people.</x:v>
      </x:c>
      <x:c r="H146" s="28" t="str">
        <x:v>تعدّ خطوط الأساس لشهر يناير 2025 في إطار نتائج مشروع FMIIP الممول من البنك الدولي الحسابات ونقاط الوصول والتجار والوكلاء، لا الأشخاص.</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resource on financial inclusion in Yemen. For each figure, it shows what the evidence establishes and what it does not, when and for whom the figure applies, and where it comes from.</x:v>
      </x:c>
      <x:c r="F5" s="28"/>
      <x:c r="G5" s="28" t="str">
        <x:v>«أدلة الشمول المالي في اليمن» مورد عام ثنائي اللغة عن الشمول المالي في اليمن. ويبيّن لكل رقم ما الذي تثبته الأدلة وما الذي لا تثبته، ومتى ولمن ينطبق، ومن أين جاء.</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11.9% of adults aged 15 and over in the areas surveyed had an account at a financial institution or with a mobile-money provider, according to the latest representative population measure: the World Bank’s Global Findex 2021 survey of Yemen (fieldwork 7 November 2022 to 9 January 2023; World Bank data year 2022). Areas holding about 23% of the population were not surveyed. In the same survey, 18.3% of men and 5.4% of women had an account, a gap of 12.9 percentage points. Separately, point-of-sale (POS) terminals reported by the Central Bank of Yemen – Aden (CBY-Aden) rose from 561 in March 2025 to 1,651 in June 2026, within CBY-Aden’s reporting scope. These are different measures: people, a disparity within one survey, and infrastructure. None substitutes for another.</x:v>
      </x:c>
      <x:c r="F8" s="28"/>
      <x:c r="G8" s="28"/>
    </x:row>
    <x:row r="9">
      <x:c r="A9" s="24" t="str">
        <x:v>/</x:v>
      </x:c>
      <x:c r="B9" s="24" t="n">
        <x:v>3</x:v>
      </x:c>
      <x:c r="C9" s="24" t="str">
        <x:v>الدليل</x:v>
      </x:c>
      <x:c r="D9" s="24"/>
      <x:c r="E9" s="24"/>
      <x:c r="F9" s="28" t="str">
        <x:v>ثلاثة أرقام تقيس ثلاثة أشياء مختلفة</x:v>
      </x:c>
      <x:c r="G9" s="28" t="str">
        <x:v>كان لدى 11.9% من البالغين بعمر 15 سنة فأكثر في المناطق التي شملها المسح حساب لدى مؤسسة مالية أو لدى مقدم خدمة أموال عبر الهاتف المحمول، وفق أحدث قياس ممثل للسكان: مسح المؤشر العالمي للشمول المالي (Global Findex) لعام 2021 في اليمن، الصادر عن البنك الدولي (نُفذ العمل الميداني من 7 نوفمبر 2022 إلى 9 يناير 2023؛ وسنة البيانات لدى البنك الدولي 2022). ولم يشمل المسح مناطق يسكنها نحو 23% من السكان. وفي المسح نفسه، كان لدى 18.3% من الرجال و5.4% من النساء حساب، بفارق 12.9 نقطة مئوية. وبصورة منفصلة، ارتفع عدد أجهزة نقاط البيع التي يُبلغ عنها البنك المركزي اليمني – عدن من 561 في مارس 2025 إلى 1,651 في يونيو 2026، ضمن نطاق إبلاغه.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التحويلات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in front of you.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اختر السؤال الأقرب إلى القرار أو المسألة التي أمامك.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does not claim, who remains authoritative for the data, and how to check, challenge and reuse what you find here. The resource does not make decisions for users or simulate policy outcomes.</x:v>
      </x:c>
      <x:c r="F22" s="28"/>
      <x:c r="G22" s="28" t="str">
        <x:v>توضح هذه الصفحة سبب وجود هذا المورد، وما تضيفه CauseWay وما لا تدّعيه، ومن يبقى المرجع للبيانات، وكيف تتحقق مما تجده هنا وتعترض عليه وتعيد استخدامه.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CauseWay is a Yemeni institutional advisory firm based in Aden (Commercial Registration No. 26666). It works with financial institutions, public institutions and development partners where finance, governance, regulation and implementation meet. Some of those institutions publish evidence used in this resource. That evidence is selected and presented by the method published here, and every record can be checked against the sources it names and corrected through the published route.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CauseWay شركة استشارات مؤسسية يمنية مقرّها عدن (سجل تجاري رقم 26666)، تعمل مع المؤسسات المالية والمؤسسات العامة وشركاء التنمية حيث تلتقي المالية والحوكمة والتنظيم والتنفيذ. وتنشر بعض هذه المؤسسات أدلةً يستخدمها هذا المورد؛ وتُختار هذه الأدلة وتُعرض وفق المنهج المنشور هنا، ويمكن التحقق من كل سجل بالرجوع إلى المصادر التي يسمّيها وتصحيحه عبر المسار المنشور.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إتاحة الوصول</x:v>
      </x:c>
      <x:c r="G54" s="28" t="str">
        <x:v>يمكن الإبلاغ عن مشكلات إتاحة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لإتاحة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إتاحة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إتاحة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 Institutions whose documents or data are used in this resource can request a correction to any record through the same route as any reader: write to office@causewaygrp.com with the record or source reference.</x:v>
      </x:c>
      <x:c r="F61" s="28"/>
      <x:c r="G61" s="28" t="str">
        <x:v>التصحيحات الجوهرية للأدلة المنشورة والسجلات المستبدلة، وكيف تُسجَّل. ويمكن للمؤسسات التي تُستخدم وثائقها أو بياناتها في هذا المورد أن تطلب تصحيح أي سجل عبر المسار نفسه المتاح لأي قارئ: بالكتابة إلى office@causewaygrp.com مع مرجع السجل أو المصدر.</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link and, where recorded, its title, publisher and date; reuse terms have not yet been assessed for any source. The figures themselves are recorded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الاحتساب،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Evidence Readings: {{n:readings}}
Measurement Agenda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قراءات الأدلة: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The table compares definition, population or calculation base, period, method, source and currentness; read each record for its geography and unit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يقارن الجدول التعريف ومجتمع القياس أو قاعدة الاحتساب والفترة والطريقة والمصدر وحداثة الدليل؛ واقرأ كل سجل لمعرفة نطاقه الجغرافي ووحدته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in front of you.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أمامك.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التحويلات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the evidence base does not specify whether this total is funding committed or funding disbursed. The 2021–2024 total is not established as a count of unique firms. These are programme-delivery measures for the firms the programme supported; they are not a count of Yemen’s MSME population, a measure of financial-sector lending, or proof of causal impact.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ولا تحدد قاعدة الأدلة ما إذا كان هذا الإجمالي تمويلًا ملتزمًا به أم مصروفًا.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This agenda links evidence gaps to specific decision questions. It does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agenda</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evidence agenda,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agenda itself</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agenda changes</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agenda</x:v>
      </x:c>
      <x:c r="D153" s="24" t="str">
        <x:v>Measurements that would change decisions</x:v>
      </x:c>
      <x:c r="E153" s="24" t="str">
        <x:v>Each agenda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Point-of-sale (POS) terminals reported by the Central Bank of Yemen – Aden rose from 561 to 1,651 between March 2025 and June 2026, within its reporting scope; how many people use them is not measured. 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ارتفع عدد أجهزة نقاط البيع التي يُبلغ عنها البنك المركزي اليمني – عدن من 561 إلى 1,651 بين مارس 2025 ويونيو 2026، ضمن نطاق إبلاغه؛ أما عدد من يستخدمونها فغير مقيس. وتستطيع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 The transaction series supports only a narrower reading: the totals CBY-Aden reports are higher in June 2026 than in March 2025, but they did not rise steadily and fell in several months; whether the reporting scope stayed the same, including across the change of release format in July 2025, has not been verified.</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 ولا تدعم سلسلة المعاملات إلا قراءة أضيق: فالإجماليات التي يُبلغ عنها البنك المركزي في عدن أعلى في يونيو 2026 منها في مارس 2025، لكنها لم ترتفع باطراد وانخفضت في عدة أشهر؛ ولم يُتحقق من استمرارية نطاق الإبلاغ، بما في ذلك عند تغيّر شكل الإصدار في يوليو 2025.</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7 November 2022 to 9 January 2023), found that 11.9% of adults aged 15 and over in the areas surveyed had an account: 5.4% of women and 18.3%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7 نوفمبر 2022 إلى 9 يناير 2023 — أن 11.9% من البالغين بعمر 15 سنة فأكثر في المناطق التي شملها المسح يملكون حسابًا، بواقع 5.4% بين النساء و18.3%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Account ownership: the representative measure from the Global Findex 2021 wave</x:v>
      </x:c>
      <x:c r="E190" s="24" t="str">
        <x:v>Global Findex 2021 reports 11.9% account ownership for Yemen; the Yemen fieldwork was carried out in 2022–23. The value is a survey measure for that wave and fieldwork period, not a 2026 population rate. For context only, the World Bank's figure for the same wave across the 19 low-income economies surveyed in it, Yemen among them, is 35.2%; it averages very different economies and is not a benchmark or a ranking.</x:v>
      </x:c>
      <x:c r="F190" s="28"/>
      <x:c r="G190" s="28"/>
    </x:row>
    <x:row r="191">
      <x:c r="A191" s="24" t="str">
        <x:v>/people/</x:v>
      </x:c>
      <x:c r="B191" s="24" t="n">
        <x:v>2</x:v>
      </x:c>
      <x:c r="C191" s="24" t="str">
        <x:v>الدليل</x:v>
      </x:c>
      <x:c r="D191" s="24"/>
      <x:c r="E191" s="24"/>
      <x:c r="F191" s="28" t="str">
        <x:v>امتلاك الحساب: القياس الممثل من موجة Global Findex 2021</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 وللسياق فقط، يبلغ رقم البنك الدولي للموجة نفسها في الاقتصادات منخفضة الدخل الـ19 التي شملتها، ومنها اليمن، 35.2%؛ وهو متوسط لاقتصادات متباينة جدًا، وليس معيارًا ولا ترتيبًا.</x:v>
      </x:c>
    </x:row>
    <x:row r="192">
      <x:c r="A192" s="24" t="str">
        <x:v>/people/</x:v>
      </x:c>
      <x:c r="B192" s="24" t="n">
        <x:v>3</x:v>
      </x:c>
      <x:c r="C192" s="24" t="str">
        <x:v>Evidence</x:v>
      </x:c>
      <x:c r="D192" s="24" t="str">
        <x:v>Measured gaps by sex, income, education and age — not yet explanations</x:v>
      </x:c>
      <x:c r="E192" s="24" t="str">
        <x:v>In the same wave, 5.4% of women and 18.3% of men have an account — a difference of 12.9 percentage points. Adults in the richest 60% by household income (15.5%) and in the poorest 40% (6.5%) differ by 9.0 percentage points. Among adults with primary education or less, 7.0% have an account, compared with 19.5% of adults with secondary education or more: a gap of 12.5 percentage points. Adults aged 15–24 (5.0%) and adults aged 25 and over (16.1%) differ by 11.1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 من النساء و18.3% من الرجال حسابًا، بفارق 12.9 نقطة مئوية. ويبلغ الفارق بين البالغين في أغنى 60% بحسب دخل الأسرة (15.5%) وفي أفقر 40% (6.5%) 9.0 نقطة مئوية. وتبلغ نسبة امتلاك الحساب 7.0% بين البالغين الذين لم يتجاوز تعليمهم المرحلة الابتدائية، مقابل 19.5% بين الحاصلين على تعليم ثانوي فأعلى، أي بفارق 12.5 نقطة مئوية. ويبلغ الفارق بين الشباب بعمر 15–24 سنة (5.0%) والبالغين بعمر 25 سنة فأكثر (16.1%) 11.1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12.9-point gender difference, the 9.0-point income difference, the 12.5-point education difference and the 11.1-point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 نقطة بين الرجال والنساء وفارق 9.0 نقطة بين فئتي الدخل وفارق 12.5 نقطة بين فئتي التعليم وفارق 11.1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and borrowing tell a different — older — story</x:v>
      </x:c>
      <x:c r="E198" s="24" t="str">
        <x:v>In the 2014 World Bank weighted country profile, 65.9% of adults reported borrowing any money, including 51.7% from family or friends, 15.0% from a private informal lender and 0.4% from a financial institution. Separately, 20.6% reported saving any money, including 0.9% at a financial institution and 4.5% through a savings club or a person outside the family. The categories are not additive, and each percentage applies to the all-adult base used by that question.</x:v>
      </x:c>
      <x:c r="F198" s="28"/>
      <x:c r="G198" s="28"/>
    </x:row>
    <x:row r="199">
      <x:c r="A199" s="24" t="str">
        <x:v>/people/</x:v>
      </x:c>
      <x:c r="B199" s="24" t="n">
        <x:v>6</x:v>
      </x:c>
      <x:c r="C199" s="24" t="str">
        <x:v>التحليل</x:v>
      </x:c>
      <x:c r="D199" s="24"/>
      <x:c r="E199" s="24"/>
      <x:c r="F199" s="28" t="str">
        <x:v>الاقتراض والادخار يقدمان صورة أخرى — لكنها أقدم</x:v>
      </x:c>
      <x:c r="G199" s="28" t="str">
        <x:v>في الملف القطري الموزون للبنك الدولي لعام 2014، أفاد 65.9% من البالغين بأنهم اقترضوا أي مبلغ، واقترض 51.7% من جميع البالغين من الأسرة أو الأصدقاء، و15.0% من مقرض خاص غير رسمي، و0.4% من مؤسسة مالية. وبشكل منفصل، أفاد 20.6% بأنهم ادخروا أي مبلغ، وادخر 0.9% من جميع البالغين لدى مؤسسة مالية و4.5% عبر جمعية ادخار أو شخص من خارج الأسرة. وهذه الفئات غير قابلة للجمع، وكل نسبة تنطبق على قاعدة جميع البالغين المستخدمة في السؤال المعني.</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2021 wave does not cover all of Yemen</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7 November 2022 to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لموجة 2021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7 نوفمبر 2022 إلى 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This resource is hosted on DigitalOcean App Platform. Readers reach it through causewaygrp.com, CauseWay's own website, which passes each request for these pages on to it. The causewaygrp.com website therefore receives the technical details that come with every request, such as the page address, the time of the request, the IP address and the browser type; if the browser holds the cookie that the causewaygrp.com website sets, that cookie is sent to the website with each request. App Platform, including the content-delivery network it serves through, receives each request as it is passed on. Either may keep such details in logs. Which details are kept, for what purpose, for how long and by which provider has not yet been confirmed; it will be stated here once it is.</x:v>
      </x:c>
      <x:c r="F212" s="28" t="str">
        <x:v>سجلات الاستضافة والأمن</x:v>
      </x:c>
      <x:c r="G212" s="28" t="str">
        <x:v>يُستضاف هذا المورد على خدمة App Platform من DigitalOcean، ويصل إليه القرّاء عبر causewaygrp.com، وهو موقع CauseWay الإلكتروني الذي يمرّر إليه كل طلب لهذه الصفحات. ولذلك يتلقى موقع causewaygrp.com البيانات التقنية المصاحبة لكل طلب، مثل رابط الصفحة ووقت الطلب وعنوان IP ونوع المتصفح؛ وإذا كان المتصفح يحتفظ بملف تعريف الارتباط الذي يضعه موقع causewaygrp.com، فإنه يرسله إلى ذلك الموقع مع كل طلب. وتتلقى App Platform، بما فيها شبكة توصيل المحتوى التي تقدّم الصفحات عبرها، كل طلب كما يُمرَّر إليها. وقد يحتفظ أيٌّ منهما بهذه البيانات في سجلات. ولم يُؤكَّد بعدُ أيّ البيانات تُحفظ، ولا الغرض من حفظها، ولا مدة حفظها، ولا الجهة التي تحفظها؛ وسيُذكر ذلك هنا عند تأكيده.</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 This resource sets no cookies; at its public address on causewaygrp.com, browsers may also send a cookie that the causewaygrp.com website sets for all its pages, and this resource does not read it.</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 ولا يضع هذا المورد أي ملف ارتباط؛ وفي عنوانه العام على causewaygrp.com قد ترسل المتصفحات أيضًا ملف ارتباط يضعه موقع causewaygrp.com لجميع صفحاته، ولا يقرؤه هذا المورد.</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12 of them are classified as microfinance banks on the basis of their names in the source. These are facts about formal listing and classification. They do not establish whether every institution is operating, which branches are active, what products are available, market share, participation in payment systems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specific entities. For the decisions it shows, which are a selection rather than a complete list, this resource records the date, decision number, entity class and action; the entity names stay in its internal source records.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بعينها. وللقرارات التي يعرضها، وهي مختارة وليست قائمة كاملة، يسجّل هذا المورد التاريخ ورقم القرار وفئة الجهة والإجراء، وتبقى أسماء الجهات في سجل المصادر الداخلي لهذا المورد.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تنطلق من الأدلة عند النقاط التي تغيّر فيها بيانات الشمول المالي في اليمن السؤال نفسه، لا الإجابة فقط. ويمكن تتبّع كل قراءة إلى الأدلة التي قامت عليها.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قد تنجح عملية التحويل قبل أن تبدأ علاقة مالية. فيمكن تحديد المستفيد المقصود، واعتماد الدفعة، وإيصال الأموال، وتمكين المستفيد من الوصول إليها، وفتح حساب صالح للاستخدام، وتوسيع قناة صرف جديدة إلى أماكن يصعب فيها توزيع النقد. وهذه نتائج حقيقية ينبغي قياسها والاعتراف بها كما هي. أما الشمول المالي فيطرح سؤالًا آخر: ماذا يحدث بعد وصول المال؟
تصف مواد البنك الدولي ومبادرة G2Px الصادرة في مايو 2024 تجربة للدفع الرقمي ضمن برنامج التحويلات النقدية غير المشروطة في اليمن، نُفذت في ثماني مديريات، وأفاد شركاء البرنامج بأنها شملت 45,460 مستفيدًا. وركزت التجربة على الدفع إلى حسابات كاملة الوظائف وعلى حرية المستفيد في الاختيار. وهذا يتجاوز مجرد تغيير أداة الصرف؛ فالحساب الكامل الوظائف يستطيع، من حيث التصميم، أن يستقبل الأموال ويحتفظ بالقيمة ويُجري المدفوعات، والاختيار مهم لأن نظامًا يضع المستفيد في مركزه لا ينبغي أن يعامله متلقيًا سلبيًا لدفعة برنامجية.
لكن الإمكانية لا تعني الاستمرار. فالأدلة المتاحة عن اليمن لا تخبرنا بعدُ ما إذا كان المستفيدون قد استخدموا هذه الحسابات بين دفعة وأخرى، أو أبقوا فيها أرصدة، أو تلقوا فيها أموالًا من خارج البرنامج، أو دفعوا منها لتجار أو سددوا فواتير، أو أجروا تحويلات بمبادرتهم، أو بدّلوا مقدم الخدمة، أو واصلوا استخدام الحساب بعد أن ضعفت دفعات البرنامج التي دفعتهم إليه أو انتهت. وهذه هي الملاحظة المفقودة.</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Nor can it be added to, or compared directly with, counts of ATMs, POS terminals or agents unless the project’s access-point definitions and de-duplication rules are documented, and in the evidence base they are not. A bounded measure is not weak because its universe is narrow; it becomes misleading when that universe disappears from view.</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ولا يجوز جمعه مع أعداد أجهزة الصراف الآلي أو نقاط البيع أو الوكلاء، أو مقارنته بها مباشرة، ما لم تُوثَّق تعريفات المشروع لنقاط الوصول وقواعد إزالة الازدواج، وهي غير موثقة في قاعدة الأدلة. ضيق نطاق المقياس لا يجعله ضعيفًا؛ ما يجعله مضللًا أن يغيب هذا النطاق عن العرض.</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Before accepting any baseline, target or claim of progress, ask:
- What exactly is being counted?
- Among whom does the number apply?
- What makes the unit active, or included?
- Are the baseline and the result measured under the same definition?
- What does the measure still not tell us?</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وقبل قبول أي خط أساس أو مستهدف أو ادعاء بالتقدم، اسأل:
- ما الذي يُعدّ بالضبط؟
- على من ينطبق الرقم؟
- ما الذي يجعل الوحدة نشطة أو مشمولة؟
- هل قيس خط الأساس والنتيجة بالتعريف نفسه؟
- ما الذي لا يخبرنا به المقياس بعد؟</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the 2022 Yemen Enterprise Survey, which covered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groups of firms</x:v>
      </x:c>
      <x:c r="E258"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ومجموعتان من المنشآت</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the project's implementation report of 8 April 2026 reported both as not operational at 31 August 2025, the day before the project became effective,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السريع ونظامَ التسوية الإجمالية الفورية على أنهما غير عاملين بعد في يناير 2025، وسجلهما تقرير تنفيذ المشروع المؤرخ 8 أبريل 2026 غير عاملين في 31 أغسطس 2025، أي قبل يوم من نفاذ المشروع،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 of men and 5.4% of women aged 15 and over in the areas surveyed had an account, a gap of 12.9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x:v>
      </x:c>
      <x:c r="F270" s="28"/>
      <x:c r="G270" s="28" t="str">
        <x:v>في أحدث موجة من مسح Findex العالمي في اليمن، كان 18.3% من الرجال و5.4% من النساء بعمر 15 سنة فأكثر، في المناطق التي شملها المسح، يملكون حسابًا، بفجوة قدرها 12.9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يتشكل فيها الوصول.</x:v>
      </x:c>
    </x:row>
    <x:row r="271">
      <x:c r="A271" s="24" t="str">
        <x:v>/readings/gender-gap-measured-causes-open/</x:v>
      </x:c>
      <x:c r="B271" s="24" t="n">
        <x:v>3</x:v>
      </x:c>
      <x:c r="C271" s="24"/>
      <x:c r="D271" s="24" t="str">
        <x:v>The mechanism is still open</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12.9-point gap among them.
The same survey records a gap of 9.0 percentage points between adults in the poorest 40% of households by income (6.5%) and those in the richest 60% (15.5%). That does not explain the gender gap. It shows why one-dimensional explanations are risky.</x:v>
      </x:c>
      <x:c r="F271" s="28" t="str">
        <x:v>الآلية ما تزال مفتوحة</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 نقطة بين هذه الآليات.
ويسجل المسح نفسه فجوة قدرها 9.0 نقطة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محفظة القروض الاسمية بُعد ثالث</x:v>
      </x:c>
      <x:c r="G277"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from 7 November 2022 to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1"/>
      <x:c r="G281"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7 نوفمبر 2022 إلى 9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التحويلات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Two annual reports of the Central Bank of Yemen – Aden (CBY-Aden) give markedly different remittance values for the same reference year. The 2024 report put remittances in 2024 at USD 6,245 million; the 2025 report restated 2024 at USD 3,422.16 million.
The gap is large, but it does not show that remittances collapsed. Both values describe 2024. Before the difference can be read as economic movement, the change in statistical vintage, scope or method has to be understood.</x:v>
      </x:c>
      <x:c r="F285"/>
      <x:c r="G285" t="str">
        <x:v>يورد تقريران سنويان للبنك المركزي اليمني – عدن قيمتين متباينتين تباينًا واضحًا للتحويلات في السنة المرجعية نفسها. فقد قدّر تقرير 2024 التحويلات في عام 2024 بمبلغ 6,245 مليون دولار، ثم أعاد تقرير 2025 عرض قيمة عام 2024 عند 3,422.16 مليون دولار.
الفرق كبير، لكنه لا يثبت أن التحويلات انهارت؛ فالقيمتان تصفان عام 2024 نفسه. وقبل قراءة الفرق حركةً في الاقتصاد، ينبغي فهم ما تغيّر في نسخة النشر أو نطاق الإحصاء أو منهجه.</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«تحويلات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التحويلات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التحويلات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التحويلات بين الأسر أو المحافظات أو القنوات. كما لا يجوز إعادة تسمية صافي السهو والخطأ في ميزان المدفوعات تحويلاتٍ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mobile e-money amendment (Governor's Decision No. 4 of 2025)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الصادر بقرار المحافظ رقم (4) لسنة 2025 والموقَّع في ذلك العام،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x:v>
      </x:c>
    </x:row>
    <x:row r="303">
      <x:c r="A303" t="str">
        <x:v>/reforms/</x:v>
      </x:c>
      <x:c r="B303" t="n">
        <x:v>7</x:v>
      </x:c>
      <x:c r="C303" t="str">
        <x:v>Evidence</x:v>
      </x:c>
      <x:c r="D303" t="str">
        <x:v>The July 2026 SMP agreement is staff-level and conditional</x:v>
      </x:c>
      <x:c r="E303" t="str">
        <x:v>On 16 July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تحويلات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kinds of evidence</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التحويلات الكلية لا تقيس حجم الحوالة غير الرسمية.</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السهو والخطأ</x:v>
      </x:c>
      <x:c r="G325" t="str">
        <x:v>في التقرير السنوي 2025 للبنك المركزي اليمني – عدن يفوق صافي السهو والخطأ بندَ التحويلات المنشور في كل سنة من 2021 إلى 2025؛ وفي 2025 بلغ المتبقي نحو 7.117 مليار دولار مقابل 3.614 مليار دولار للتحويلات، أي قرابة 1.97 مرة. وصافي السهو والخطأ بندٌ موازِن محاسبيًا، وليس تدفقًا مرصودًا ولا تقديرًا لتحويلات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التحويلات؟</x:v>
      </x:c>
      <x:c r="G327" t="str">
        <x:v>لا تساوي سلسلة التحويلات الواردة في ميزان المدفوعات حجمَ الحوالة غير الرسمية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تحويلات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CauseWay's own content in this resource is licensed under CC BY 4.0; material from other publishers stays under their terms. This page explains how both affect what this resource shows and what you may republish.</x:v>
      </x:c>
      <x:c r="F330"/>
      <x:c r="G330" t="str">
        <x:v>يُتاح محتوى CauseWay الخاص في هذا المورد بموجب رخصة CC BY 4.0، وتبقى مواد الناشرين الآخرين خاضعة لشروطهم. وتوضح هذه الصفحة كيف يؤثر كلاهما في ما يعرضه هذا المورد وفي ما يجوز لك إعادة نشره.</x:v>
      </x:c>
    </x:row>
    <x:row r="331">
      <x:c r="A331" t="str">
        <x:v>/rights/</x:v>
      </x:c>
      <x:c r="B331" t="n">
        <x:v>2</x:v>
      </x:c>
      <x:c r="C331"/>
      <x:c r="D331" t="str">
        <x:v>Citation, factual use and redistribution are separate</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31" t="str">
        <x:v>الاستشهاد، والإفادة من الوقائع والأرقام، وإعادة التوزيع: ثلاثة أذونات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 CauseWay's own content is licensed under CC BY 4.0; see Rights &amp; reuse.</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 ويُتاح محتوى CauseWay الخاص بموجب رخصة CC BY 4.0؛ راجع صفحة «الحقوق وإعادة الاستخدام».</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When you take a figure or a finding from this resource, also cite the evidence record, in the two-line form shown on Rights &amp; reuse.</x:v>
      </x:c>
      <x:c r="F339" t="str">
        <x:v>الاستشهاد</x:v>
      </x:c>
      <x:c r="G339" t="str">
        <x:v>استشهد بالمصدر الأصلي. وعندما تأخذ رقمًا أو نتيجة من هذا المورد، استشهد أيضًا بسجل الدليل بصيغة السطرين المبيّنة في صفحة «الحقوق وإعادة الاستخدام».</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Whose list is this?</x:v>
      </x:c>
      <x:c r="E343"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قائمة مَن هذه؟</x:v>
      </x:c>
      <x:c r="G344"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3 October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3 أكتوبر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and several — frequency of use, financial resilience, digital capability, affordability and differences by age — are defined in the 2021 survey data but not yet estimated.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كتكرار الاستخدام والصمود المالي والقدرات الرقمية والقدرة على تحمل التكلفة والفروق بحسب 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a project definition that the evidence base does not document.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للمشروع لا توثقه قاعدة الأدلة.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A derived value, such as the difference between two percentages, keeps the precision of its inputs, with no added decimal places, and small differences between estimates are not read as a ranking. Global Findex shares are printed to one decimal place, rounded from the World Bank's unrounded values, and a gap between two groups is the difference of the two printed shares. One decimal place matches the World Bank's own country table for Yemen in The Little Data Book on Financial Inclusion 2015. It is a display convention, not a claim of accuracy to a tenth of a point: with a sample of about 1,000 adults, and fewer in each group, sampling error is far larger than that.</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وتحتفظ القيمة المشتقة، كالفرق بين نسبتين، بدقة مدخلاتها من دون منازل عشرية إضافية، ولا تُقرأ الفروق الطفيفة بين التقديرات على أنها ترتيب. وتُعرض نسب المؤشر العالمي للشمول المالي (Global Findex) بمنزلة عشرية واحدة، مقرّبةً من القيم غير المقرّبة لدى البنك الدولي، والفجوة بين فئتين هي الفرق بين النسبتين المعروضتين. وتطابق المنزلة العشرية الواحدة جدول البنك الدولي نفسه الخاص باليمن في كتيّب البيانات الموجز عن الشمول المالي (The Little Data Book on Financial Inclusion) لعام 2015. وهي اصطلاح في العرض، لا ادعاء بدقة تبلغ عُشر النقطة؛ ففي عينة من نحو 1,000 بالغ، وبعدد أقل في كل فئة، يتجاوز خطأ المعاينة ذلك بكثير.</x:v>
      </x:c>
    </x:row>
    <x:row r="363">
      <x:c r="A363" t="str">
        <x:v>/rights/</x:v>
      </x:c>
      <x:c r="B363" t="n">
        <x:v>6</x:v>
      </x:c>
      <x:c r="D363" t="str">
        <x:v>CauseWay's own content: CC BY 4.0</x:v>
      </x:c>
      <x:c r="E363" t="str">
        <x:v>CauseWay licenses the content it owns in this resource under the Creative Commons Attribution 4.0 International licence (CC BY 4.0, https://creativecommons.org/licenses/by/4.0): its text, analysis and visual designs, the compiled evidence records, and the structure and annotations of the data exports when they are published. The CauseWay logo is not part of the licensed content. You may share and adapt that content for any purpose, provided you credit CauseWay, link to the licence and indicate whether you made changes. The licence does not cover third-party material: documents, data, tables, figures and text published by others remain under their publishers' terms, including where this resource reports them, and this resource does not host copies of their files. CauseWay asks that a reused figure be credited in two lines: first this resource (Yemen Financial Inclusion Evidence, the record, CauseWay, the edition and the page address), then the original source that the record names (publisher, title, year and link). This page states the licence CauseWay applies to its own content; it does not state that any third-party rights have been cleared.</x:v>
      </x:c>
      <x:c r="F363" t="str">
        <x:v>محتوى CauseWay الخاص: رخصة CC BY 4.0</x:v>
      </x:c>
      <x:c r="G363" t="str">
        <x:v>تتيح CauseWay المحتوى الذي تملكه في هذا المورد بموجب رخصة المشاع الإبداعي «نَسب المُصنَّف 4.0 دولي» (CC BY 4.0، https://creativecommons.org/licenses/by/4.0): نصوصه وتحليلاته وتصاميمه المرئية، وسجلات الأدلة المجمَّعة، وبنية ملفات البيانات المُصدَّرة وشروحها عند نشرها. ولا يدخل شعار CauseWay في المحتوى المرخَّص. ويجوز لك مشاركة هذا المحتوى وتعديله لأي غرض، بشرط أن تنسبه إلى CauseWay، وأن تضع رابطًا إلى الرخصة، وأن تبيّن ما إذا كنت قد أجريت تغييرات. ولا تشمل الرخصة مواد الجهات الأخرى: فالوثائق والبيانات والجداول والرسوم والنصوص التي تنشرها جهات أخرى تبقى خاضعة لشروط ناشريها، بما في ذلك حين يوردها هذا المورد، ولا يستضيف هذا المورد نسخًا من ملفاتها. وتطلب CauseWay أن يُنسب الرقم المُعاد استخدامه في سطرين: أولًا هذا المورد (أدلة الشمول المالي في اليمن، والسجل، وCauseWay، والإصدار، ورابط الصفحة)، ثم المصدر الأصلي الذي يسمّيه السجل (الناشر، والعنوان، والسنة، والرابط). وتذكر هذه الصفحة الرخصة التي تطبقها CauseWay على محتواها الخاص، ولا تفيد بأن أي حقوق لجهات أخرى قد سُوّيت.</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Explore</x:v>
      </x:c>
      <x:c r="C6" s="24" t="str">
        <x:v>استكشف</x:v>
      </x:c>
      <x:c r="D6" s="24" t="str">
        <x:v>{"id":"NAV-EXPLORE","label":{"en":"Explore","ar":"استكشف"},"route":"/explore","kind":"DIRECT"}</x:v>
      </x:c>
    </x:row>
    <x:row r="7">
      <x:c r="A7" s="24" t="n">
        <x:v>2</x:v>
      </x:c>
      <x:c r="B7" s="24" t="str">
        <x:v>Evidence</x:v>
      </x:c>
      <x:c r="C7" s="24" t="str">
        <x:v>الأدلة</x:v>
      </x:c>
      <x:c r="D7" s="24" t="str">
        <x:v>{"id":"NAV-EVIDENCE","label":{"en":"Evidence","ar":"الأدلة"},"route":"/evidence","kind":"DIRECT"}</x:v>
      </x:c>
    </x:row>
    <x:row r="8">
      <x:c r="A8" s="24" t="n">
        <x:v>3</x:v>
      </x:c>
      <x:c r="B8" s="24" t="str">
        <x:v>Evidence Readings</x:v>
      </x:c>
      <x:c r="C8" s="24" t="str">
        <x:v>قراءات الأدلة</x:v>
      </x:c>
      <x:c r="D8" s="24" t="str">
        <x:v>{"id":"NAV-READINGS","label":{"en":"Evidence Readings","ar":"قراءات الأدلة"},"route":"/readings","kind":"DIRECT"}</x:v>
      </x:c>
    </x:row>
    <x:row r="9">
      <x:c r="A9" s="24" t="n">
        <x:v>4</x:v>
      </x:c>
      <x:c r="B9" s="24" t="str">
        <x:v>Data &amp; sources</x:v>
      </x:c>
      <x:c r="C9" s="24" t="str">
        <x:v>البيانات والمصادر</x:v>
      </x:c>
      <x:c r="D9" s="24" t="str">
        <x:v>{"id":"NAV-DATA","label":{"en":"Data &amp; sources","ar":"البيانات والمصادر"},"route":"/data","kind":"DIRECT"}</x:v>
      </x:c>
    </x:row>
    <x:row r="10">
      <x:c r="A10" s="24" t="n">
        <x:v>5</x:v>
      </x:c>
      <x:c r="B10" s="24" t="str">
        <x:v>Method &amp; Measurement</x:v>
      </x:c>
      <x:c r="C10" s="24" t="str">
        <x:v>المنهج والقياس</x:v>
      </x:c>
      <x:c r="D10" s="24" t="str">
        <x:v>{"id":"NAV-METHOD-MEASUREMENT","label":{"en":"Method &amp; Measurement","ar":"المنهج والقياس"},"kind":"GROUP","children":[{"id":"NAV-METHODOLOGY","label":{"en":"Methodology","ar":"المنهجية"},"route":"/methodology"},{"id":"NAV-MEASUREMENT","label":{"en":"Measurement Agenda","ar":"أولويات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Explore</x:v>
      </x:c>
      <x:c r="D16" s="24" t="str">
        <x:v>استكشف</x:v>
      </x:c>
      <x:c r="E16" s="24" t="str">
        <x:v>static</x:v>
      </x:c>
      <x:c r="F16" s="38" t="b">
        <x:v>1</x:v>
      </x:c>
      <x:c r="G16" s="24"/>
      <x:c r="H16" s="24" t="str">
        <x:v>Question-led exploration.</x:v>
      </x:c>
    </x:row>
    <x:row r="17">
      <x:c r="A17" s="24" t="str">
        <x:v>R-003</x:v>
      </x:c>
      <x:c r="B17" s="24" t="str">
        <x:v>/people</x:v>
      </x:c>
      <x:c r="C17" s="24" t="str">
        <x:v>People &amp; Needs</x:v>
      </x:c>
      <x:c r="D17" s="24" t="str">
        <x:v>الناس والاحتياجات</x:v>
      </x:c>
      <x:c r="E17" s="24" t="str">
        <x:v>static</x:v>
      </x:c>
      <x:c r="F17" s="38" t="b">
        <x:v>0</x:v>
      </x:c>
      <x:c r="G17" s="24"/>
      <x:c r="H17" s="24" t="str">
        <x:v>Population access, use, gaps and evidence clocks.</x:v>
      </x:c>
    </x:row>
    <x:row r="18">
      <x:c r="A18" s="24" t="str">
        <x:v>R-004</x:v>
      </x:c>
      <x:c r="B18" s="24" t="str">
        <x:v>/firms</x:v>
      </x:c>
      <x:c r="C18" s="24" t="str">
        <x:v>Firms &amp; Finance</x:v>
      </x:c>
      <x:c r="D18" s="24" t="str">
        <x:v>المنشآت والتمويل</x:v>
      </x:c>
      <x:c r="E18" s="24" t="str">
        <x:v>static</x:v>
      </x:c>
      <x:c r="F18" s="38" t="b">
        <x:v>0</x:v>
      </x:c>
      <x:c r="G18" s="24"/>
      <x:c r="H18" s="24" t="str">
        <x:v>Firm constraints, finance paths and bounded programme evidence.</x:v>
      </x:c>
    </x:row>
    <x:row r="19">
      <x:c r="A19" s="24" t="str">
        <x:v>R-005</x:v>
      </x:c>
      <x:c r="B19" s="24" t="str">
        <x:v>/finance</x:v>
      </x:c>
      <x:c r="C19" s="24" t="str">
        <x:v>Finance &amp; Institutions</x:v>
      </x:c>
      <x:c r="D19" s="24" t="str">
        <x:v>التمويل والمؤسسات</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 &amp; Flows</x:v>
      </x:c>
      <x:c r="D21" s="24" t="str">
        <x:v>المدفوعات والتدفقات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 &amp; Infrastructure</x:v>
      </x:c>
      <x:c r="D23" s="24" t="str">
        <x:v>الوصول والبنية التحتية</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 &amp; Programmes</x:v>
      </x:c>
      <x:c r="D24" s="24" t="str">
        <x:v>الإصلاحات والبرامج</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Evidence Readings</x:v>
      </x:c>
      <x:c r="D28" s="24" t="str">
        <x:v>قراءات الأدلة</x:v>
      </x:c>
      <x:c r="E28" s="24" t="str">
        <x:v>static</x:v>
      </x:c>
      <x:c r="F28" s="38" t="b">
        <x:v>1</x:v>
      </x:c>
      <x:c r="G28" s="24"/>
      <x:c r="H28" s="24" t="str">
        <x:v>Bounded cross-source evidence arguments.</x:v>
      </x:c>
    </x:row>
    <x:row r="29">
      <x:c r="A29" s="24" t="str">
        <x:v>R-015</x:v>
      </x:c>
      <x:c r="B29" s="24" t="str">
        <x:v>/readings/[reading_id]</x:v>
      </x:c>
      <x:c r="C29" s="24" t="str">
        <x:v>Reading detail</x:v>
      </x:c>
      <x:c r="D29" s="24" t="str">
        <x:v>تفاصيل القراءة</x:v>
      </x:c>
      <x:c r="E29" s="24" t="str">
        <x:v>dynamic</x:v>
      </x:c>
      <x:c r="F29" s="38" t="b">
        <x:v>0</x:v>
      </x:c>
      <x:c r="G29" s="24"/>
      <x:c r="H29" s="24" t="str">
        <x:v>Reconstructable long-form interpretation.</x:v>
      </x:c>
    </x:row>
    <x:row r="30">
      <x:c r="A30" s="24" t="str">
        <x:v>R-016</x:v>
      </x:c>
      <x:c r="B30" s="24" t="str">
        <x:v>/measurement</x:v>
      </x:c>
      <x:c r="C30" s="24" t="str">
        <x:v>Measurement Agenda</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Data &amp; sources</x:v>
      </x:c>
      <x:c r="D31" s="24" t="str">
        <x:v>البيانات والمصادر</x:v>
      </x:c>
      <x:c r="E31" s="24" t="str">
        <x:v>static</x:v>
      </x:c>
      <x:c r="F31" s="38" t="b">
        <x:v>1</x:v>
      </x:c>
      <x:c r="G31" s="24"/>
      <x:c r="H31" s="24" t="str">
        <x:v>Approved reusable data, metadata, sources, versions, rights and citations.</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عن الموقع</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ليس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موثَّقة لهذه الفترة — ليست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ليس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effective</x:v>
      </x:c>
      <x:c r="C180" s="24" t="str">
        <x:v>بدء نفاذ مشروع FMIIP</x:v>
      </x:c>
      <x:c r="D180" s="24" t="str">
        <x:v>Pre-Tranche-C P4 (V-D5); RC-19 R-01. Chart label: event value 'FMIIP effective' (World Bank ISR: effectiveness 1 September 2025).</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approved with the project: support for developing a Fast Payment System</x:v>
      </x:c>
      <x:c r="C182" s="24" t="str">
        <x:v>مكوّن أُقرّ مع مشروع FMIIP: دعم تطوير نظام الدفع السريع</x:v>
      </x:c>
      <x:c r="D182" s="24" t="str">
        <x:v>Pre-Tranche-C P4 (V-D5). Chart label: event value 'Fast Payment System'.</x:v>
      </x:c>
    </x:row>
    <x:row r="183">
      <x:c r="A183" s="24" t="str">
        <x:v>UI-VIS-CAT-EVT-RTGS-CORE</x:v>
      </x:c>
      <x:c r="B183" s="24" t="str">
        <x:v>FMIIP component, approved with the project: support for developing a real-time gross settlement (RTGS) system and upgrading CBY-Aden core banking</x:v>
      </x:c>
      <x:c r="C183" s="24" t="str">
        <x:v>مكوّن أُقرّ مع مشروع FMIIP: دعم تطوير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approved with the project: support for access to and use of the payment infrastructure</x:v>
      </x:c>
      <x:c r="C184" s="24" t="str">
        <x:v>مكوّن أُقرّ مع مشروع FMIIP: دعم الوصول إلى البنية التحتية للمدفوعات واستخدامها</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وقاعدة الاحتساب عند الاقتضاء، والفترة، والنطاق الجغرافي،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and print buttons need JavaScript. Every other page, the menu and the language switch work without it.</x:v>
      </x:c>
      <x:c r="C257" s="24" t="str">
        <x:v>يحتاج البحث والمقارنة وأزرار النسخ والطباعة إلى JavaScript، وتعمل سائر الصفحات والقائمة وتبديل اللغة من دونه.</x:v>
      </x:c>
      <x:c r="D257" s="24" t="str">
        <x:v>Tranche C TC-F (TOOL-17); RC-19 R-05: the language switch and the menu are links, so they work without JavaScript.</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عد إلى السؤال</x:v>
      </x:c>
      <x:c r="D280" s="24" t="str">
        <x:v>Tranche C TC-F (JRN-02).</x:v>
      </x:c>
    </x:row>
    <x:row r="281">
      <x:c r="A281" s="24" t="str">
        <x:v>UI-READING-EYEBROW</x:v>
      </x:c>
      <x:c r="B281" s="24" t="str">
        <x:v>Evidence Reading</x:v>
      </x:c>
      <x:c r="C281" s="24" t="str">
        <x:v>قراءة أدلة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يُستنتج</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Evidence Readings</x:v>
      </x:c>
      <x:c r="C289" s="24" t="str">
        <x:v>كل قراءات الأدلة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Evidence Readings</x:v>
      </x:c>
      <x:c r="C291" s="24" t="str">
        <x:v>يُستخدم هذا الدليل في قراءات الأدلة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يُستنتج</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سيغيّر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يُستنتج: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عد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Data &amp; sources</x:v>
      </x:c>
      <x:c r="C327" s="24" t="str">
        <x:v>البيانات والمصادر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issue</x:v>
      </x:c>
      <x:c r="C335" s="24" t="str">
        <x:v>أبلغ عن مشكلة</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&amp;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Trust links</x:v>
      </x:c>
      <x:c r="C351" s="24" t="str">
        <x:v>روابط الثقة</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issue</x:v>
      </x:c>
      <x:c r="C356" s="24" t="str">
        <x:v>أبلغ عن مشكلة</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Product and trust links</x:v>
      </x:c>
      <x:c r="C359" s="24" t="str">
        <x:v>روابط المنتج والثقة</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الإجابة التي تسندها الأدلة أكثر من سواها، ويُظهر نطاقها وحدودها ومصدرها لتتمكن من التحقق منها.</x:v>
      </x:c>
      <x:c r="D362" s="24" t="str">
        <x:v>build.py hero()</x:v>
      </x:c>
    </x:row>
    <x:row r="363">
      <x:c r="A363" s="24" t="str">
        <x:v>UI-CRUMB-BREADCRUMB</x:v>
      </x:c>
      <x:c r="B363" s="24" t="str">
        <x:v>Breadcrumb</x:v>
      </x:c>
      <x:c r="C363" s="24" t="str">
        <x:v>مسار الصفحة</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Evidence Readings on this question</x:v>
      </x:c>
      <x:c r="C367" s="24" t="str">
        <x:v>قراءات الأدلة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يُستنتج</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Explore</x:v>
      </x:c>
      <x:c r="C485" s="24" t="str">
        <x:v>استكشف</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were issued by the Central Bank of Yemen – Aden. The evidence base holds no law as a source document, and this group holds no instrument issued in Sana'a.</x:v>
      </x:c>
      <x:c r="C505" s="24" t="str">
        <x:v>هذه هي الوثائق التنظيمية المتوفرة في قاعدة الأدلة هذه، وليست سجلًا كاملًا للتنظيم المالي في اليمن. وقد أصدرها جميعًا البنك المركزي اليمني – عدن. ولا تضم قاعدة الأدلة أي قانون بوصفه وثيقة مصدرية، ولا تضم هذه المجموعة أي وثيقة صادرة في صنعاء.</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It has not assessed the reuse terms of any source; check each source's own terms before reusing its content.</x:v>
      </x:c>
      <x:c r="C508" s="24" t="str">
        <x:v>يربط هذا المورد بالمصادر الأصلية ويقتبس منها باختصار. ولم يُقيّم شروط إعادة استخدام أي مصدر؛ فتحقّق من شروط كل مصدر قبل إعادة استخدام محتواه.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التحويلات</x:v>
      </x:c>
      <x:c r="D531" s="24" t="str">
        <x:v>RC-10 (Owner Addendum 2, improvement 3). Evidence landscape table on VIS-EVIDENCE-FRESHNESS.</x:v>
      </x:c>
    </x:row>
    <x:row r="532">
      <x:c r="A532" s="24" t="str">
        <x:v>UI-LAND-DOM-PROVIDERS</x:v>
      </x:c>
      <x:c r="B532" s="24" t="str">
        <x:v>Providers</x:v>
      </x:c>
      <x:c r="C532" s="24" t="str">
        <x:v>مقدمو الخدمات</x:v>
      </x:c>
      <x:c r="D532" s="24" t="str">
        <x:v>RC-10 (Owner Addendum 2, improvement 3). Evidence landscape table on VIS-EVIDENCE-FRESHNESS.</x:v>
      </x:c>
    </x:row>
    <x:row r="533">
      <x:c r="A533" s="24" t="str">
        <x:v>UI-LAND-DOM-FINANCE</x:v>
      </x:c>
      <x:c r="B533" s="24" t="str">
        <x:v>Finance</x:v>
      </x:c>
      <x:c r="C533" s="24" t="str">
        <x:v>التمويل</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مادة تنظيمية</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its question</x:v>
      </x:c>
      <x:c r="C543" s="24" t="str">
        <x:v>كافٍ لسؤاله</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a single month, so their published totals can be read side by side; whether the reporting scope stayed the same across the change of release format in July 2025 has not been verified.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فيمكن قراءة إجمالياتها المنشورة جنبًا إلى جنب؛ ولم يُتحقق من استمرارية نطاق الإبلاغ عند تغيّر شكل الإصدار في يوليو 2025.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ليست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مستخدم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مسح عوامل التصفية</x:v>
      </x:c>
      <x:c r="D572" s="24" t="str">
        <x:v>RC-12 (Part B B13). The research library on /data/: filters, order, backlinks and locator labels.</x:v>
      </x:c>
    </x:row>
    <x:row r="573">
      <x:c r="A573" s="24" t="str">
        <x:v>UI-DATA-SORT</x:v>
      </x:c>
      <x:c r="B573" s="24" t="str">
        <x:v>Order</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Evidence Readings using this source</x:v>
      </x:c>
      <x:c r="C576" s="24" t="str">
        <x:v>قراءات الأدلة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8">
      <x:c r="A578" s="24" t="str">
        <x:v>UI-HOME-GAPS-NOTE</x:v>
      </x:c>
      <x:c r="B578" s="24" t="str">
        <x:v>Each priority below describes evidence that is still missing for one of these gaps. Listing it here does not claim that collecting that evidence would close the gap or explain it.</x:v>
      </x:c>
      <x:c r="C578" s="24" t="str">
        <x:v>تصف كل أولوية أدناه أدلةً ما زالت مفقودة تتصل بإحدى هذه الفجوات. ولا يعني إدراجها هنا أن جمع تلك الأدلة سيسدّ الفجوة أو يفسّرها.</x:v>
      </x:c>
      <x:c r="D578" s="24" t="str">
        <x:v>RC-15 (Part B B15 d, A-8). Home: the line under the measurement priorities bound to the gaps section.</x:v>
      </x:c>
    </x:row>
    <x:row r="579">
      <x:c r="A579" s="24" t="str">
        <x:v>UI-EXPLORE-MA-BASIS</x:v>
      </x:c>
      <x:c r="B579" s="24" t="str">
        <x:v>These are the priorities the Measurement Agenda marks P0. The full agenda, including its P1 items, is on the Measurement Agenda page.</x:v>
      </x:c>
      <x:c r="C579" s="24" t="str">
        <x:v>هذه هي البنود المصنفة P0 في أولويات القياس. وتعرض صفحة أولويات القياس القائمة الكاملة، بما فيها البنود المصنفة P1.</x:v>
      </x:c>
      <x:c r="D579" s="24" t="str">
        <x:v>RC-15 (Part B B15 d, B-5). Explore: the line under 'What the evidence cannot yet answer'; the gate RC-B15 keeps the set equal to the P0 items.</x:v>
      </x:c>
    </x:row>
    <x:row r="580">
      <x:c r="A580" s="24" t="str">
        <x:v>UI-EVID-SERIES-USED</x:v>
      </x:c>
      <x:c r="B580" s="24" t="str">
        <x:v>Series this record uses</x:v>
      </x:c>
      <x:c r="C580" s="24" t="str">
        <x:v>السلاسل التي يستخدمها هذا السجل</x:v>
      </x:c>
      <x:c r="D580" s="24" t="str">
        <x:v>RC-15 (Part B B15 d, C-1). Evidence Record source card: the record's own series locators, where they differ from the source's main locator.</x:v>
      </x:c>
    </x:row>
    <x:row r="581">
      <x:c r="A581" s="24" t="str">
        <x:v>UI-CITE-LONG-FORM</x:v>
      </x:c>
      <x:c r="B581" s="24" t="str">
        <x:v>Long form, with the period, population and limits</x:v>
      </x:c>
      <x:c r="C581" s="24" t="str">
        <x:v>الصيغة المطوّلة، مع الفترة والمجتمع والحدود</x:v>
      </x:c>
      <x:c r="D581" s="24" t="str">
        <x:v>RC-15 (Part B B15 d, C-2; OWN-04). Evidence Record: the disclosure that holds the long citation under the short one.</x:v>
      </x:c>
    </x:row>
    <x:row r="582">
      <x:c r="A582" s="24" t="str">
        <x:v>UI-JS-COPY-LONG-CITATION</x:v>
      </x:c>
      <x:c r="B582" s="24" t="str">
        <x:v>Copy long form</x:v>
      </x:c>
      <x:c r="C582" s="24" t="str">
        <x:v>انسخ الصيغة المطوّلة</x:v>
      </x:c>
      <x:c r="D582" s="24" t="str">
        <x:v>RC-15 (Part B B15 d, C-2). Evidence Record: copies the long citation.</x:v>
      </x:c>
    </x:row>
    <x:row r="583">
      <x:c r="A583" s="24" t="str">
        <x:v>UI-JS-SHARE-RECORD</x:v>
      </x:c>
      <x:c r="B583" s="24" t="str">
        <x:v>Share this record</x:v>
      </x:c>
      <x:c r="C583" s="24" t="str">
        <x:v>شارك هذا السجل</x:v>
      </x:c>
      <x:c r="D583" s="24" t="str">
        <x:v>RC-15 (Part B B15 e, U1). Evidence Record: shares the record's title, period, population, what not to conclude and its link — Web Share where the device offers it, otherwise the same text is copied.</x:v>
      </x:c>
    </x:row>
    <x:row r="584">
      <x:c r="A584" s="24" t="str">
        <x:v>UI-JS-SEARCH-NAMES-NOTE</x:v>
      </x:c>
      <x:c r="B584" s="24" t="str">
        <x:v>Names of entities from the regulator's lists and enforcement decisions are not reproduced here; the original documents are linked from Data &amp; sources.</x:v>
      </x:c>
      <x:c r="C584" s="24" t="str">
        <x:v>لا تُذكر هنا أسماء الجهات الواردة في قوائم الجهة الرقابية وقرارات الإنفاذ؛ ويمكن الوصول إلى الوثائق الأصلية من صفحة البيانات والمصادر.</x:v>
      </x:c>
      <x:c r="D584" s="24" t="str">
        <x:v>RC-17 (owner decisions of 3 October 2026, point 2). Search: the governed sentence under the empty result.</x:v>
      </x:c>
    </x:row>
    <x:row r="585">
      <x:c r="A585" s="24" t="str">
        <x:v>UI-COMPARE-PRESET-REMITTANCES</x:v>
      </x:c>
      <x:c r="B585" s="24" t="str">
        <x:v>Compare the CBY-Aden and IMF remittance records side by side</x:v>
      </x:c>
      <x:c r="C585" s="24" t="str">
        <x:v>قارن سجلات التحويلات لدى البنك المركزي اليمني – عدن وصندوق النقد الدولي جنبًا إلى جنب</x:v>
      </x:c>
      <x:c r="D585" s="24" t="str">
        <x:v>RC-17 (Owner Addendum 2, improvement 5; bilingual review). /remittances/ 'Verify it yourself': the preset CLM-032, CLM-037, CLM-041, which the page's cards do not all show, so the label names them.</x:v>
      </x:c>
    </x:row>
    <x:row r="586">
      <x:c r="A586" s="24" t="str">
        <x:v>UI-COMPARE-PRESET</x:v>
      </x:c>
      <x:c r="B586" s="24" t="str">
        <x:v>Compare these records side by side</x:v>
      </x:c>
      <x:c r="C586" s="24" t="str">
        <x:v>قارن هذه السجلات جنبًا إلى جنب</x:v>
      </x:c>
      <x:c r="D586" s="24" t="str">
        <x:v>RC-17 (Owner Addendum 2, improvement 5). A preset Compare link under a governed paragraph or a page's verify actions; the records are named in code (scripts/yfie).</x:v>
      </x:c>
    </x:row>
    <x:row r="587">
      <x:c r="A587" s="24" t="str">
        <x:v>UI-MA-DIMENSIONS</x:v>
      </x:c>
      <x:c r="B587" s="24" t="str">
        <x:v>Dimensions it would cover:</x:v>
      </x:c>
      <x:c r="C587" s="24" t="str">
        <x:v>الأبعاد التي سيغطيها القياس:</x:v>
      </x:c>
      <x:c r="D587" s="24" t="str">
        <x:v>RC-18 (owner note of 3 October 2026, 11:15, 4.2). /measurement/: the label before a priority's governed dimensions_en/dimensions_ar.</x:v>
      </x:c>
    </x:row>
    <x:row r="588">
      <x:c r="A588" s="24" t="str">
        <x:v>UI-MOVED-RECORD-TITLE</x:v>
      </x:c>
      <x:c r="B588" s="24" t="str">
        <x:v>This record is no longer published on its own</x:v>
      </x:c>
      <x:c r="C588" s="24" t="str">
        <x:v>لم يعد هذا السجل منشورًا بمفرده</x:v>
      </x:c>
      <x:c r="D588" s="24" t="str">
        <x:v>RC-19 (owner decision of 3 October 2026, 23:54 Aden, X-ESC-RC17-01). Heading of the page at a retired record address.</x:v>
      </x:c>
    </x:row>
    <x:row r="589">
      <x:c r="A589" s="24" t="str">
        <x:v>UI-MOVED-RECORD-BODY</x:v>
      </x:c>
      <x:c r="B589" s="24" t="str">
        <x:v>This address now leads to the record of the Central Bank of Yemen – Aden (CBY-Aden) circular of 26 June 2024. Names from the regulator's lists are not reproduced here.</x:v>
      </x:c>
      <x:c r="C589" s="24" t="str">
        <x:v>يُحيل هذا الرابط الآن إلى سجل التعميم المؤرخ في 26 يونيو 2024 والصادر عن البنك المركزي اليمني – عدن. ولا تُذكر هنا الأسماء الواردة في قوائم الجهة الرقابية.</x:v>
      </x:c>
      <x:c r="D589" s="24" t="str">
        <x:v>RC-19 (owner decision of 3 October 2026, 23:54 Aden). Body of the page at a retired record address; the link that follows is the target record's governed title.</x:v>
      </x:c>
    </x:row>
    <x:row r="591">
      <x:c r="A591" s="24" t="str">
        <x:v>Trust navigation</x:v>
      </x:c>
    </x:row>
    <x:row r="592">
      <x:c r="A592" s="24" t="str">
        <x:v>item_order</x:v>
      </x:c>
      <x:c r="B592" s="24" t="str">
        <x:v>label_en</x:v>
      </x:c>
      <x:c r="C592" s="24" t="str">
        <x:v>label_ar</x:v>
      </x:c>
      <x:c r="D592" s="24" t="str">
        <x:v>route</x:v>
      </x:c>
    </x:row>
    <x:row r="593">
      <x:c r="A593" s="24" t="n">
        <x:v>1</x:v>
      </x:c>
      <x:c r="B593" s="24" t="str">
        <x:v>About</x:v>
      </x:c>
      <x:c r="C593" s="24" t="str">
        <x:v>عن الموقع</x:v>
      </x:c>
      <x:c r="D593" s="24" t="str">
        <x:v>/about</x:v>
      </x:c>
    </x:row>
    <x:row r="594">
      <x:c r="A594" s="24" t="n">
        <x:v>2</x:v>
      </x:c>
      <x:c r="B594" s="24" t="str">
        <x:v>Corrections</x:v>
      </x:c>
      <x:c r="C594" s="24" t="str">
        <x:v>التصحيحات</x:v>
      </x:c>
      <x:c r="D594" s="24" t="str">
        <x:v>/corrections</x:v>
      </x:c>
    </x:row>
    <x:row r="595">
      <x:c r="A595" s="24" t="n">
        <x:v>3</x:v>
      </x:c>
      <x:c r="B595" s="24" t="str">
        <x:v>Rights &amp; reuse</x:v>
      </x:c>
      <x:c r="C595" s="24" t="str">
        <x:v>الحقوق وإعادة الاستخدام</x:v>
      </x:c>
      <x:c r="D595" s="24" t="str">
        <x:v>/rights</x:v>
      </x:c>
    </x:row>
    <x:row r="596">
      <x:c r="A596" s="24" t="n">
        <x:v>4</x:v>
      </x:c>
      <x:c r="B596" s="24" t="str">
        <x:v>Accessibility</x:v>
      </x:c>
      <x:c r="C596" s="24" t="str">
        <x:v>إتاحة الوصول</x:v>
      </x:c>
      <x:c r="D596" s="24" t="str">
        <x:v>/accessibility</x:v>
      </x:c>
    </x:row>
    <x:row r="597">
      <x:c r="A597" s="24" t="n">
        <x:v>5</x:v>
      </x:c>
      <x:c r="B597" s="24" t="str">
        <x:v>Privacy</x:v>
      </x:c>
      <x:c r="C597" s="24" t="str">
        <x:v>الخصوصية</x:v>
      </x:c>
      <x:c r="D597" s="24" t="str">
        <x:v>/privacy</x:v>
      </x:c>
    </x:row>
    <x:row r="598">
      <x:c r="A598" s="24" t="n">
        <x:v>6</x:v>
      </x:c>
      <x:c r="B598" s="24" t="str">
        <x:v>Terms</x:v>
      </x:c>
      <x:c r="C598" s="24" t="str">
        <x:v>شروط الاستخدام</x:v>
      </x:c>
      <x:c r="D598" s="24" t="str">
        <x:v>/terms</x:v>
      </x:c>
    </x:row>
    <x:row r="599">
      <x:c r="A599" s="24" t="n">
        <x:v>7</x:v>
      </x:c>
      <x:c r="B599" s="24" t="str">
        <x:v>Contact</x:v>
      </x:c>
      <x:c r="C599" s="24" t="str">
        <x:v>التواصل</x:v>
      </x:c>
      <x:c r="D599" s="24" t="str">
        <x:v>/contact</x:v>
      </x:c>
    </x:row>
    <x:row r="601">
      <x:c r="A601" s="24" t="str">
        <x:v>Search aliases</x:v>
      </x:c>
    </x:row>
    <x:row r="602">
      <x:c r="A602" s="24" t="str">
        <x:v>alias_id</x:v>
      </x:c>
      <x:c r="B602" s="24" t="str">
        <x:v>terms_en</x:v>
      </x:c>
      <x:c r="C602" s="24" t="str">
        <x:v>terms_ar</x:v>
      </x:c>
      <x:c r="D602" s="24" t="str">
        <x:v>targets</x:v>
      </x:c>
      <x:c r="E602" s="24" t="str">
        <x:v>boundary_note_en</x:v>
      </x:c>
      <x:c r="F602" s="38" t="str">
        <x:v>boundary_note_ar</x:v>
      </x:c>
    </x:row>
    <x:row r="603">
      <x:c r="A603" s="24" t="str">
        <x:v>SEARCH-ALIAS-001</x:v>
      </x:c>
      <x:c r="B603" s="24" t="str">
        <x:v>law; laws</x:v>
      </x:c>
      <x:c r="C603" s="24" t="str">
        <x:v>قانون; قوانين</x:v>
      </x:c>
      <x:c r="D603" s="24" t="str">
        <x:v>document_type:law | route:/reforms/ | route:/data/</x:v>
      </x:c>
      <x:c r="E603" s="24" t="str">
        <x:v>Discovery aid only: this evidence base holds no law as a source document. It holds regulations, circulars, decisions and official lists issued by the Central Bank of Yemen – Aden, listed on the Data &amp; sources page.</x:v>
      </x:c>
      <x:c r="F603" s="38" t="str">
        <x:v>أداة اكتشاف فقط: لا تضم قاعدة الأدلة هذه أي قانون بوصفه وثيقة مصدرية. وتضم لوائح وتعاميم وقرارات وقوائم رسمية صادرة عن البنك المركزي اليمني – عدن، مدرجة في صفحة البيانات والمصادر.</x:v>
      </x:c>
    </x:row>
    <x:row r="604">
      <x:c r="A604" s="24" t="str">
        <x:v>SEARCH-ALIAS-002</x:v>
      </x:c>
      <x:c r="B604" s="24" t="str">
        <x:v>decision; decisions</x:v>
      </x:c>
      <x:c r="C604" s="24" t="str">
        <x:v>قرار; قرارات</x:v>
      </x:c>
      <x:c r="D604" s="24" t="str">
        <x:v>document_type:regulatory decision | route:/reforms/ | route:/providers/</x:v>
      </x:c>
    </x:row>
    <x:row r="605">
      <x:c r="A605" s="24" t="str">
        <x:v>SEARCH-ALIAS-003</x:v>
      </x:c>
      <x:c r="B605" s="24" t="str">
        <x:v>circular; circulars</x:v>
      </x:c>
      <x:c r="C605" s="24" t="str">
        <x:v>تعميم; تعاميم</x:v>
      </x:c>
      <x:c r="D605" s="24" t="str">
        <x:v>document_type:instruction/circular | route:/reforms/</x:v>
      </x:c>
    </x:row>
    <x:row r="606">
      <x:c r="A606" s="24" t="str">
        <x:v>SEARCH-ALIAS-004</x:v>
      </x:c>
      <x:c r="B606" s="24" t="str">
        <x:v>regulation; regulations; instructions</x:v>
      </x:c>
      <x:c r="C606" s="24" t="str">
        <x:v>لائحة; لوائح; تعليمات</x:v>
      </x:c>
      <x:c r="D606" s="24" t="str">
        <x:v>document_type:regulation | document_type:instruction/circular | route:/reforms/ | route:/data/</x:v>
      </x:c>
    </x:row>
    <x:row r="607">
      <x:c r="A607" s="24" t="str">
        <x:v>SEARCH-ALIAS-005</x:v>
      </x:c>
      <x:c r="B607" s="24" t="str">
        <x:v>remittance; remittances</x:v>
      </x:c>
      <x:c r="C607" s="24" t="str">
        <x:v>حوالة; حوالات; تحويلات</x:v>
      </x:c>
      <x:c r="D607" s="24" t="str">
        <x:v>route:/remittances/</x:v>
      </x:c>
    </x:row>
    <x:row r="608">
      <x:c r="A608" s="24" t="str">
        <x:v>SEARCH-ALIAS-006</x:v>
      </x:c>
      <x:c r="B608" s="24" t="str">
        <x:v>exchange company; exchange companies</x:v>
      </x:c>
      <x:c r="C608" s="24" t="str">
        <x:v>صرافة; شركات الصرافة; منشآت الصرافة</x:v>
      </x:c>
      <x:c r="D608" s="24" t="str">
        <x:v>route:/providers/</x:v>
      </x:c>
    </x:row>
    <x:row r="609">
      <x:c r="A609" s="24" t="str">
        <x:v>SEARCH-ALIAS-007</x:v>
      </x:c>
      <x:c r="B609" s="24" t="str">
        <x:v>wallet; e-wallet; e-wallets; electronic wallet</x:v>
      </x:c>
      <x:c r="C609" s="24" t="str">
        <x:v>محفظة; محافظ; المحافظ الإلكترونية; المحفظة الإلكترونية</x:v>
      </x:c>
      <x:c r="D609" s="24" t="str">
        <x:v>route:/payments/</x:v>
      </x:c>
      <x:c r="E609" s="24" t="str">
        <x:v>Discovery aid only: in Arabic «محفظة» means both an e-wallet and a loan portfolio. E-wallet records are under Payments; loan-portfolio records are under Finance (microfinance and banks).</x:v>
      </x:c>
      <x:c r="F609" s="38" t="str">
        <x:v>أداة اكتشاف فقط: قد تعني كلمة «محفظة» المحفظة الإلكترونية أو محفظة القروض. وسجلات المحافظ الإلكترونية في صفحة المدفوعات، أما سجلات محافظ القروض ففي صفحة التمويل (التمويل الأصغر والبنوك).</x:v>
      </x:c>
    </x:row>
    <x:row r="610">
      <x:c r="A610" s="24" t="str">
        <x:v>SEARCH-ALIAS-008</x:v>
      </x:c>
      <x:c r="B610" s="24" t="str">
        <x:v>POS; point of sale; POS terminals</x:v>
      </x:c>
      <x:c r="C610" s="24" t="str">
        <x:v>نقاط البيع; نقطة بيع</x:v>
      </x:c>
      <x:c r="D610" s="24" t="str">
        <x:v>route:/payments/</x:v>
      </x:c>
    </x:row>
    <x:row r="611">
      <x:c r="A611" s="24" t="str">
        <x:v>SEARCH-ALIAS-009</x:v>
      </x:c>
      <x:c r="B611" s="24" t="str">
        <x:v>microfinance; MFB; MFI</x:v>
      </x:c>
      <x:c r="C611" s="24" t="str">
        <x:v>التمويل الأصغر; تمويل أصغر</x:v>
      </x:c>
      <x:c r="D611" s="24" t="str">
        <x:v>route:/finance/</x:v>
      </x:c>
    </x:row>
    <x:row r="612">
      <x:c r="A612" s="24" t="str">
        <x:v>SEARCH-ALIAS-010</x:v>
      </x:c>
      <x:c r="B612" s="24" t="str">
        <x:v>exchange rate</x:v>
      </x:c>
      <x:c r="C612" s="24" t="str">
        <x:v>سعر الصرف; أسعار الصرف</x:v>
      </x:c>
      <x:c r="D612" s="24" t="str">
        <x:v>route:/finance/</x:v>
      </x:c>
    </x:row>
    <x:row r="613">
      <x:c r="A613" s="24" t="str">
        <x:v>SEARCH-ALIAS-011</x:v>
      </x:c>
      <x:c r="B613" s="24" t="str">
        <x:v>measurement; measurement agenda; measurement priorities</x:v>
      </x:c>
      <x:c r="C613" s="24" t="str">
        <x:v>أولويات القياس; أجندة القياس; القياس</x:v>
      </x:c>
      <x:c r="D613" s="24" t="str">
        <x:v>route:/measurement/</x:v>
      </x:c>
    </x:row>
    <x:row r="614">
      <x:c r="A614" s="24" t="str">
        <x:v>SEARCH-ALIAS-012</x:v>
      </x:c>
      <x:c r="B614" s="24" t="str">
        <x:v>financial literacy; financial education</x:v>
      </x:c>
      <x:c r="C614" s="24" t="str">
        <x:v>الثقافة المالية; التثقيف المالي</x:v>
      </x:c>
      <x:c r="D614" s="24" t="str">
        <x:v>route:/people/ | route:/reforms/</x:v>
      </x:c>
      <x:c r="E614" s="24" t="str">
        <x:v>Discovery aid only: financial-education activity is not literacy, capability or behaviour.</x:v>
      </x:c>
      <x:c r="F614" s="38" t="str">
        <x:v>وسيلة للعثور على المحتوى فقط: النشاط التثقيفي المالي ليس ثقافة مالية ولا قدرة ولا سلوكًا.</x:v>
      </x:c>
    </x:row>
    <x:row r="615">
      <x:c r="A615" s="24" t="str">
        <x:v>SEARCH-ALIAS-013</x:v>
      </x:c>
      <x:c r="B615" s="24" t="str">
        <x:v>income; income gap</x:v>
      </x:c>
      <x:c r="C615" s="24" t="str">
        <x:v>الدخل; فجوة الدخل</x:v>
      </x:c>
      <x:c r="D615" s="24" t="str">
        <x:v>route:/people/</x:v>
      </x:c>
    </x:row>
    <x:row r="616">
      <x:c r="A616" s="24" t="str">
        <x:v>SEARCH-ALIAS-014</x:v>
      </x:c>
      <x:c r="B616" s="24" t="str">
        <x:v>credit; lending</x:v>
      </x:c>
      <x:c r="C616" s="24" t="str">
        <x:v>الائتمان; الإقراض</x:v>
      </x:c>
      <x:c r="D616" s="24" t="str">
        <x:v>route:/finance/ | route:/firms/</x:v>
      </x:c>
    </x:row>
    <x:row r="617">
      <x:c r="A617" s="24" t="str">
        <x:v>SEARCH-ALIAS-015</x:v>
      </x:c>
      <x:c r="B617" s="24" t="str">
        <x:v>licensed banks; licensed bank; bank list</x:v>
      </x:c>
      <x:c r="C617" s="24" t="str">
        <x:v>البنوك المرخصة; بنوك مرخصة; قائمة البنوك</x:v>
      </x:c>
      <x:c r="D617" s="24" t="str">
        <x:v>route:/providers/</x:v>
      </x:c>
    </x:row>
    <x:row r="618">
      <x:c r="A618" s="24" t="str">
        <x:v>SEARCH-ALIAS-016</x:v>
      </x:c>
      <x:c r="B618" s="24" t="str">
        <x:v>remittance cost; remittance prices; transfer cost</x:v>
      </x:c>
      <x:c r="C618" s="24" t="str">
        <x:v>تكلفة التحويل; تكلفة الحوالات; رسوم التحويل</x:v>
      </x:c>
      <x:c r="D618" s="24" t="str">
        <x:v>route:/remittances/</x:v>
      </x:c>
    </x:row>
    <x:row r="619">
      <x:c r="A619" s="24" t="str">
        <x:v>SEARCH-ALIAS-017</x:v>
      </x:c>
      <x:c r="B619" s="24" t="str">
        <x:v>Aden; CBY Aden; CBY-Aden</x:v>
      </x:c>
      <x:c r="C619" s="24" t="str">
        <x:v>عدن; البنك المركزي في عدن</x:v>
      </x:c>
      <x:c r="D619" s="24" t="str">
        <x:v>route:/providers/ | route:/data/</x:v>
      </x:c>
      <x:c r="E619" s="24" t="str">
        <x:v>Discovery aid only: CBY-Aden lists, decisions and statistics carry the scope of that authority; they do not describe all of Yemen.</x:v>
      </x:c>
      <x:c r="F619" s="38" t="str">
        <x:v>وسيلة للعثور على المحتوى فقط: قوائم البنك المركزي اليمني في عدن وقراراته وإحصاءاته تحمل نطاق تلك السلطة، ولا تصف اليمن كله.</x:v>
      </x:c>
    </x:row>
    <x:row r="620">
      <x:c r="A620" s="24" t="str">
        <x:v>SEARCH-ALIAS-018</x:v>
      </x:c>
      <x:c r="B620" s="24" t="str">
        <x:v>deposits; deposit; bank deposits</x:v>
      </x:c>
      <x:c r="C620" s="24" t="str">
        <x:v>الودائع; ودائع; الودائع المصرفية</x:v>
      </x:c>
      <x:c r="D620" s="24" t="str">
        <x:v>route:/finance/</x:v>
      </x:c>
    </x:row>
    <x:row r="621">
      <x:c r="A621" s="24" t="str">
        <x:v>SEARCH-ALIAS-019</x:v>
      </x:c>
      <x:c r="B621" s="24" t="str">
        <x:v>SME finance; SME; SMEs; MSME; MSMEs; MSME finance; small business finance</x:v>
      </x:c>
      <x:c r="C621" s="24" t="str">
        <x:v>المنشآت الصغيرة والمتوسطة; تمويل المنشآت الصغيرة والمتوسطة; المنشآت الأصغر والصغيرة والمتوسطة; المنشآت الصغرى والصغيرة والمتوسطة</x:v>
      </x:c>
      <x:c r="D621" s="24" t="str">
        <x:v>route:/firms/</x:v>
      </x:c>
    </x:row>
    <x:row r="622">
      <x:c r="A622" s="24" t="str">
        <x:v>SEARCH-ALIAS-020</x:v>
      </x:c>
      <x:c r="B622" s="24" t="str">
        <x:v>RTGS; real-time gross settlement; real time gross settlement</x:v>
      </x:c>
      <x:c r="C622" s="24" t="str">
        <x:v>التسوية الإجمالية الفورية; نظام التسوية الإجمالية الفورية</x:v>
      </x:c>
      <x:c r="D622" s="24" t="str">
        <x:v>route:/payments/ | route:/reforms/</x:v>
      </x:c>
    </x:row>
    <x:row r="623">
      <x:c r="A623" s="24" t="str">
        <x:v>SEARCH-ALIAS-021</x:v>
      </x:c>
      <x:c r="B623" s="24" t="str">
        <x:v>FPS; fast payment system; fast payments</x:v>
      </x:c>
      <x:c r="C623" s="24" t="str">
        <x:v>نظام الدفع السريع; الدفع السريع; المدفوعات السريعة</x:v>
      </x:c>
      <x:c r="D623" s="24" t="str">
        <x:v>route:/payments/ | route:/reforms/</x:v>
      </x:c>
    </x:row>
    <x:row r="624">
      <x:c r="A624" s="24" t="str">
        <x:v>SEARCH-ALIAS-022</x:v>
      </x:c>
      <x:c r="B624" s="24" t="str">
        <x:v>consumer protection; financial consumer protection</x:v>
      </x:c>
      <x:c r="C624" s="24" t="str">
        <x:v>حماية المستهلك; حماية المستهلك المالي</x:v>
      </x:c>
      <x:c r="D624" s="24" t="str">
        <x:v>route:/reforms/</x:v>
      </x:c>
    </x:row>
    <x:row r="625">
      <x:c r="A625" s="24" t="str">
        <x:v>SEARCH-ALIAS-023</x:v>
      </x:c>
      <x:c r="B625" s="24" t="str">
        <x:v>complaints; complaint; complaint handling; redress</x:v>
      </x:c>
      <x:c r="C625" s="24" t="str">
        <x:v>الشكاوى; شكوى; معالجة الشكاوى; التظلم</x:v>
      </x:c>
      <x:c r="D625" s="24" t="str">
        <x:v>route:/reforms/</x:v>
      </x:c>
      <x:c r="E625" s="24" t="str">
        <x:v>Discovery aid only: official guidance and instructions describe a complaint path and time limits, not how complaints are handled in practice.</x:v>
      </x:c>
      <x:c r="F625" s="38" t="str">
        <x:v>وسيلة للعثور على المحتوى فقط: تصف الإرشادات والتعليمات الرسمية مسار الشكوى ومهلها، لا طريقة معالجة الشكاوى فعليًا.</x:v>
      </x:c>
    </x:row>
    <x:row r="626">
      <x:c r="A626" s="24" t="str">
        <x:v>SEARCH-ALIAS-024</x:v>
      </x:c>
      <x:c r="B626" s="24" t="str">
        <x:v>FMIIP; Financial Market Infrastructure and Inclusion Project</x:v>
      </x:c>
      <x:c r="C626" s="24" t="str">
        <x:v>FMIIP; مشروع البنية التحتية للأسواق المالية والشمول المالي; مشروع البنية التحتية للأسواق والشمول المالي</x:v>
      </x:c>
      <x:c r="D626" s="24" t="str">
        <x:v>route:/reforms/ | route:/payments/</x:v>
      </x:c>
    </x:row>
    <x:row r="627">
      <x:c r="A627" s="24" t="str">
        <x:v>SEARCH-ALIAS-025</x:v>
      </x:c>
      <x:c r="B627" s="24" t="str">
        <x:v>women; woman; female; gender; gender gap</x:v>
      </x:c>
      <x:c r="C627" s="24" t="str">
        <x:v>المرأة; امرأة; النساء; نساء; الإناث; النوع الاجتماعي; فجوة النوع الاجتماعي; الفجوة بين الجنسين</x:v>
      </x:c>
      <x:c r="D627" s="24" t="str">
        <x:v>route:/people/</x:v>
      </x:c>
      <x:c r="E627" s="24" t="str">
        <x:v>Discovery aid only: the measured gap comes from one survey wave (the 2021 Findex wave; Yemen fieldwork 2022–23); it is not a 2026 figure and does not establish causes.</x:v>
      </x:c>
      <x:c r="F627"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628">
      <x:c r="A628" s="24" t="str">
        <x:v>SEARCH-ALIAS-026</x:v>
      </x:c>
      <x:c r="B628" s="24" t="str">
        <x:v>humanitarian; cash transfer; cash transfers; social protection; G2P; cash assistance</x:v>
      </x:c>
      <x:c r="C628" s="24" t="str">
        <x:v>إنساني; المساعدات الإنسانية; التحويلات النقدية; الحماية الاجتماعية; مدفوعات الحكومة للأفراد; المساعدات النقدية</x:v>
      </x:c>
      <x:c r="D628" s="24" t="str">
        <x:v>route:/readings/after-transfer-persistence/ | route:/payments/</x:v>
      </x:c>
    </x:row>
    <x:row r="629">
      <x:c r="A629" s="24" t="str">
        <x:v>SEARCH-ALIAS-027</x:v>
      </x:c>
      <x:c r="B629" s="24" t="str">
        <x:v>licence; license; licensing; suspension; closure</x:v>
      </x:c>
      <x:c r="C629" s="24" t="str">
        <x:v>ترخيص; تراخيص; إيقاف; تعليق; إغلاق</x:v>
      </x:c>
      <x:c r="D629" s="24" t="str">
        <x:v>route:/providers/ | document_type:decision/enforcement</x:v>
      </x:c>
    </x:row>
    <x:row r="630">
      <x:c r="A630" s="24" t="str">
        <x:v>SEARCH-ALIAS-028</x:v>
      </x:c>
      <x:c r="B630" s="24" t="str">
        <x:v>internet; connectivity</x:v>
      </x:c>
      <x:c r="C630" s="24" t="str">
        <x:v>الإنترنت; الانترنت; الاتصال; الاتصال بالإنترنت</x:v>
      </x:c>
      <x:c r="D630" s="24" t="str">
        <x:v>route:/measurement/ | route:/people/</x:v>
      </x:c>
    </x:row>
    <x:row r="631">
      <x:c r="A631" s="24" t="str">
        <x:v>SEARCH-ALIAS-029</x:v>
      </x:c>
      <x:c r="B631" s="24" t="str">
        <x:v>Findex; Global Findex</x:v>
      </x:c>
      <x:c r="C631" s="24" t="str">
        <x:v>فيندكس; فندكس; Findex; المؤشر العالمي للشمول المالي</x:v>
      </x:c>
      <x:c r="D631" s="24" t="str">
        <x:v>route:/people/</x:v>
      </x:c>
    </x:row>
    <x:row r="632">
      <x:c r="A632" s="24" t="str">
        <x:v>SEARCH-ALIAS-030</x:v>
      </x:c>
      <x:c r="B632" s="24" t="str">
        <x:v>PSP; PSPs; payment service provider; payment service providers</x:v>
      </x:c>
      <x:c r="C632" s="24" t="str">
        <x:v>مزود خدمات الدفع; مزودو خدمات الدفع; مزودي خدمات الدفع; مقدم خدمات الدفع; مقدمو خدمات الدفع; مقدمي خدمات الدفع</x:v>
      </x:c>
      <x:c r="D632" s="24" t="str">
        <x:v>document_type:regulation | route:/payments/</x:v>
      </x:c>
    </x:row>
    <x:row r="633">
      <x:c r="A633" s="24" t="str">
        <x:v>SEARCH-ALIAS-031</x:v>
      </x:c>
      <x:c r="B633" s="24" t="str">
        <x:v>loan; loans; borrowing; borrow</x:v>
      </x:c>
      <x:c r="C633" s="24" t="str">
        <x:v>قرض; قروض; اقتراض; الاقتراض; سلفة</x:v>
      </x:c>
      <x:c r="D633" s="24" t="str">
        <x:v>route:/finance/ | route:/people/</x:v>
      </x:c>
    </x:row>
    <x:row r="634">
      <x:c r="A634" s="24" t="str">
        <x:v>SEARCH-ALIAS-032</x:v>
      </x:c>
      <x:c r="B634" s="24" t="str">
        <x:v>transfer abroad; send money abroad; international transfer</x:v>
      </x:c>
      <x:c r="C634" s="24" t="str">
        <x:v>تحويل للخارج; تحويل إلى الخارج; تحويل خارجي; تحويلات خارجية; حوالة خارجية; حوالات خارجية; حوالة من الخارج; تحويل من الخارج; حوالات المغتربين; تحويلات المغتربين; تحويل دولي; حوالة دولية</x:v>
      </x:c>
      <x:c r="D634" s="24" t="str">
        <x:v>route:/remittances/</x:v>
      </x:c>
      <x:c r="E634" s="24" t="str">
        <x:v>Discovery aid only: the remittance evidence here is about money sent to Yemen and transfers within Yemen. It does not cover money sent from Yemen to other countries.</x:v>
      </x:c>
      <x:c r="F634" s="38" t="str">
        <x:v>أداة اكتشاف فقط: تتناول أدلة التحويلات هنا الأموال المرسلة إلى اليمن والحوالات داخل اليمن، ولا تتناول الأموال المرسلة من اليمن إلى الخارج.</x:v>
      </x:c>
    </x:row>
    <x:row r="635">
      <x:c r="A635" s="24" t="str">
        <x:v>SEARCH-ALIAS-033</x:v>
      </x:c>
      <x:c r="B635" s="24" t="str">
        <x:v>cash-out; cash out; cashout; cash withdrawal</x:v>
      </x:c>
      <x:c r="C635" s="24" t="str">
        <x:v>كاش; كاش آوت; سحب كاش; سحب نقدي</x:v>
      </x:c>
      <x:c r="D635" s="24" t="str">
        <x:v>route:/payments/</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التحويلات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row>
    <x:row r="5">
      <x:c r="A5" s="24" t="str">
        <x:v>CLM-001</x:v>
      </x:c>
      <x:c r="B5" s="24" t="str">
        <x:v>CLAIM</x:v>
      </x:c>
      <x:c r="C5" s="24" t="str">
        <x:v>/people/ | / | /evidence/compare/</x:v>
      </x:c>
      <x:c r="D5" s="24" t="str">
        <x:v>Account ownership: the representative measure from the Global Findex 2021 wave</x:v>
      </x:c>
      <x:c r="E5" s="28" t="str">
        <x:v>امتلاك الحساب: القياس الممثل من موجة Global Findex 2021</x:v>
      </x:c>
      <x:c r="F5" s="24" t="str">
        <x:v>The latest representative observation of account ownership in Yemen published by the World Bank remains 11.9%. World Bank Data reports it for 2022; it comes from the Yemen Global Findex 2021 study, fielded from 7 November 2022 to 9 January 2023. The Global Findex 2025 edition adds 2024 observations for many economies, but no newer Yemen observation. For context, the World Bank's figure for the same survey wave across the 19 low-income economies surveyed in it, Yemen among them, is 35.2%.</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 وللسياق، يبلغ رقم البنك الدولي لموجة المسح نفسها في الاقتصادات منخفضة الدخل الـ19 التي شملتها الموجة، ومنها اليمن، 35.2%.</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7 November 2022 to 9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7 نوفمبر 2022 إلى 9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 The low-income context figure, 35.2%, is the World Bank's own aggregate for the same wave and indicator; this resource reproduced it as the average of the published values of the 19 low-income economies surveyed in the wave, weighted by their adult populations.</x:v>
      </x:c>
      <x:c r="O5" s="28" t="str">
        <x:v>تقدير مسحي موزون وفق تصميم المسح وأوزانه. ورقم السياق للاقتصادات منخفضة الدخل، 35.2%، هو التجميع الذي ينشره البنك الدولي نفسه للموجة والمؤشر ذاتيهما؛ وقد أعاد هذا المورد احتسابه متوسطًا للقيم المنشورة للاقتصادات منخفضة الدخل الـ19 التي شملتها الموجة، مرجّحًا بعدد البالغين في كل منها.</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 The low-income figure is context, not a benchmark, a target or a ranking: it averages economies in very different conditions, includes Yemen itself and uses the income classification in the Global Findex Database 2025, while Yemen's own figure covers only the areas its survey reached.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 ورقم الاقتصادات منخفضة الدخل للسياق فقط، وليس معيارًا ولا هدفًا ولا ترتيبًا: فهو متوسط لاقتصادات ذات ظروف متباينة جدًا، ويشمل اليمن نفسه، ويستند إلى تصنيف الدخل المعتمد في قاعدة بيانات Global Findex 2025، في حين يقتصر رقم اليمن على المناطق التي بلغها المسح.</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would have to be matched with the roster entity by entity, since a decision may or may not already be reflected in it; that matching has not been done.</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يلزم مطابقتها جهةً جهة مع قرارات البنك المركزي في عدن الصادرة خلال 2026 (بين يناير وسبتمبر 2026) بتعليق تراخيص جهات مسماة أو سحبها أو بإغلاق مقارها، إذ قد يكون أثر القرار منعكسًا فيها وقد لا يكون؛ ولم تُجرَ هذه المطابقة بعد.</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x:v>
      </x:c>
      <x:c r="Y7" s="24" t="str">
        <x:v>[{"source_id": "SRC-CBY-EXCH-LIST-2026-001", "url": "https://www.cby-ye.com/files/6a87039fd05bb.pdf", "audit_state": "PRIMARY_AUTHORITY_ROSTER_VISUALLY_EXTRACTED"}]</x:v>
      </x:c>
      <x:c r="Z7" t="str">
        <x:v>BOUND_EXACT</x:v>
      </x:c>
    </x:row>
    <x:row r="8">
      <x:c r="A8" s="24" t="str">
        <x:v>CLM-010</x:v>
      </x:c>
      <x:c r="B8" s="24" t="str">
        <x:v>CLAIM</x:v>
      </x:c>
      <x:c r="C8" s="24" t="str">
        <x:v>/evidence/compare/ | /payments/ | /providers/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 Governor's Decision No. 23 of 2024 on domestic money-transfer activity carries the same date; the circular and the decision are separate instruments, and this record establishes no link between them.</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 ويحمل قرار المحافظ رقم (23) لسنة 2024 بشأن مزاولة نشاط التحويلات المالية الداخلية التاريخ نفسه؛ والتعميم والقرار أداتان منفصلتان، ولا يثبت هذا السجل أي صلة بينهما.</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in this resource's internal source records; they are not reproduced here.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في سجل المصادر الداخلي لهذا المورد، ولا تُذكر هنا.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 SRC-CBY-DEC-23-2024-001</x:v>
      </x:c>
      <x:c r="Y10" s="24" t="str">
        <x:v>[]</x:v>
      </x:c>
      <x:c r="Z10" t="str">
        <x:v>BOUND_EXACT</x:v>
      </x:c>
      <x:c r="AB10" t="str">
        <x:v>SRC-CBY-UNLICENSED-EWALLET-2024-001=status event; SRC-CBY-DEC-23-2024-001=context</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because the roster's issue date is not stated, each would have to be matched to it entity by entity; that matching has not been done.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ولأن القائمة لا تذكر تاريخ صدورها، يلزم مطابقة كل قرار معها جهةً جهة؛ ولم تُجرَ هذه المطابقة بعد.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Each decision is attached to the entities it names. Because the roster does not state its issue date, those entities would have to be matched with the roster one by one, without assuming either way whether it already reflects the decisions; that matching has not been done, and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ويُربط كل قرار بالجهات التي يسميها. ولأن القائمة لا تذكر تاريخ صدورها، يلزم مطابقة هذه الجهات مع القائمة جهةً جهة، من دون افتراض أن القائمة تعكس القرارات أو لا تعكسها؛ ولم تُجرَ هذه المطابقة بعد.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x:v>
      </x:c>
      <x:c r="Y15" s="24" t="str">
        <x:v>[]</x:v>
      </x:c>
      <x:c r="Z15" t="str">
        <x:v>BOUND_EXACT</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and the World Bank's implementation report of 8 April 2026 reports both as not operational at 31 August 2025, the day before the project became effective;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ويفيد تقرير التنفيذ الصادر عن البنك الدولي والمؤرخ 8 أبريل 2026 بأنه لم يكن أيٌّ منهما قيد التشغيل في 31 أغسطس 2025، أي قبل يوم من نفاذ المشروع،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 SRC-WB-FMIIP-ISR2-2026-001</x:v>
      </x:c>
      <x:c r="Y23" s="24" t="str">
        <x:v>[]</x:v>
      </x:c>
      <x:c r="Z23" t="str">
        <x:v>BOUND_EXACT</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not subtracted from it to produce a count of providers operating now: each would first have to be matched with the roster entity by entity, and that matching has not been done.</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لا تُطرح منها لاستخراج عدد لمقدمي الخدمات العاملين حاليًا: إذ يلزم أولًا مطابقة كل قرار مع القائمة جهةً جهة، ولم تُجرَ هذه المطابقة بعد.</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entity a decision names would have to be matched with the roster one by one, without assuming whether the roster already reflects the decision, and that matching has not been done.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يلزم مطابقة كل جهة يسميها القرار مع القائمة جهةً جهة، من دون افتراض أن القائمة تعكس القرار أو لا تعكسه، ولم تُجرَ هذه المطابقة بعد.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row>
    <x:row r="27">
      <x:c r="A27" s="24" t="str">
        <x:v>VIS-MFI-SPINE</x:v>
      </x:c>
      <x:c r="B27" s="24" t="str">
        <x:v>VISUAL</x:v>
      </x:c>
      <x:c r="C27" s="24" t="str">
        <x:v>/finance/</x:v>
      </x:c>
      <x:c r="D27" s="24" t="str">
        <x:v>Microfinance observations by date, with their gaps and breaks</x:v>
      </x:c>
      <x:c r="E27" s="28" t="str">
        <x:v>مشاهدات التمويل الأصغر بحسب التاريخ، مع فجواتها وانقطاعاتها</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to 9 January 2023; World Bank data year 2022), 18.3% of men and 5.4% of women aged 15 and over in the areas the survey covered had an account, a difference of 12.9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 بين الرجال و5.4% بين النساء بعمر 15 سنة فأكثر في المناطق التي شملها المسح، بفارق 12.9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2022-11-07 to 2023-01-09</x:v>
      </x:c>
      <x:c r="K28" s="28" t="str">
        <x:v>موجة Findex 2021 (جولة المسح)؛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 minus women 5.4% (World Bank series FX.OWN.TOTL.MA.ZS minus FX.OWN.TOTL.FE.ZS, data year 2022).</x:v>
      </x:c>
      <x:c r="O28" s="28" t="str">
        <x:v>احتسبه هذا المورد بوصفه الفارق بين تقديرين موزونين نشرهما البنك الدولي للموجة نفسها: 18.3% للرجال ناقص 5.4% للنساء (سلسلة البنك الدولي FX.OWN.TOTL.MA.ZS ناقص FX.OWN.TOTL.FE.ZS، سنة البيانات 2022).</x:v>
      </x:c>
      <x:c r="P28" s="24" t="str">
        <x:v>It does not establish why the gap exists, and it is not the gender gap in 2026. | The survey frame excludes areas holding about 23% of the population, and more than a quarter of primary sampling units were replaced. No standard errors or confidence intervals are published with these values; the Yemen sample is 1,000 respondents, so subgroup values and the gap carry sampling uncertainty that is not quantified here.</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والفجوة بينها على عدم يقين ناتج عن المعاينة لا يُقدَّر كميًا هنا.</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x:v>
      </x:c>
      <x:c r="Y28" s="24" t="str">
        <x:v>[{"source_id":"SRC-WB-FINDEX-AGG-2022","url":"https://data.worldbank.org/indicator/FX.OWN.TOTL.ZS?locations=YE","audit_state":"PASS_AUTHORITY_OR_PROVIDER_LOCATOR"},{"source_id":"SRC-WB-FINDEX-AGG-2022","url":"https://data.worldbank.org/indicator/FX.OWN.TOTL.MA.ZS?locations=YE","audit_state":"PASS_AUTHORITY_OR_PROVIDER_LOCATOR"},{"source_id":"SRC-WB-FINDEX-AGG-2022","url":"https://data.worldbank.org/indicator/FX.OWN.TOTL.FE.ZS?locations=YE","audit_state":"PASS_AUTHORITY_OR_PROVIDER_LOCATOR"}]</x:v>
      </x:c>
      <x:c r="Z28" t="str">
        <x:v>BOUND_EXACT</x:v>
      </x:c>
    </x:row>
    <x:row r="29">
      <x:c r="A29" s="24" t="str">
        <x:v>CLM-007</x:v>
      </x:c>
      <x:c r="B29" s="24" t="str">
        <x:v>CLAIM</x:v>
      </x:c>
      <x:c r="C29" s="24" t="str">
        <x:v>/remittances/</x:v>
      </x:c>
      <x:c r="D29" s="24" t="str">
        <x:v>IMF remittance series: reported history, estimates and projections kept separate</x:v>
      </x:c>
      <x:c r="E29" s="28" t="str">
        <x:v>سلسلة التحويلات لدى صندوق النقد الدولي: القيم التاريخية المنشورة والتقديرات والتوقعات منفصلة</x:v>
      </x:c>
      <x:c r="F29" s="24" t="str">
        <x:v>The history in the IMF 2025 Article IV staff report gives a higher value for remittance inflows in 2024 than in 2018 (both values from the same document); the 2025 estimate and the 2026–2030 projections come from a later supplement and are estimates and projections, not reported values. The IMF series covers the IMF's analytical scope for areas under the internationally recognized government, so its level is not a whole-of-Yemen figure and is not comparable in level with the annual-report values of the Central Bank of Yemen – Aden (CBY-Aden).</x:v>
      </x:c>
      <x:c r="G29" s="28" t="str">
        <x:v>تورد السلسلة التاريخية في تقرير خبراء صندوق النقد الدولي لمشاورات المادة الرابعة لعام 2025 قيمةً للتحويلات الواردة في ميزان المدفوعات في 2024 أعلى منها في 2018 (والقيمتان من الوثيقة نفسها)، أما تقدير 2025 وتوقعات 2026–2030 فمصدرها ملحق لاحق، وهي تقدير وتوقعات، لا قيم مُبلَّغ عنها.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التحويلات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الحوالة غير الرسمية،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الحوالة غير الرسمية.</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unless the project's access-point definitions and deduplication rules are documented.</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ما لم تُوثَّق تعريفات المشروع لنقاط الوصول وقواعد 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project's access-point definitions and deduplication rules are not documented in the evidence base, no combined or comparable figure is produced.</x:v>
      </x:c>
      <x:c r="O32" s="28" t="str">
        <x:v>يُقارن تعريف مؤشر المشروع بتعريفات الأعداد الإدارية وقواعد عدّها؛ ولأن تعريفات المشروع لنقاط الوصول وقواعد إزالة الازدواج غير موثقة في قاعدة الأدلة،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row>
    <x:row r="33">
      <x:c r="A33" s="24" t="str">
        <x:v>QUAL-001</x:v>
      </x:c>
      <x:c r="B33" s="24" t="str">
        <x:v>QUALITATIVE</x:v>
      </x:c>
      <x:c r="C33" s="24" t="str">
        <x:v>/finance/ | /evidence/</x:v>
      </x:c>
      <x:c r="D33" s="24" t="str">
        <x:v>OECD: institutional fragility and weak formal access (qualitative interpretation)</x:v>
      </x:c>
      <x:c r="E33" s="28" t="str">
        <x:v>OECD: الهشاشة المؤسسية وضعف الوصول الرسمي (تفسير نوعي)</x:v>
      </x:c>
      <x:c r="F33" s="24" t="str">
        <x:v>The Organisation for Economic Co-operation and Development (OECD) links fragmented institutions, supervisory gaps and weak formal access to financial-sector fragility and low trust.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x:v>
      </x:c>
      <x:c r="J33" s="24" t="str">
        <x:v>Published 2026; underlying periods vary</x:v>
      </x:c>
      <x:c r="K33" s="28" t="str">
        <x:v>منشور في 2026؛ وتختلف الفترات الأساسية</x:v>
      </x:c>
      <x:c r="L33" s="24" t="str">
        <x:v>OECD/EU institutional analysis based on consultations, workshops and sector analysis.</x:v>
      </x:c>
      <x:c r="M33" s="28" t="str">
        <x:v>تحليل مؤسسي ضمن مشروع مشترك بين منظمة التعاون الاقتصادي والتنمية والاتحاد الأوروبي، يستند إلى مشاورات وورش عمل وتحليل قطاعي.</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x:v>
      </x:c>
      <x:c r="P33" s="24" t="str">
        <x:v>It cannot establish prevalence, a quantified level of trust or a causal effect size.</x:v>
      </x:c>
      <x:c r="Q33" s="28" t="str">
        <x:v>لا يثبت الانتشار أو مستوى ثقة كميًا أو حجم أثر سببي.</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x:v>
      </x:c>
      <x:c r="Y33" s="24" t="str">
        <x:v>[{"source_id":"SRC-OECD-YEM-RESILIENCE-001","url":"https://doi.org/10.1787/81ed2898-en","audit_state":"SECONDARY_RESEARCH_LOCATOR"}]</x:v>
      </x:c>
      <x:c r="Z33" t="str">
        <x:v>BOUND_EXACT</x:v>
      </x:c>
    </x:row>
    <x:row r="34">
      <x:c r="A34" s="24" t="str">
        <x:v>MFI-SPINE-2015-Q4</x:v>
      </x:c>
      <x:c r="B34" s="24" t="str">
        <x:v>TEMPORAL_OBSERVATION</x:v>
      </x:c>
      <x:c r="C34" s="24" t="str">
        <x:v>/finance/</x:v>
      </x:c>
      <x:c r="D34" s="24" t="str">
        <x:v>2015 Q4 microfinance observation with a portfolio contradiction</x:v>
      </x:c>
      <x:c r="E34" s="28" t="str">
        <x:v>مشاهدة التمويل الأصغر للربع الرابع 2015 مع تعارض في قيمة محفظة القروض</x:v>
      </x:c>
      <x:c r="F34"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4"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4" s="24" t="str">
        <x:v>Active borrowers, savers and outstanding loan portfolio (nominal Yemeni rials) reported for SFD-supported microfinance programmes at 31 December 2015.</x:v>
      </x:c>
      <x:c r="I34"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4" s="24" t="str">
        <x:v>31 December 2015</x:v>
      </x:c>
      <x:c r="K34" s="28" t="str">
        <x:v>31 ديسمبر 2015</x:v>
      </x:c>
      <x:c r="L34" s="24" t="str">
        <x:v>SFD-supported reporting programmes.</x:v>
      </x:c>
      <x:c r="M34" s="28" t="str">
        <x:v>برامج التمويل الأصغر المدعومة من الصندوق الاجتماعي للتنمية ضمن نطاق الإبلاغ.</x:v>
      </x:c>
      <x:c r="N34" s="24" t="str">
        <x:v>Figures taken from the end-2015 publication of the Social Fund for Development (SFD), which contains a provider table and narrative text; where the two disagree, on the portfolio, both values are recorded and neither is adopted.</x:v>
      </x:c>
      <x:c r="O34"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4" s="24" t="str">
        <x:v>It does not establish the 2015 Q4 portfolio value: the source's table (YER 6.741 billion) and its narrative (near YER 9 billion) disagree, so neither value is adopted and the series is not smoothed.</x:v>
      </x:c>
      <x:c r="Q34"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4" s="24" t="str">
        <x:v>The observation in this record is dated 31 December 2015. It should not be read as describing a later period.</x:v>
      </x:c>
      <x:c r="S34" s="28" t="str">
        <x:v>تعود المشاهدة في هذا السجل إلى 31 ديسمبر 2015، ولا تُقرأ على أنها تصف فترة لاحقة.</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SRC-SFD-Q4-2015-001</x:v>
      </x:c>
      <x:c r="Y34" s="24" t="str">
        <x:v>[{"source_id":"SRC-SFD-Q4-2015-001","url":"https://www.sfd-yemen.org/uploads/issues/72E%282%29-20170212-184036.pdf","audit_state":"PASS_AUTHORITY_OR_PROVIDER_LOCATOR"}]</x:v>
      </x:c>
      <x:c r="Z34" t="str">
        <x:v>BOUND_EXACT</x:v>
      </x:c>
    </x:row>
    <x:row r="35">
      <x:c r="A35" s="24" t="str">
        <x:v>MF-ORIG-001+002</x:v>
      </x:c>
      <x:c r="B35" s="24" t="str">
        <x:v>PAIRED_CHRONOLOGY</x:v>
      </x:c>
      <x:c r="C35" s="24" t="str">
        <x:v>/finance/</x:v>
      </x:c>
      <x:c r="D35" s="24" t="str">
        <x:v>1997 institutional origin and 1998 operational programme start</x:v>
      </x:c>
      <x:c r="E35" s="28" t="str">
        <x:v>الأصل المؤسسي في 1997 وبداية البرنامج التشغيلي في 1998</x:v>
      </x:c>
      <x:c r="F35" s="24" t="str">
        <x:v>History hosted by the Social Fund for Development (SFD) supports two distinct milestones: 1997 as the institutional origin and start of microfinance, and 1998 as the start of active programme involvement. The two dates answer different historical questions.</x:v>
      </x:c>
      <x:c r="G35"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x:v>
      </x:c>
      <x:c r="H35"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5"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5" s="24" t="str">
        <x:v>1997 / 1998</x:v>
      </x:c>
      <x:c r="K35" s="28" t="str">
        <x:v>1997 / 1998</x:v>
      </x:c>
      <x:c r="L35" s="24" t="str">
        <x:v>SFD institutional and programme history.</x:v>
      </x:c>
      <x:c r="M35" s="28" t="str">
        <x:v>التاريخ المؤسسي والبرنامجي للصندوق الاجتماعي للتنمية.</x:v>
      </x:c>
      <x:c r="N35" s="24" t="str">
        <x:v>Dates taken from SFD's own historical material, a 2012 document hosted by SFD and a 2004 SFD newsletter, and ordered by date; each date is kept at the layer its source describes, and the two are not forced into agreement.</x:v>
      </x:c>
      <x:c r="O35"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5" s="24" t="str">
        <x:v>It does not establish one start date for Yemeni microfinance as a whole.</x:v>
      </x:c>
      <x:c r="Q35" s="28" t="str">
        <x:v>لا يثبت هذا الدليل تاريخًا واحدًا لنشأة التمويل الأصغر في اليمن ككل.</x:v>
      </x:c>
      <x:c r="R35" s="24" t="str">
        <x:v>This record describes historical milestones in 1997 and 1998. It holds no later observation and does not describe the sector today.</x:v>
      </x:c>
      <x:c r="S35" s="28" t="str">
        <x:v>يصف هذا السجل محطتين تاريخيتين في عامي 1997 و1998، ولا يتضمن مشاهدة لاحقة، ولا يصف وضع القطاع اليوم.</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SRC-SFD-MF-HISTORY-TOR-2012-001; SRC-SFD-HIST-2004-Q3-001</x:v>
      </x:c>
      <x:c r="Y35"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5" t="str">
        <x:v>BOUND_EXACT</x:v>
      </x:c>
    </x:row>
    <x:row r="36">
      <x:c r="A36" s="24" t="str">
        <x:v>CLM-013</x:v>
      </x:c>
      <x:c r="B36" s="24" t="str">
        <x:v>CLAIM</x:v>
      </x:c>
      <x:c r="C36" s="24" t="str">
        <x:v>/people/ | /reforms/</x:v>
      </x:c>
      <x:c r="D36" s="24" t="str">
        <x:v>Financial-literacy activity does not establish capability outcomes</x:v>
      </x:c>
      <x:c r="E36" s="28" t="str">
        <x:v>أنشطة الثقافة المالية لا تثبت نتائج في القدرات المالية</x:v>
      </x:c>
      <x:c r="F36"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6"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6" s="24" t="str">
        <x:v>Two separate measures: the OECD/INFE 2023 financial-literacy and financial well-being scores (out of 100) for the Yemen sample, and records of Global Money Week financial-literacy activities from March 2023 to March 2025.</x:v>
      </x:c>
      <x:c r="I36"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6" s="24" t="str">
        <x:v>OECD/INFE 2023 survey; CBY-Aden programme activity, March 2023 to March 2025</x:v>
      </x:c>
      <x:c r="K36" s="28" t="str">
        <x:v>مسح OECD/INFE لعام 2023؛ وأنشطة البنك المركزي اليمني – عدن من مارس 2023 إلى مارس 2025</x:v>
      </x:c>
      <x:c r="L36" s="24" t="str">
        <x:v>Two separate evidence universes: the Yemen sample in the OECD/INFE 2023 adult financial-literacy survey, and source-stated Global Money Week audiences and participating bodies; not one combined population.</x:v>
      </x:c>
      <x:c r="M36"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6"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6"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6"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6"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6" s="24" t="str">
        <x:v>The capability scores are from the OECD/INFE 2023 survey; the programme-activity record currently extends through March 2025. Neither is a 2026 capability outcome.</x:v>
      </x:c>
      <x:c r="S36" s="28" t="str">
        <x:v>تعود نتائج القدرات إلى مسح OECD/INFE لعام 2023، وتمتد سجلات نشاط البرنامج المتاحة حاليًا حتى مارس 2025. ولا يمثل أي منهما نتيجة لقدرات السكان في 2026.</x:v>
      </x:c>
      <x:c r="T36" s="24" t="str">
        <x:v>This record is updated when a newer comparable population measure of financial capability, a programme evaluation or a correction to the source evidence is published.</x:v>
      </x:c>
      <x:c r="U36" s="28" t="str">
        <x:v>يُحدَّث هذا السجل عند توفر قياس سكاني أحدث قابل للمقارنة للقدرات، أو تقييم للبرنامج، أو تصحيح في أدلة المصدر.</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SRC-CBY-GMW-2023-001; SRC-CBY-GMW-2024-001; SRC-CBY-GMW-2025-001; SRC-OECD-INFE-2023</x:v>
      </x:c>
      <x:c r="Y36"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6" t="str">
        <x:v>BOUND_EXACT</x:v>
      </x:c>
    </x:row>
    <x:row r="37">
      <x:c r="A37" s="24" t="str">
        <x:v>CLM-023</x:v>
      </x:c>
      <x:c r="B37" s="24" t="str">
        <x:v>CLAIM</x:v>
      </x:c>
      <x:c r="C37" s="24" t="str">
        <x:v>/methodology/ | /people/</x:v>
      </x:c>
      <x:c r="D37" s="24" t="str">
        <x:v>What the Yemen Findex 2021 study contains</x:v>
      </x:c>
      <x:c r="E37" s="28" t="str">
        <x:v>ما تتضمنه دراسة Findex 2021 الخاصة باليمن</x:v>
      </x:c>
      <x:c r="F37" s="24" t="str">
        <x:v>The Yemen Global Findex 2021 study file has 1,000 respondents and 113 variables; Yemen fieldwork ran from 7 November 2022 to 9 January 2023 and all population estimates require survey weights.</x:v>
      </x:c>
      <x:c r="G37"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7" s="24" t="str">
        <x:v>This record describes the Yemen Findex 2021 study file (1,000 respondents, 113 variables, survey weights, documented coverage and fieldwork from 7 November 2022 to 9 January 2023); it reports no population value.</x:v>
      </x:c>
      <x:c r="I37"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7" s="24" t="str">
        <x:v>Global Findex 2021 wave; Yemen fieldwork 7 November 2022 to 9 January 2023.</x:v>
      </x:c>
      <x:c r="K37" s="28" t="str">
        <x:v>موجة Global Findex 2021؛ ونُفذ العمل الميداني في اليمن من 7 نوفمبر 2022 إلى 9 يناير 2023.</x:v>
      </x:c>
      <x:c r="L37" s="24" t="str">
        <x:v>The Yemen Findex study file contains 1,000 respondents and 113 variables; population inference applies only through the survey design, weights and documented coverage.</x:v>
      </x:c>
      <x:c r="M37" s="28" t="str">
        <x:v>يضم ملف دراسة Findex لليمن 1,000 مستجيب و113 متغيرًا؛ ولا تُستنتج نتائج سكانية إلا باستخدام تصميم المسح وأوزانه وتغطيته الموثقة.</x:v>
      </x:c>
      <x:c r="N37" s="24" t="str">
        <x:v>Taken from the World Bank study metadata for the Yemen Findex 2021 file, including its variable documentation. Population estimates are produced only with the survey weights; raw case percentages are not population estimates.</x:v>
      </x:c>
      <x:c r="O37"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7" s="24" t="str">
        <x:v>Raw case percentages in the study documentation are not population estimates.</x:v>
      </x:c>
      <x:c r="Q37" s="28" t="str">
        <x:v>نسب الحالات الخام الواردة في توثيق الدراسة ليست تقديرات سكانية.</x:v>
      </x:c>
      <x:c r="R37" s="24" t="str">
        <x:v>This description applies to the Findex 2021 study of Yemen, with fieldwork from 7 November 2022 to 9 January 2023. It changes only if the World Bank revises the study documentation or file, or a newer Yemen wave is published.</x:v>
      </x:c>
      <x:c r="S37"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7" s="24" t="str">
        <x:v>This record is updated when an authoritative source is revised or replaced, a newer comparable observation becomes available, the definition, population or method changes, or the conditions for public use change.</x:v>
      </x:c>
      <x:c r="U3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SRC-WB-FINDEX-001</x:v>
      </x:c>
      <x:c r="Y37" s="24" t="str">
        <x:v>[{"source_id":"SRC-WB-FINDEX-001","url":"https://microdata.worldbank.org/catalog/5862","audit_state":"PASS_AUTHORITY_OR_PROVIDER_LOCATOR"}]</x:v>
      </x:c>
      <x:c r="Z37" t="str">
        <x:v>BOUND_EXACT</x:v>
      </x:c>
    </x:row>
    <x:row r="38">
      <x:c r="A38" s="24" t="str">
        <x:v>CLM-024</x:v>
      </x:c>
      <x:c r="B38" s="24" t="str">
        <x:v>CLAIM</x:v>
      </x:c>
      <x:c r="C38" s="24" t="str">
        <x:v>/methodology/ | /evidence/</x:v>
      </x:c>
      <x:c r="D38" s="24" t="str">
        <x:v>Raw case shares are not population estimates</x:v>
      </x:c>
      <x:c r="E38" s="28" t="str">
        <x:v>نسب الحالات الخام ليست تقديرات للسكان</x:v>
      </x:c>
      <x:c r="F38" s="24" t="str">
        <x:v>World Bank variable pages expose raw sample case counts and percentages for the Yemen Findex file, but explicitly warn that those figures cannot be interpreted as summary statistics of the population of interest.</x:v>
      </x:c>
      <x:c r="G38"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8" s="24" t="str">
        <x:v>This record sets out a measurement rule for the Yemen Findex 2021 file: the unweighted counts and percentages of respondents shown on World Bank variable pages describe the sample, not the adult population; it reports no value.</x:v>
      </x:c>
      <x:c r="I38"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8" s="24" t="str">
        <x:v>World Bank variable pages for the Global Findex 2021 Yemen microdata; Yemen fieldwork 2022–2023.</x:v>
      </x:c>
      <x:c r="K38" s="28" t="str">
        <x:v>صفحات المتغيرات لدى البنك الدولي لملف البيانات الجزئية Findex 2021 الخاص باليمن؛ والعمل الميداني في 2022–2023.</x:v>
      </x:c>
      <x:c r="L38" s="24" t="str">
        <x:v>Raw respondent cases displayed on World Bank variable pages; these are unweighted sample cases, not the population of Yemen.</x:v>
      </x:c>
      <x:c r="M38" s="28" t="str">
        <x:v>الحالات الخام للمستجيبين كما تظهر في صفحات المتغيرات لدى البنك الدولي؛ وهي حالات عينة غير موزونة وليست سكان اليمن.</x:v>
      </x:c>
      <x:c r="N38"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8"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8" s="24" t="str">
        <x:v>The raw, unweighted case percentages shown on the World Bank variable pages are not estimates for Yemen's adult population and are not reported in this resource.</x:v>
      </x:c>
      <x:c r="Q38" s="28" t="str">
        <x:v>نسب الحالات الخام غير الموزونة الظاهرة في صفحات المتغيرات لدى البنك الدولي ليست تقديرات لسكان اليمن البالغين، ولا تُعرض في هذا المورد.</x:v>
      </x:c>
      <x:c r="R38" s="24" t="str">
        <x:v>This rule applies to the World Bank variable pages for the Yemen Findex 2021 file as currently published, and holds until a revised file version or weighted population estimates are published.</x:v>
      </x:c>
      <x:c r="S38"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x:v>
      </x:c>
      <x:c r="Z38" t="str">
        <x:v>BOUND_EXACT</x:v>
      </x:c>
    </x:row>
    <x:row r="39">
      <x:c r="A39" s="24" t="str">
        <x:v>CLM-025</x:v>
      </x:c>
      <x:c r="B39" s="24" t="str">
        <x:v>CLAIM</x:v>
      </x:c>
      <x:c r="C39" s="24" t="str">
        <x:v>/people/ | /methodology/</x:v>
      </x:c>
      <x:c r="D39" s="24" t="str">
        <x:v>Geographic coverage limits of the Global Findex 2021 wave in Yemen</x:v>
      </x:c>
      <x:c r="E39" s="28" t="str">
        <x:v>حدود التغطية الجغرافية لموجة Global Findex 2021 في اليمن</x:v>
      </x:c>
      <x:c r="F39"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39"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39" s="24" t="str">
        <x:v>A documented limitation on the geographic coverage of the latest Yemen Findex observation.</x:v>
      </x:c>
      <x:c r="I39" s="28" t="str">
        <x:v>قيد موثق على التغطية الجغرافية لأحدث مشاهدة متاحة لليمن في Findex.</x:v>
      </x:c>
      <x:c r="J39" s="24" t="str">
        <x:v>2021 Findex wave (survey round); Yemen fieldwork 2022-11-07 to 2023-01-09</x:v>
      </x:c>
      <x:c r="K39" s="28" t="str">
        <x:v>موجة Findex 2021 (جولة المسح)؛ العمل الميداني في اليمن من 2022-11-07 إلى 2023-01-09</x:v>
      </x:c>
      <x:c r="L39" s="24" t="str">
        <x:v>The population of Yemen and the survey frame of the Findex 2021 study</x:v>
      </x:c>
      <x:c r="M39" s="28" t="str">
        <x:v>سكان اليمن وإطار المعاينة في دراسة Findex 2021</x:v>
      </x:c>
      <x:c r="N39" s="24" t="str">
        <x:v>World Bank study metadata for the Yemen Findex 2021 file</x:v>
      </x:c>
      <x:c r="O39" s="28" t="str">
        <x:v>البيانات الوصفية للدراسة لدى البنك الدولي لملف Findex 2021 الخاص باليمن</x:v>
      </x:c>
      <x:c r="P39" s="24" t="str">
        <x:v>The wave does not cover all of Yemen, and its results cannot be used to map financial inclusion by governorate. | The survey frame excludes areas holding about 23% of the population, and more than a quarter of primary sampling units were replaced.</x:v>
      </x:c>
      <x:c r="Q39"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39" s="24" t="str">
        <x:v>These coverage limits apply to the 2021 Findex wave, with Yemen fieldwork from 7 November 2022 to 9 January 2023, the latest wave available for Yemen. They describe that survey only, not any later one. The Global Findex 2025 edition adds no newer Yemen observation.</x:v>
      </x:c>
      <x:c r="S39"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 ولا تضيف نسخة Global Findex 2025 مشاهدة أحدث لليمن.</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[{"source_id":"SRC-WB-FINDEX-001","url":"https://microdata.worldbank.org/catalog/5862","audit_state":"PASS_AUTHORITY_OR_PROVIDER_LOCATOR"}]</x:v>
      </x:c>
      <x:c r="Z39" t="str">
        <x:v>BOUND_EXACT</x:v>
      </x:c>
    </x:row>
    <x:row r="40">
      <x:c r="A40" s="24" t="str">
        <x:v>CLM-026</x:v>
      </x:c>
      <x:c r="B40" s="24" t="str">
        <x:v>CLAIM</x:v>
      </x:c>
      <x:c r="C40" s="24" t="str">
        <x:v>/people/ | /methodology/ | /measurement/</x:v>
      </x:c>
      <x:c r="D40" s="24" t="str">
        <x:v>Demand-side measures defined; custom estimates not yet published</x:v>
      </x:c>
      <x:c r="E40" s="28" t="str">
        <x:v>مقاييس جانب الطلب محددة، والتقديرات المخصصة لم تُنشر بعد</x:v>
      </x:c>
      <x:c r="F40" s="24" t="str">
        <x:v>A 32-metric demand-side panel has been specified across access, barriers, digital use, saving, borrowing, resilience, remittances, income flows, financial worry and connectivity. Custom weighted estimates are not published yet because they require authorized respondent-level data, correct survey weights and successful reproduction of the official benchmark values.</x:v>
      </x:c>
      <x:c r="G40"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ولم تُنشر التقديرات الموزونة المخصصة بعد، لأنها تتطلب بيانات على مستوى المستجيبين مصرحًا باستخدامها، وأوزان المسح الصحيحة، وإعادة إنتاج القيم المرجعية الرسمية بنجاح.</x:v>
      </x:c>
      <x:c r="H40" s="24" t="str">
        <x:v>This record describes a set of 32 defined people-side measures for the Yemen Findex 2021 study whose weighted estimates have not yet been produced; it reports no value.</x:v>
      </x:c>
      <x:c r="I40" s="28" t="str">
        <x:v>يصف هذا السجل مجموعة من 32 مقياسًا محددًا على جانب الأفراد لدراسة Findex 2021 الخاصة باليمن، لم تُنتج بعد تقديراتها الموزونة، ولا يعرض أي قيمة.</x:v>
      </x:c>
      <x:c r="J40" s="24" t="str">
        <x:v>Current demand-side specification for the Yemen Findex 2021 study; custom weighted estimates are not yet public.</x:v>
      </x:c>
      <x:c r="K40" s="28" t="str">
        <x:v>المواصفة الحالية لمقاييس جانب الطلب في دراسة اليمن ضمن Findex 2021؛ ولم تُنشر بعد التقديرات الموزونة المخصصة.</x:v>
      </x:c>
      <x:c r="L40" s="24" t="str">
        <x:v>A pre-specified 32-metric panel to be estimated from authorized respondent-level data using the survey weights; metric definitions exist, while the custom estimates still require computation and validation.</x:v>
      </x:c>
      <x:c r="M40"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0" s="24" t="str">
        <x:v>The variables, definitions and derivations were specified in advance. Numeric estimates are published only after authorized respondent-level data are available, the correct survey weights are applied and the official benchmark values are reproduced.</x:v>
      </x:c>
      <x:c r="O40" s="28" t="str">
        <x:v>تُحدد المتغيرات والتعريفات وطريقة الاحتساب مسبقًا. ولا تُنشر التقديرات الرقمية إلا بعد توفر بيانات المستجيبين المصرح باستخدامها، وتطبيق أوزان المسح الصحيحة، وإعادة إنتاج القيم المرجعية الرسمية.</x:v>
      </x:c>
      <x:c r="P40" s="24" t="str">
        <x:v>The 32 specified measures are planned, not measured: none is yet a published indicator, because the weighted estimates have not been reproduced and checked against official benchmarks.</x:v>
      </x:c>
      <x:c r="Q40" s="28" t="str">
        <x:v>المقاييس المحددة، وعددها 32 مقياسًا، مخططة وليست مقاسة: فلا يمثل أي منها مؤشرًا منشورًا بعد، لأن تقديراتها الموزونة لم يُعَد إنتاجها ولم يُتحقق منها مقابل القيم المرجعية الرسمية.</x:v>
      </x:c>
      <x:c r="R40" s="24" t="str">
        <x:v>The panel specification applies to the Yemen Findex 2021 study. Numeric estimates remain unpublished until the weighted calculations are reproduced and validated; a newer wave would require an updated panel.</x:v>
      </x:c>
      <x:c r="S40" s="28" t="str">
        <x:v>تنطبق مواصفة هذه المجموعة على دراسة اليمن ضمن Findex 2021. وتبقى التقديرات الرقمية غير منشورة حتى تُعاد الحسابات الموزونة ويُتحقق منها؛ وتحتاج أي موجة أحدث إلى تحديث مجموعة المقاييس.</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 SRC-WB-FINDEX-AGG-2022</x:v>
      </x:c>
      <x:c r="Y40" s="24" t="str">
        <x:v>[]</x:v>
      </x:c>
      <x:c r="Z40" t="str">
        <x:v>BOUND_EXACT</x:v>
      </x:c>
    </x:row>
    <x:row r="41">
      <x:c r="A41" s="24" t="str">
        <x:v>VIS-FINDEX-SAMPLE-SUPPORT</x:v>
      </x:c>
      <x:c r="B41" s="24" t="str">
        <x:v>VISUAL</x:v>
      </x:c>
      <x:c r="C41" s="24" t="str">
        <x:v>/methodology/ | /evidence/</x:v>
      </x:c>
      <x:c r="D41" s="24" t="str">
        <x:v>How many respondents answered each Findex question</x:v>
      </x:c>
      <x:c r="E41" s="28" t="str">
        <x:v>عدد المستجيبين عن كل سؤال في مسح Findex</x:v>
      </x:c>
      <x:c r="F41"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1"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1" s="24" t="str">
        <x:v>Counts of respondents in the Yemen Findex 2021 sample who gave valid, missing or invalid answers to each question, and the sub-group each question applies to; these describe the sample, not the adult population.</x:v>
      </x:c>
      <x:c r="I41"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1" s="24" t="str">
        <x:v>2021 Findex wave; Yemen fieldwork November 2022 to January 2023</x:v>
      </x:c>
      <x:c r="K41" s="28" t="str">
        <x:v>موجة Findex 2021؛ العمل الميداني في اليمن من نوفمبر 2022 إلى يناير 2023</x:v>
      </x:c>
      <x:c r="L41" s="24" t="str">
        <x:v>Valid, missing or invalid responses and the sub-group asked each question in the Findex data examined; information describing the sample, not population estimates.</x:v>
      </x:c>
      <x:c r="M41"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1" s="24" t="str">
        <x:v>Counts come from the World Bank study metadata for the Yemen Findex 2021 file (1,000 respondents), which records valid and missing or invalid cases for each variable and the sub-group asked each question.</x:v>
      </x:c>
      <x:c r="O41"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1" s="24" t="str">
        <x:v>Raw case percentages are not population prevalence rates, and indicators are not ranked by them.</x:v>
      </x:c>
      <x:c r="Q41" s="28" t="str">
        <x:v>نسب الحالات الخام ليست معدلات انتشار بين السكان، ولا تُرتَّب المؤشرات بحسبها.</x:v>
      </x:c>
      <x:c r="R41" s="24" t="str">
        <x:v>No values are shown yet. When they are produced, they will refer to the 2021 Findex wave, with Yemen fieldwork from 7 November 2022 to 9 January 2023, the latest wave available for Yemen.</x:v>
      </x:c>
      <x:c r="S41" s="28" t="str">
        <x:v>لا تُعرض أي قيم بعد. وعند إنتاجها ستعود إلى موجة Findex 2021، التي نُفذ عملها الميداني في اليمن من 7 نوفمبر 2022 إلى 9 يناير 2023، وهي أحدث موجة متاحة لليمن.</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x:v>
      </x:c>
      <x:c r="Y41" s="24" t="str">
        <x:v>[]</x:v>
      </x:c>
      <x:c r="Z41" t="str">
        <x:v>BOUND_EXACT</x:v>
      </x:c>
      <x:c r="AA41" t="str">
        <x:v>NO_GOVERNED_CONTRACT__TABLE_ONLY</x:v>
      </x:c>
    </x:row>
    <x:row r="42">
      <x:c r="A42" s="24" t="str">
        <x:v>VIS-FINDEX-ACCESS-USE</x:v>
      </x:c>
      <x:c r="B42" s="24" t="str">
        <x:v>VISUAL</x:v>
      </x:c>
      <x:c r="C42" s="24" t="str">
        <x:v>/people/</x:v>
      </x:c>
      <x:c r="D42" s="24" t="str">
        <x:v>Account ownership, account use and digital use: three separate measures</x:v>
      </x:c>
      <x:c r="E42" s="28" t="str">
        <x:v>امتلاك الحساب واستخدامه والاستخدام الرقمي: ثلاثة مقاييس منفصلة</x:v>
      </x:c>
      <x:c r="F42" s="24" t="str">
        <x:v>In the 2021 Global Findex wave for Yemen (fieldwork 7 November 2022 to 9 January 2023), 11.9% of adults aged 15 and over in the areas the survey covered had an account. Weighted estimates of how many adults used an account, or used one digitally, have not yet been produced for this wave, so ownership is the only level available; owning an account does not show that it is used.</x:v>
      </x:c>
      <x:c r="G42" s="28" t="str">
        <x:v>في موجة 2021 من المؤشر العالمي للشمول المالي (Global Findex) الخاصة باليمن (العمل الميداني من 7 نوفمبر 2022 إلى 9 يناير 2023)، بلغت نسبة البالغين بعمر 15 سنة فأكثر في المناطق التي شملها المسح ممن يملكون حسابًا 11.9%. ولم تُنتج بعد لهذه الموجة تقديرات موزونة لنسبة من استخدموا حسابًا أو استخدموه رقميًا، لذلك يبقى امتلاك الحساب المستوى الوحيد المتاح؛ وامتلاك الحساب لا يدل على استخدامه.</x:v>
      </x:c>
      <x:c r="H42" s="24" t="str">
        <x:v>Three separate Findex measures for adults aged 15 and over in the areas the survey covered in the 2021 wave: account ownership, account use and digital use, each with its own population base; only account ownership has a published value.</x:v>
      </x:c>
      <x:c r="I42"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2" s="24" t="str">
        <x:v>2021 wave / Yemen fieldwork 2022-11 to 2023-01</x:v>
      </x:c>
      <x:c r="K42" s="28" t="str">
        <x:v>موجة 2021 / العمل الميداني في اليمن من 2022-11 إلى 2023-01</x:v>
      </x:c>
      <x:c r="L42" s="24" t="str">
        <x:v>Findex account-ownership, account-use and digital-use indicators, each indicator with its own population and measurement base. The survey frame excludes Al Baydaa, Al Jawf, Mareb, Sadah, Socotra and several districts elsewhere: areas with about 23% of the population.</x:v>
      </x:c>
      <x:c r="M42" s="28" t="str">
        <x:v>مؤشرات امتلاك الحساب واستخدامه والاستخدام الرقمي في Findex، مع مجتمع وقاعدة قياس منفصلين لكل مؤشر. ويستبعد إطار المسح محافظات البيضاء والجوف ومأرب وصعدة وسقطرى وعددًا من المديريات في محافظات أخرى، وهي مناطق تضم نحو 23% من السكان.</x:v>
      </x:c>
      <x:c r="N42" s="24" t="str">
        <x:v>Account ownership is the weighted estimate published by the World Bank for the 2021 wave (data year 2022). Account-use and digital-use estimates require weighted calculation from the respondent-level data, which has not yet been completed.</x:v>
      </x:c>
      <x:c r="O42"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بعد.</x:v>
      </x:c>
      <x:c r="P42"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2"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2" s="24" t="str">
        <x:v>The ownership value refers to the 2021 Findex wave, reported by the World Bank for 2022, with Yemen fieldwork from 7 November 2022 to 9 January 2023; the Global Findex 2025 edition adds no newer Yemen observation. Account-use and digital-use values have not yet been produced.</x:v>
      </x:c>
      <x:c r="S42" s="28" t="str">
        <x:v>تعود قيمة امتلاك الحساب إلى موجة Findex 2021، التي نشر البنك الدولي قيمتها لسنة 2022، ونُفذ عملها الميداني في اليمن من 7 نوفمبر 2022 إلى 9 يناير 2023، ولا تضيف نسخة Global Findex 2025 مشاهدة أحدث لليمن. أما قيم استخدام الحساب والاستخدام الرقمي فلم تُنتج بعد.</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x:v>
      </x:c>
      <x:c r="Y42" s="24" t="str">
        <x:v>[]</x:v>
      </x:c>
      <x:c r="Z42" t="str">
        <x:v>BOUND_EXACT</x:v>
      </x:c>
      <x:c r="AA42" t="str">
        <x:v>NO_GOVERNED_CONTRACT__TABLE_ONLY</x:v>
      </x:c>
    </x:row>
    <x:row r="43">
      <x:c r="A43" s="24" t="str">
        <x:v>VIS-FINDEX-BARRIERS</x:v>
      </x:c>
      <x:c r="B43" s="24" t="str">
        <x:v>VISUAL</x:v>
      </x:c>
      <x:c r="C43" s="24" t="str">
        <x:v>/people/</x:v>
      </x:c>
      <x:c r="D43" s="24" t="str">
        <x:v>Reasons adults give for not having an account</x:v>
      </x:c>
      <x:c r="E43" s="28" t="str">
        <x:v>الأسباب التي يذكرها البالغون لعدم امتلاك حساب</x:v>
      </x:c>
      <x:c r="F43"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3"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3" s="24" t="str">
        <x:v>The reasons that adults aged 15 and over without an account, in the areas the survey covered, give for not having one, as asked in the Yemen Findex 2021 survey; no weighted values have yet been produced.</x:v>
      </x:c>
      <x:c r="I43"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3" s="24" t="str">
        <x:v>2021 Findex wave; Yemen fieldwork November 2022 to January 2023</x:v>
      </x:c>
      <x:c r="K43" s="28" t="str">
        <x:v>موجة Findex 2021؛ العمل الميداني في اليمن من نوفمبر 2022 إلى يناير 2023</x:v>
      </x:c>
      <x:c r="L43" s="24" t="str">
        <x:v>Adults without an account, within the measurement base of the Findex barrier indicators. The survey frame excludes Al Baydaa, Al Jawf, Mareb, Sadah, Socotra and several districts elsewhere: areas with about 23% of the population.</x:v>
      </x:c>
      <x:c r="M43" s="28" t="str">
        <x:v>البالغون الذين لا يملكون حسابًا ضمن قاعدة الاحتساب الخاصة بمؤشرات العوائق في Findex. ويستبعد إطار المسح محافظات البيضاء والجوف ومأرب وصعدة وسقطرى وعددًا من المديريات في محافظات أخرى، وهي مناطق تضم نحو 23% من السكان.</x:v>
      </x:c>
      <x:c r="N43" s="24" t="str">
        <x:v>The estimates require weighted calculation from the respondent-level Findex 2021 data, with adults who do not have an account as the base; that calculation has not yet been completed.</x:v>
      </x:c>
      <x:c r="O43" s="28" t="str">
        <x:v>تتطلب التقديرات احتسابًا موزونًا من بيانات المستجيبين في مسح Findex 2021، على أساس البالغين الذين لا يملكون حسابًا؛ ولم يُستكمل هذا الاحتساب بعد.</x:v>
      </x:c>
      <x:c r="P43" s="24" t="str">
        <x:v>Raw case percentages from the study documentation describe the sample, not the weighted population. A reason that adults give for not having an account does not establish that it is what keeps them without one.</x:v>
      </x:c>
      <x:c r="Q43"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3" s="24" t="str">
        <x:v>No values are shown yet. When they are produced, they will refer to the 2021 Findex wave, with Yemen fieldwork from 7 November 2022 to 9 January 2023, the latest wave available for Yemen. The Global Findex 2025 edition adds no newer Yemen observation.</x:v>
      </x:c>
      <x:c r="S43"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row>
    <x:row r="44">
      <x:c r="A44" s="24" t="str">
        <x:v>VIS-FINDEX-RESILIENCE</x:v>
      </x:c>
      <x:c r="B44" s="24" t="str">
        <x:v>VISUAL</x:v>
      </x:c>
      <x:c r="C44" s="24" t="str">
        <x:v>/people/</x:v>
      </x:c>
      <x:c r="D44" s="24" t="str">
        <x:v>Can an adult raise emergency funds — in 7 days versus 30?</x:v>
      </x:c>
      <x:c r="E44" s="28" t="str">
        <x:v>هل يستطيع البالغ تدبير أموال للطوارئ خلال 7 أيام مقارنة بـ30 يومًا؟</x:v>
      </x:c>
      <x:c r="F44"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4"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الاحتساب والإجابات المفقودة، ولن يُقارن الأفقان الزمنيان إلا بعد احتساب موزون صالح؛ ولن تُدمج الفئات في درجة واحدة للصمود.</x:v>
      </x:c>
      <x:c r="H44" s="24" t="str">
        <x:v>Whether adults aged 15 and over in the areas the survey covered could raise emergency funds within 7 days or within 30 days, in the answer categories of the Yemen Findex 2021 survey; no weighted values have yet been produced.</x:v>
      </x:c>
      <x:c r="I44"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The populations and categories defined by the Findex questions on raising money and financial resilience, with the measurement base and missing answers kept for each question. The survey frame excludes Al Baydaa, Al Jawf, Mareb, Sadah, Socotra and several districts elsewhere: areas with about 23% of the population.</x:v>
      </x:c>
      <x:c r="M44" s="28" t="str">
        <x:v>المجتمعات والفئات التي تعرفها أسئلة القدرة على تدبير المال والصمود المالي في Findex، مع الحفاظ على قاعدة الاحتساب والإجابات المفقودة لكل سؤال. ويستبعد إطار المسح محافظات البيضاء والجوف ومأرب وصعدة وسقطرى وعددًا من المديريات في محافظات أخرى، وهي مناطق تضم نحو 23% من السكان.</x:v>
      </x:c>
      <x:c r="N44" s="24" t="str">
        <x:v>The estimates require weighted calculation from the respondent-level Findex 2021 data, keeping the source's answer categories, the inability to raise money, the population base and missing answers; that calculation has not yet been completed.</x:v>
      </x:c>
      <x:c r="O44" s="28" t="str">
        <x:v>تتطلب التقديرات احتسابًا موزونًا من بيانات المستجيبين في مسح Findex 2021، مع الحفاظ على فئات الإجابة في المصدر وحالة عدم القدرة على تدبير المال وقاعدة الاحتساب والإجابات المفقودة؛ ولم يُستكمل هذا الاحتساب بعد.</x:v>
      </x:c>
      <x:c r="P44" s="24" t="str">
        <x:v>The ordered answer categories do not form a resilience score, and no separately approved method for combining them is used here.</x:v>
      </x:c>
      <x:c r="Q44" s="28" t="str">
        <x:v>لا تشكل فئات الإجابة الترتيبية درجة مركبة للصمود، ولا تُستخدم هنا طريقة معتمدة مستقلة لدمجها.</x:v>
      </x:c>
      <x:c r="R44" s="24" t="str">
        <x:v>No values are shown yet. When they are produced, they will refer to the 2021 Findex wave, with Yemen fieldwork from 7 November 2022 to 9 January 2023, the latest wave available for Yemen. The Global Findex 2025 edition adds no newer Yemen observation.</x:v>
      </x:c>
      <x:c r="S44"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row>
    <x:row r="45">
      <x:c r="A45" s="24" t="str">
        <x:v>VIS-FINDEX-FLOW-CHANNELS</x:v>
      </x:c>
      <x:c r="B45" s="24" t="str">
        <x:v>VISUAL</x:v>
      </x:c>
      <x:c r="C45" s="24" t="str">
        <x:v>/people/ | /remittances/</x:v>
      </x:c>
      <x:c r="D45" s="24" t="str">
        <x:v>How money reaches people — wages, government transfers, agricultural payments and domestic remittances</x:v>
      </x:c>
      <x:c r="E45" s="28" t="str">
        <x:v>كيف تصل الأموال إلى الأفراد: الأجور والتحويلات الحكومية والمدفوعات الزراعية والحوالات المحلية</x:v>
      </x:c>
      <x:c r="F45"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5" s="28" t="str">
        <x:v>لم تُنتج بعد تقديرات موزونة لموجة 2021 عن كيفية تلقي البالغين للأجور والتحويلات الحكومية والمدفوعات الزراعية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5"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5" s="28" t="str">
        <x:v>القنوات التي تلقى عبرها البالغون بعمر 15 سنة فأكثر، في المناطق التي شملها المسح، أجورهم أو تحويلاتهم الحكومية أو مدفوعاتهم الزراعية أو حوالاتهم المحلية، بين من تلقوا كلًّا منها، كما وردت في مسح Findex 2021 لليمن؛ ولم تُنتج بعد قيم موزونة لها.</x:v>
      </x:c>
      <x:c r="J45" s="24" t="str">
        <x:v>2021 wave / Yemen fieldwork 2022-23</x:v>
      </x:c>
      <x:c r="K45" s="28" t="str">
        <x:v>موجة 2021 / العمل الميداني في اليمن 2022–2023</x:v>
      </x:c>
      <x:c r="L45" s="24" t="str">
        <x:v>Adults who received wages, government transfers, agricultural payments or remittances, each group taken separately in Findex; not shares of all adults unless the source says so. The survey frame excludes Al Baydaa, Al Jawf, Mareb, Sadah, Socotra and several districts elsewhere: areas with about 23% of the population.</x:v>
      </x:c>
      <x:c r="M45" s="28" t="str">
        <x:v>البالغون الذين تلقوا أجورًا أو تحويلات حكومية أو مدفوعات زراعية أو حوالات، كل فئة على حدة، في Findex؛ ولا تُعامل كنسبة من جميع البالغين ما لم ينص المصدر على ذلك. ويستبعد إطار المسح محافظات البيضاء والجوف ومأرب وصعدة وسقطرى وعددًا من المديريات في محافظات أخرى، وهي مناطق تضم نحو 23% من السكان.</x:v>
      </x:c>
      <x:c r="N45"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5"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5" s="24" t="str">
        <x:v>Channel shares among recipients are not shares of all adults, and they do not measure programme outcomes or remittance volumes for the economy as a whole.</x:v>
      </x:c>
      <x:c r="Q45" s="28" t="str">
        <x:v>حصص القنوات بين المتلقين ليست نسبًا من جميع البالغين، ولا تقيس نتائج البرامج ولا حجم التحويلات على المستوى الكلي.</x:v>
      </x:c>
      <x:c r="R45" s="24" t="str">
        <x:v>No values are shown yet. When they are produced, they will refer to the 2021 Findex wave, with Yemen fieldwork from 7 November 2022 to 9 January 2023, the latest wave available for Yemen. The Global Findex 2025 edition adds no newer Yemen observation.</x:v>
      </x:c>
      <x:c r="S45"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row>
    <x:row r="46">
      <x:c r="A46" s="24" t="str">
        <x:v>CLM-027</x:v>
      </x:c>
      <x:c r="B46" s="24" t="str">
        <x:v>CLAIM</x:v>
      </x:c>
      <x:c r="C46" s="24" t="str">
        <x:v>/people/</x:v>
      </x:c>
      <x:c r="D46" s="24" t="str">
        <x:v>Three observed survey waves, not an annual series</x:v>
      </x:c>
      <x:c r="E46" s="28" t="str">
        <x:v>ثلاث موجات مسحية مرصودة، لا سلسلة سنوية</x:v>
      </x:c>
      <x:c r="F46"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6"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6" s="24" t="str">
        <x:v>Account ownership among adults aged 15 and over in Yemen, as published by the World Bank for three separate survey waves (2011, 2014 and 2022); the three values do not form an annual series.</x:v>
      </x:c>
      <x:c r="I46"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6" s="24" t="str">
        <x:v>2011 / 2014 / 2022</x:v>
      </x:c>
      <x:c r="K46" s="28" t="str">
        <x:v>2011 / 2014 / 2022</x:v>
      </x:c>
      <x:c r="L46" s="24" t="str">
        <x:v>Adults 15+ under each source wave's survey coverage</x:v>
      </x:c>
      <x:c r="M46" s="28" t="str">
        <x:v>الأشخاص بعمر 15 سنة فأكثر ضمن التغطية الخاصة بكل موجة مسحية.</x:v>
      </x:c>
      <x:c r="N46" s="24" t="str">
        <x:v>Official weighted public aggregates; no annual interpolation</x:v>
      </x:c>
      <x:c r="O46" s="28" t="str">
        <x:v>إجماليات عامة موزونة ورسمية؛ من دون استيفاء سنوي بين الموجات.</x:v>
      </x:c>
      <x:c r="P46"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conducted from 7 November 2022 to 9 January 2023 that excluded areas holding about 23% of the population.</x:v>
      </x:c>
      <x:c r="Q46"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من 7 نوفمبر 2022 إلى 9 يناير 2023 واستبعد مناطق يقطنها نحو 23% من السكان.</x:v>
      </x:c>
      <x:c r="R46" s="24" t="str">
        <x:v>The latest of the three waves is the 2021 Findex wave, reported by the World Bank for 2022 (Yemen fieldwork 7 November 2022 to 9 January 2023); the Global Findex 2025 edition adds no newer Yemen observation. The series should not be read as describing any later year.</x:v>
      </x:c>
      <x:c r="S46" s="28" t="str">
        <x:v>أحدث الموجات الثلاث هي موجة Findex 2021، التي نشر البنك الدولي قيمتها لسنة 2022 (العمل الميداني في اليمن من 7 نوفمبر 2022 إلى 9 يناير 2023)، ولا تضيف نسخة Global Findex 2025 مشاهدة أحدث لليمن. ولا تُقرأ هذه القيم على أنها تصف أي سنة لاحقة.</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SRC-WB-FINDEX-LDB-2015-001; SRC-WB-FINDEX-AGG-2022</x:v>
      </x:c>
      <x:c r="Y46" s="24" t="str">
        <x:v>[]</x:v>
      </x:c>
      <x:c r="Z46" t="str">
        <x:v>BOUND_EXACT</x:v>
      </x:c>
    </x:row>
    <x:row r="47">
      <x:c r="A47" s="24" t="str">
        <x:v>CLM-028</x:v>
      </x:c>
      <x:c r="B47" s="24" t="str">
        <x:v>CLAIM</x:v>
      </x:c>
      <x:c r="C47" s="24" t="str">
        <x:v>/people/</x:v>
      </x:c>
      <x:c r="D47" s="24" t="str">
        <x:v>Historical borrowing patterns in 2014</x:v>
      </x:c>
      <x:c r="E47" s="28" t="str">
        <x:v>أنماط اقتراض تاريخية في 2014</x:v>
      </x:c>
      <x:c r="F47" s="24" t="str">
        <x:v>In the 2014 World Bank weighted country profile, 65.9% of adults reported borrowing any money, while 51.7% reported borrowing from family or friends, 15.0% from a private informal lender and 0.4% from a financial institution.</x:v>
      </x:c>
      <x:c r="G47"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7" s="24" t="str">
        <x:v>Shares of adults aged 15 and over who reported borrowing any money, or borrowing from particular sources, as published in the World Bank's 2014 weighted country profile for Yemen.</x:v>
      </x:c>
      <x:c r="I47"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7" s="24" t="str">
        <x:v>2014</x:v>
      </x:c>
      <x:c r="K47" s="28" t="str">
        <x:v>2014</x:v>
      </x:c>
      <x:c r="L47" s="24" t="str">
        <x:v>Civilian non-institutionalized population age 15+; some channel measures use sender, recipient or account-holder sub-groups</x:v>
      </x:c>
      <x:c r="M47" s="28" t="str">
        <x:v>السكان المدنيون بعمر 15 سنة فأكثر من غير نزلاء المؤسسات؛ وبعض مؤشرات القنوات تستخدم مجتمعات فرعية من المرسلين أو المستلمين أو أصحاب الحسابات.</x:v>
      </x:c>
      <x:c r="N47" s="24" t="str">
        <x:v>Official weighted public country-profile aggregates</x:v>
      </x:c>
      <x:c r="O47" s="28" t="str">
        <x:v>إجماليات موزونة منشورة رسميًا في ملف الدولة.</x:v>
      </x:c>
      <x:c r="P47"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7"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7"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7"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x:v>
      </x:c>
      <x:c r="Y47" s="24" t="str">
        <x:v>[]</x:v>
      </x:c>
      <x:c r="Z47" t="str">
        <x:v>BOUND_EXACT</x:v>
      </x:c>
    </x:row>
    <x:row r="48">
      <x:c r="A48" s="24" t="str">
        <x:v>CLM-029</x:v>
      </x:c>
      <x:c r="B48" s="24" t="str">
        <x:v>CLAIM</x:v>
      </x:c>
      <x:c r="C48" s="24" t="str">
        <x:v>/people/</x:v>
      </x:c>
      <x:c r="D48" s="24" t="str">
        <x:v>Historical saving patterns in 2014</x:v>
      </x:c>
      <x:c r="E48" s="28" t="str">
        <x:v>أنماط ادخار تاريخية في 2014</x:v>
      </x:c>
      <x:c r="F48" s="24" t="str">
        <x:v>In the 2014 World Bank weighted country profile, 20.6% of adults reported saving any money, compared with 0.9% reporting saving at a financial institution and 4.5% using a savings club or person outside the family.</x:v>
      </x:c>
      <x:c r="G48"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8" s="24" t="str">
        <x:v>Shares of adults aged 15 and over who reported saving any money, or saving in particular ways, as published in the World Bank's 2014 weighted country profile for Yemen.</x:v>
      </x:c>
      <x:c r="I48"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8"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8"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row>
    <x:row r="49">
      <x:c r="A49" s="24" t="str">
        <x:v>CLM-030</x:v>
      </x:c>
      <x:c r="B49" s="24" t="str">
        <x:v>CLAIM</x:v>
      </x:c>
      <x:c r="C49" s="24" t="str">
        <x:v>/people/ | /remittances/</x:v>
      </x:c>
      <x:c r="D49" s="24" t="str">
        <x:v>Domestic-remittance pathways in 2014</x:v>
      </x:c>
      <x:c r="E49" s="28" t="str">
        <x:v>مسارات الحوالات المحلية في 2014</x:v>
      </x:c>
      <x:c r="F49" s="24" t="str">
        <x:v>The 2014 World Bank weighted country profile reports 18.3% of adults receiving domestic remittances. Among recipients, 31.1% received via a money transfer operator, 2.0% via a financial institution and 0.0% via mobile phone in that source profile.</x:v>
      </x:c>
      <x:c r="G49"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49"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49"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49"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49"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9"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row>
    <x:row r="50">
      <x:c r="A50" s="24" t="str">
        <x:v>CLM-031</x:v>
      </x:c>
      <x:c r="B50" s="24" t="str">
        <x:v>CLAIM</x:v>
      </x:c>
      <x:c r="C50" s="24" t="str">
        <x:v>/people/ | /evidence/</x:v>
      </x:c>
      <x:c r="D50" s="24" t="str">
        <x:v>There is no single latest year for all people-side evidence</x:v>
      </x:c>
      <x:c r="E50" s="28" t="str">
        <x:v>لا توجد سنة واحدة هي الأحدث لكل أدلة الأفراد</x:v>
      </x:c>
      <x:c r="F50" s="24" t="str">
        <x:v>The people-side evidence here does not have one latest year: account ownership has a latest verified Yemen aggregate in 2022, while weighted public evidence currently available here for account use, saving, borrowing and domestic-remittance behaviour is centered on 2014; latest-wave resilience and barrier values remain unpublished until the required weighted computation is complete. Historical results stay separate from any newer estimate until that computation and its verification are complete.</x:v>
      </x:c>
      <x:c r="G50"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0" s="24" t="str">
        <x:v>An evidence-timing comparison showing that different people-side measures have different latest observation dates.</x:v>
      </x:c>
      <x:c r="I50" s="28" t="str">
        <x:v>مقارنة في توقيت الأدلة توضح أن مقاييس جانب الأفراد لا تشترك جميعها في أحدث سنة قياس واحدة.</x:v>
      </x:c>
      <x:c r="J50" s="24" t="str">
        <x:v>Function-specific people-side evidence: weighted public evidence on financial behaviour centered on 2014, with the latest verified account-ownership value from the Findex 2021 wave and Yemen fieldwork in 2022–2023.</x:v>
      </x:c>
      <x:c r="K50"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0" s="24" t="str">
        <x:v>People-side evidence by financial function; each function keeps its own survey wave, population base, denominator and publication status.</x:v>
      </x:c>
      <x:c r="M50" s="28" t="str">
        <x:v>أدلة تخص الأشخاص بحسب الوظيفة المالية، مع احتفاظ كل وظيفة بموجة المسح ومجتمع القياس وقاعدة الاحتساب وحالة النشر الخاصة بها.</x:v>
      </x:c>
      <x:c r="N50"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0"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0" s="24" t="str">
        <x:v>The 2014 behaviour values do not describe current behaviour, and raw case percentages from the 2021 wave are not a substitute for weighted population estimates.</x:v>
      </x:c>
      <x:c r="Q50" s="28" t="str">
        <x:v>لا تصف قيم السلوك لعام 2014 السلوك الحالي، ولا تُعد نسب الحالات الخام في موجة 2021 بديلًا عن التقديرات السكانية الموزونة.</x:v>
      </x:c>
      <x:c r="R50" s="24" t="str">
        <x:v>Each function has its own latest observation: account ownership refers to the 2021 Findex wave, with Yemen fieldwork from 7 November 2022 to 9 January 2023; account use, saving, borrowing and domestic remittances refer to 2014. Each is updated separately when newer comparable evidence is published.</x:v>
      </x:c>
      <x:c r="S50" s="28" t="str">
        <x:v>لكل وظيفة أحدث مشاهدة خاصة بها: يعود امتلاك الحساب إلى موجة Findex 2021، التي نُفذ عملها الميداني في اليمن من 7 نوفمبر 2022 إلى 9 يناير 2023، ويعود استخدام الحساب والادخار والاقتراض والحوالات المحلية إلى 2014. ويُحدَّث كل منها على حدة عند نشر دليل أحدث قابل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view assembles other evidence records. Check each linked record against its own source.</x:v>
      </x:c>
      <x:c r="W50" s="28" t="str">
        <x:v>يجمع هذا العرض سجلات أدلة أخرى، فطابِق كل سجل مرتبط مع مصدره.</x:v>
      </x:c>
      <x:c r="X50" s="24" t="str">
        <x:v>CLM-001; CLM-027; CLM-028; CLM-029; CLM-030</x:v>
      </x:c>
      <x:c r="Y50" s="24" t="str">
        <x:v>[]</x:v>
      </x:c>
      <x:c r="Z50" t="str">
        <x:v>COMPOSITE_OF_OBJECTS</x:v>
      </x:c>
    </x:row>
    <x:row r="51">
      <x:c r="A51" s="24" t="str">
        <x:v>VIS-FINDEX-OBSERVED-WAVES</x:v>
      </x:c>
      <x:c r="B51" s="24" t="str">
        <x:v>VISUAL</x:v>
      </x:c>
      <x:c r="C51" s="24" t="str">
        <x:v>/people/</x:v>
      </x:c>
      <x:c r="D51" s="24" t="str">
        <x:v>Account ownership — observed waves, not an annual line</x:v>
      </x:c>
      <x:c r="E51" s="28" t="str">
        <x:v>امتلاك الحساب في موجات Findex المرصودة لليمن، لا سلسلة سنوية</x:v>
      </x:c>
      <x:c r="F51" s="24" t="str">
        <x:v>The World Bank has published three observations of account ownership for Yemen: 3.7% in 2011 (accounts at financial institutions only), 6.4% in 2014 and 11.9% in the 2021 Findex wave, reported for 2022 from fieldwork conducted from 7 November 2022 to 9 January 2023 that excluded areas holding about 23% of the population. The years between these waves were not observed.</x:v>
      </x:c>
      <x:c r="G51"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7 نوفمبر 2022 إلى 9 يناير 2023 واستبعد مناطق يقطنها نحو 23% من السكان. ولم تُرصد السنوات الواقعة بين هذه الموجات.</x:v>
      </x:c>
      <x:c r="H51" s="24" t="str">
        <x:v>Account ownership among adults aged 15 and over in Yemen at each observed Global Findex wave (2011, 2014 and 2022), in the areas each survey covered, as published by the World Bank.</x:v>
      </x:c>
      <x:c r="I51"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1" s="24" t="str">
        <x:v>2011 / 2014 / 2022</x:v>
      </x:c>
      <x:c r="K51" s="28" t="str">
        <x:v>2011 / 2014 / 2022</x:v>
      </x:c>
      <x:c r="L51" s="24" t="str">
        <x:v>Verified Yemen Findex wave points only, each with its scope, period and coverage.</x:v>
      </x:c>
      <x:c r="M51" s="28" t="str">
        <x:v>قيم موجات Findex الخاصة باليمن التي جرى التحقق منها فقط، مع نطاق كل موجة وفترتها وتغطيتها.</x:v>
      </x:c>
      <x:c r="N51" s="24" t="str">
        <x:v>Weighted aggregates published by the World Bank for each observed wave: 2011 and 2014 from The Little Data Book on Financial Inclusion 2015, and the 2021 wave from World Bank Data. No values are estimated for the years between waves.</x:v>
      </x:c>
      <x:c r="O51"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1" s="24" t="str">
        <x:v>It does not establish values for the years between waves, an average annual growth rate or the causes of the change, and it is not a 2026 value. There is no Yemen observation for 2017 or 2024.</x:v>
      </x:c>
      <x:c r="Q51"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1" s="24" t="str">
        <x:v>The latest observation is from the 2021 Findex wave, reported by the World Bank for 2022 (Yemen fieldwork 7 November 2022 to 9 January 2023); the Global Findex 2025 edition adds no newer Yemen observation. It should not be read as describing a later period unless a newer comparable observation is published.</x:v>
      </x:c>
      <x:c r="S51" s="28" t="str">
        <x:v>تعود أحدث مشاهدة إلى موجة Findex 2021، التي نشر البنك الدولي قيمتها لسنة 2022 (العمل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record is drawn from the source(s) listed on this page. Open a source record to reach the original document, and check that the definition, period, population and geography match what is stated here.</x:v>
      </x:c>
      <x:c r="W5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1" s="24" t="str">
        <x:v>SRC-WB-FINDEX-LDB-2015-001; SRC-WB-FINDEX-AGG-2022</x:v>
      </x:c>
      <x:c r="Y51" s="24" t="str">
        <x:v>[]</x:v>
      </x:c>
      <x:c r="Z51" t="str">
        <x:v>BOUND_EXACT</x:v>
      </x:c>
      <x:c r="AA51" t="str">
        <x:v>NO_GOVERNED_CONTRACT__TABLE_ONLY</x:v>
      </x:c>
    </x:row>
    <x:row r="52">
      <x:c r="A52" s="24" t="str">
        <x:v>VIS-DEMAND-VINTAGE-LADDER</x:v>
      </x:c>
      <x:c r="B52" s="24" t="str">
        <x:v>VISUAL</x:v>
      </x:c>
      <x:c r="C52" s="24" t="str">
        <x:v>/people/ | /evidence/</x:v>
      </x:c>
      <x:c r="D52" s="24" t="str">
        <x:v>Year of the last weighted value for each people-side financial function</x:v>
      </x:c>
      <x:c r="E52" s="28" t="str">
        <x:v>سنة آخر قيمة موزونة لكل وظيفة مالية على جانب الأفراد</x:v>
      </x:c>
      <x:c r="F52" s="24" t="str">
        <x:v>The latest weighted evidence differs by financial function: account ownership has a value from the 2021 Findex wave (11.9%, reported for 2022), while the latest weighted values for saving, borrowing and domestic remittances date from 2014 (20.6% of adults saved any money, 65.9% borrowed any money and 18.3% received domestic remittances), and weighted estimates of resilience and of the reasons for not having an account have not yet been calculated for the 2021 wave.</x:v>
      </x:c>
      <x:c r="G52" s="28" t="str">
        <x:v>يختلف أحدث دليل موزون بحسب الوظيفة المالية: فلامتلاك الحساب قيمة من موجة Findex 2021 (11.9%، منشورة لسنة 2022)، بينما تعود أحدث القيم الموزونة للادخار والاقتراض والحوالات المحلية إلى 2014 (ادخر 20.6% من البالغين أي مبلغ، واقترض 65.9% أي مبلغ، وتلقى 18.3% حوالات محلية)، ولا تزال تقديرات الصمود المالي وأسباب عدم امتلاك الحساب لموجة 2021 بانتظار الاحتساب.</x:v>
      </x:c>
      <x:c r="H52" s="24" t="str">
        <x:v>The latest observation period available for each people-side financial function (account ownership, saving, borrowing, domestic remittances, resilience and reasons for not having an account), drawn from the Global Findex evidence for Yemen.</x:v>
      </x:c>
      <x:c r="I52"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2" s="24" t="str">
        <x:v>2014 to 2022; no weighted values yet for some measures in the 2021 wave</x:v>
      </x:c>
      <x:c r="K52" s="28" t="str">
        <x:v>من 2014 إلى 2022؛ ولا توجد بعد قيم موزونة لبعض مقاييس موجة 2021</x:v>
      </x:c>
      <x:c r="L52" s="24" t="str">
        <x:v>The latest period with a supported numeric value for each people-side financial function, with account ownership, saving, borrowing, remittances, resilience and barriers kept separate.</x:v>
      </x:c>
      <x:c r="M52" s="28" t="str">
        <x:v>أحدث فترة تتوفر لها قيمة رقمية معتمدة لكل وظيفة مالية على جانب الأفراد، مع فصل امتلاك الحساب والادخار والاقتراض والحوالات والصمود والعوائق.</x:v>
      </x:c>
      <x:c r="N52" s="24" t="str">
        <x:v>Compiled from the evidence records listed on this page: each function is matched to its own latest weighted Findex evidence, and no value or date is carried from one function to another.</x:v>
      </x:c>
      <x:c r="O52" s="28" t="str">
        <x:v>مجمّع من سجلات الأدلة المدرجة في هذه الصفحة: تُربط كل وظيفة بأحدث دليل موزون خاص بها من مسح Findex، ولا تُنقل قيمة أو تاريخ من وظيفة إلى أخرى.</x:v>
      </x:c>
      <x:c r="P52" s="24" t="str">
        <x:v>It is not a composite inclusion score. There is no single latest year for people-side evidence, and a recent date for one function does not make the evidence for another function current.</x:v>
      </x:c>
      <x:c r="Q52" s="28" t="str">
        <x:v>ليس هذا درجة مركبة للشمول المالي. ولا توجد سنة واحدة هي الأحدث لأدلة جانب الأفراد، وحداثة تاريخ وظيفة ما لا تجعل أدلة وظيفة أخرى حديثة.</x:v>
      </x:c>
      <x:c r="R52" s="24" t="str">
        <x:v>The latest observations differ by function: 2022 for account ownership (2021 Findex wave, fieldwork 7 November 2022 to 9 January 2023) and 2014 for saving, borrowing and domestic remittances; resilience and reasons for not having an account have no weighted value yet. None of them describes a later period unless a newer comparable observation is published.</x:v>
      </x:c>
      <x:c r="S52" s="28" t="str">
        <x:v>تختلف أحدث المشاهدات بحسب الوظيفة: 2022 لامتلاك الحساب (موجة Findex 2021، والعمل الميداني من 7 نوفمبر 2022 إلى 9 يناير 2023)، و2014 للادخار والاقتراض والحوالات المحلية؛ ولا توجد بعد قيمة موزونة للصمود المالي ولأسباب عدم امتلاك الحساب. ولا يصف أي منها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view assembles other evidence records. Check each linked record against its own source.</x:v>
      </x:c>
      <x:c r="W52" s="28" t="str">
        <x:v>يجمع هذا العرض سجلات أدلة أخرى، فطابِق كل سجل مرتبط مع مصدره.</x:v>
      </x:c>
      <x:c r="X52" s="24" t="str">
        <x:v>CLM-001; CLM-027; CLM-028; CLM-029; CLM-030; VIS-FINDEX-RESILIENCE; VIS-FINDEX-BARRIERS</x:v>
      </x:c>
      <x:c r="Y52" s="24" t="str">
        <x:v>[]</x:v>
      </x:c>
      <x:c r="Z52" t="str">
        <x:v>COMPOSITE_OF_OBJECTS</x:v>
      </x:c>
      <x:c r="AA52" t="str">
        <x:v>NO_GOVERNED_CONTRACT__TABLE_ONLY</x:v>
      </x:c>
    </x:row>
    <x:row r="53">
      <x:c r="A53" s="24" t="str">
        <x:v>VIS-BORROWING-SOURCES-2014</x:v>
      </x:c>
      <x:c r="B53" s="24" t="str">
        <x:v>VISUAL</x:v>
      </x:c>
      <x:c r="C53" s="24" t="str">
        <x:v>/people/</x:v>
      </x:c>
      <x:c r="D53" s="24" t="str">
        <x:v>Borrowing and its sources in 2014</x:v>
      </x:c>
      <x:c r="E53" s="28" t="str">
        <x:v>الاقتراض ومصادره في 2014</x:v>
      </x:c>
      <x:c r="F53"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3"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3" s="24" t="str">
        <x:v>Shares of adults aged 15 and over in Yemen who reported borrowing any money, and borrowing from particular sources or for particular purposes, in 2014, as published by the World Bank.</x:v>
      </x:c>
      <x:c r="I53" s="28" t="str">
        <x:v>نسب البالغين بعمر 15 سنة فأكثر في اليمن الذين أفادوا باقتراض أي مبلغ، وبالاقتراض من مصادر محددة أو لأغراض محددة، في 2014، كما نشرها البنك الدولي.</x:v>
      </x:c>
      <x:c r="J53" s="24" t="str">
        <x:v>2014</x:v>
      </x:c>
      <x:c r="K53" s="28" t="str">
        <x:v>2014</x:v>
      </x:c>
      <x:c r="L53" s="24" t="str">
        <x:v>Adults covered by the 2014 Findex data for Yemen; borrowing from any source is shown separately from source or purpose indicators.</x:v>
      </x:c>
      <x:c r="M53" s="28" t="str">
        <x:v>البالغون المشمولون ببيانات Findex لليمن لعام 2014؛ ويُعرض الاقتراض من أي مصدر منفصلًا عن مؤشرات المصدر أو الغرض.</x:v>
      </x:c>
      <x:c r="N53" s="24" t="str">
        <x:v>Weighted aggregates published in the World Bank's 2014 country profile for Yemen (The Little Data Book on Financial Inclusion 2015); each indicator is a share of all adults.</x:v>
      </x:c>
      <x:c r="O53" s="28" t="str">
        <x:v>إجماليات موزونة منشورة في الملف القطري لليمن الذي أصدره البنك الدولي لعام 2014 (The Little Data Book on Financial Inclusion 2015)؛ وكل مؤشر نسبة من جميع البالغين.</x:v>
      </x:c>
      <x:c r="P53" s="24" t="str">
        <x:v>Each source is a separate share of all adults, not of borrowers. The shares overlap, so they do not add up to a total or to 100%, and no 'informal borrowing share' can be derived by subtracting one from another.</x:v>
      </x:c>
      <x:c r="Q53"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3"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3"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record is drawn from the source(s) listed on this page. Open a source record to reach the original document, and check that the definition, period, population and geography match what is stated here.</x:v>
      </x:c>
      <x:c r="W5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3" s="24" t="str">
        <x:v>SRC-WB-FINDEX-LDB-2015-001</x:v>
      </x:c>
      <x:c r="Y53" s="24" t="str">
        <x:v>[]</x:v>
      </x:c>
      <x:c r="Z53" t="str">
        <x:v>BOUND_EXACT</x:v>
      </x:c>
      <x:c r="AA53" t="str">
        <x:v>NO_GOVERNED_CONTRACT__TABLE_ONLY</x:v>
      </x:c>
    </x:row>
    <x:row r="54">
      <x:c r="A54" s="24" t="str">
        <x:v>VIS-DOMESTIC-REMITTANCE-PATH-2014</x:v>
      </x:c>
      <x:c r="B54" s="24" t="str">
        <x:v>VISUAL</x:v>
      </x:c>
      <x:c r="C54" s="24" t="str">
        <x:v>/people/ | /remittances/</x:v>
      </x:c>
      <x:c r="D54" s="24" t="str">
        <x:v>Domestic remittances in 2014 — population reach vs recipient channels</x:v>
      </x:c>
      <x:c r="E54" s="28" t="str">
        <x:v>الحوالات المحلية في 2014: نطاق الإرسال والاستلام وقنوات المستلمين</x:v>
      </x:c>
      <x:c r="F54"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4"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وليست صفرًا.</x:v>
      </x:c>
      <x:c r="H54" s="24" t="str">
        <x:v>The shares of adults aged 15 and over in Yemen who sent or received domestic remittances in 2014 and, among senders and recipients, the channels they used, as published by the World Bank.</x:v>
      </x:c>
      <x:c r="I54"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4" s="24" t="str">
        <x:v>2014</x:v>
      </x:c>
      <x:c r="K54" s="28" t="str">
        <x:v>2014</x:v>
      </x:c>
      <x:c r="L54" s="24" t="str">
        <x:v>All adults in the 2014 Findex data for sending and receiving; for channels, only the adults who sent, or who received, domestic remittances.</x:v>
      </x:c>
      <x:c r="M54" s="28" t="str">
        <x:v>جميع البالغين في بيانات Findex لعام 2014 لنسب الإرسال والاستلام؛ وللقنوات، البالغون الذين أرسلوا حوالات محلية أو الذين تلقوها فقط.</x:v>
      </x:c>
      <x:c r="N54"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4"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4" s="24" t="str">
        <x:v>Shares of all adults and channel shares among recipients use different bases and cannot be read on one scale. They do not show how much money flowed through each channel or the composition of remittances in the economy as a whole.</x:v>
      </x:c>
      <x:c r="Q54"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التحويلات على المستوى الكلي.</x:v>
      </x:c>
      <x:c r="R54"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4"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row>
    <x:row r="55">
      <x:c r="A55" s="24" t="str">
        <x:v>DS-FINDEX-PUBLIC-HISTORY</x:v>
      </x:c>
      <x:c r="B55" s="24" t="str">
        <x:v>DATASET</x:v>
      </x:c>
      <x:c r="C55" s="24" t="str">
        <x:v>/people/ | /evidence/</x:v>
      </x:c>
      <x:c r="D55" s="24" t="str">
        <x:v>Published historical Findex results for Yemen</x:v>
      </x:c>
      <x:c r="E55" s="28" t="str">
        <x:v>نتائج Findex التاريخية المنشورة لليمن</x:v>
      </x:c>
      <x:c r="F55" s="24" t="str">
        <x:v>Weighted Findex values for Yemen from the 2011 and 2014 waves, one value per measure and wave, each with its population base, missing values and publication status, so older measures stay interpretable without being presented as current.</x:v>
      </x:c>
      <x:c r="G55"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5" s="24" t="str">
        <x:v>Weighted Global Findex values for Yemen published by the World Bank for the 2011 and 2014 waves, covering account ownership, account use, digital payments, domestic remittances, saving and borrowing among adults aged 15 and over.</x:v>
      </x:c>
      <x:c r="I55"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5" s="24" t="str">
        <x:v>2011 to 2014</x:v>
      </x:c>
      <x:c r="K55" s="28" t="str">
        <x:v>2011 إلى 2014</x:v>
      </x:c>
      <x:c r="L55" s="24" t="str">
        <x:v>Adults aged 15 and over in Yemen in the 2011 and 2014 Findex waves; some channel values apply only to adults who sent or received domestic remittances or who have an account.</x:v>
      </x:c>
      <x:c r="M55"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5" s="24" t="str">
        <x:v>Published weighted Findex observations are preserved by wave, source definition and reporting year; no values are interpolated between waves.</x:v>
      </x:c>
      <x:c r="O55" s="28" t="str">
        <x:v>تُحفظ مشاهدات Findex الموزونة المنشورة بحسب الموجة وتعريف المصدر وسنة الإبلاغ، من دون استيفاء قيم بين الموجات.</x:v>
      </x:c>
      <x:c r="P55" s="24" t="str">
        <x:v>Historical weighted values hold for their stated wave and base, but they do not establish current 2026 behaviour and do not describe later years unless newer comparable evidence is published.</x:v>
      </x:c>
      <x:c r="Q55"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5" s="24" t="str">
        <x:v>The latest observations in this dataset refer to 2014, with selected 2011 comparators. They should not be read as describing a later period unless a newer comparable observation is published.</x:v>
      </x:c>
      <x:c r="S55"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row>
    <x:row r="56">
      <x:c r="A56" s="24" t="str">
        <x:v>DS-FINDEX-HISTORY-CROSSWALK</x:v>
      </x:c>
      <x:c r="B56" s="24" t="str">
        <x:v>DATASET</x:v>
      </x:c>
      <x:c r="C56" s="24" t="str">
        <x:v>/people/ | /methodology/</x:v>
      </x:c>
      <x:c r="D56" s="24" t="str">
        <x:v>Which historical Findex measures can be compared with the 2021 wave</x:v>
      </x:c>
      <x:c r="E56" s="28" t="str">
        <x:v>مقاييس Findex التاريخية التي يمكن مقارنتها بموجة 2021</x:v>
      </x:c>
      <x:c r="F56" s="24" t="str">
        <x:v>A comparability map linking 36 historical Findex measures to the measures specified for the latest wave, while separating publishable historical values from latest-wave measures whose required computation is not yet complete.</x:v>
      </x:c>
      <x:c r="G56"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6" s="24" t="str">
        <x:v>For each of 36 historical Findex measures for Yemen, whether a comparable measure exists in the latest (2021) wave and whether its values can be compared; it reports no new value.</x:v>
      </x:c>
      <x:c r="I56"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6" s="24" t="str">
        <x:v>2011 to 2022</x:v>
      </x:c>
      <x:c r="K56" s="28" t="str">
        <x:v>من 2011 إلى 2022</x:v>
      </x:c>
      <x:c r="L56" s="24" t="str">
        <x:v>The 36 historical Findex measures for Yemen published for 2011 and 2014, and the measures specified for the 2021 wave.</x:v>
      </x:c>
      <x:c r="M56" s="28" t="str">
        <x:v>مقاييس Findex التاريخية الـ36 لليمن المنشورة لعامي 2011 و2014، والمقاييس المحددة لموجة 2021.</x:v>
      </x:c>
      <x:c r="N56" s="24" t="str">
        <x:v>Cross-wave comparison uses published Findex definitions and methodological notes to identify which concepts can be compared and which require qualification.</x:v>
      </x:c>
      <x:c r="O56"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6" s="24" t="str">
        <x:v>A crosswalk identifies conceptual comparability; it does not make every historical and latest-wave metric numerically interchangeable, and latest-wave values remain unavailable until the required computation and quality checks are complete.</x:v>
      </x:c>
      <x:c r="Q56" s="28" t="str">
        <x:v>تحدد المطابقة قابلية المقارنة المفاهيمية، لكنها لا تجعل كل مقياس تاريخي ومقياس من أحدث موجة قابلًا للاستبدال رقميًا. ولا تُنشر القيم الأحدث حتى تكتمل الحسابات المطلوبة وتنجح فحوص الجودة.</x:v>
      </x:c>
      <x:c r="R56" s="24" t="str">
        <x:v>It compares published values for 2011 and 2014 with the 2021 Findex wave, the latest wave available for Yemen (fieldwork 7 November 2022 to 9 January 2023). It should not be read as describing a later wave unless one is published.</x:v>
      </x:c>
      <x:c r="S56" s="28" t="str">
        <x:v>يقارن هذا السجل القيم المنشورة لعامي 2011 و2014 بموجة Findex 2021، وهي أحدث موجة متاحة لليمن (العمل الميداني من 7 نوفمبر 2022 إلى 9 يناير 2023). ولا يُقرأ على أنه يصف موجة لاحقة ما لم تُنشر موجة أحدث.</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view assembles other evidence records. Check each linked record against its own source.</x:v>
      </x:c>
      <x:c r="W56" s="28" t="str">
        <x:v>يجمع هذا العرض سجلات أدلة أخرى، فطابِق كل سجل مرتبط مع مصدره.</x:v>
      </x:c>
      <x:c r="X56" s="24" t="str">
        <x:v>DS-FINDEX-PUBLIC-HISTORY; CLM-026</x:v>
      </x:c>
      <x:c r="Y56" s="24" t="str">
        <x:v>[]</x:v>
      </x:c>
      <x:c r="Z56" t="str">
        <x:v>COMPOSITE_OF_OBJECTS</x:v>
      </x:c>
    </x:row>
    <x:row r="57">
      <x:c r="A57" s="24" t="str">
        <x:v>DS-DEMAND-VINTAGE-LENS</x:v>
      </x:c>
      <x:c r="B57" s="24" t="str">
        <x:v>DATASET</x:v>
      </x:c>
      <x:c r="C57" s="24" t="str">
        <x:v>/people/ | /evidence/</x:v>
      </x:c>
      <x:c r="D57" s="24" t="str">
        <x:v>How recent the people-side evidence is, by financial function</x:v>
      </x:c>
      <x:c r="E57" s="28" t="str">
        <x:v>حداثة أدلة الأفراد بحسب الوظيفة المالية</x:v>
      </x:c>
      <x:c r="F57" s="24" t="str">
        <x:v>Shows, for ten financial functions, the period that each function's evidence refers to, so that the people-side answer does not imply one common latest year.</x:v>
      </x:c>
      <x:c r="G57" s="28" t="str">
        <x:v>يبين لعشر وظائف مالية الفترة التي يعود إليها دليل كل منها، حتى لا توحي الإجابة الخاصة بالأفراد بسنة واحدة مشتركة بوصفها الأحدث.</x:v>
      </x:c>
      <x:c r="H57" s="24" t="str">
        <x:v>For each of ten people-side financial functions, the period of the latest evidence available and whether a numeric value is available; it reports no new value.</x:v>
      </x:c>
      <x:c r="I57" s="28" t="str">
        <x:v>يبين لكل من عشر وظائف مالية على جانب الأفراد فترة أحدث دليل متاح وما إذا كانت تتوفر لها قيمة رقمية، ولا يعرض أي قيمة جديدة.</x:v>
      </x:c>
      <x:c r="J57" s="24" t="str">
        <x:v>2014 to 2022; no newer weighted values yet</x:v>
      </x:c>
      <x:c r="K57" s="28" t="str">
        <x:v>من 2014 إلى 2022؛ ولا توجد بعد قيم موزونة أحدث</x:v>
      </x:c>
      <x:c r="L57" s="24" t="str">
        <x:v>Ten people-side financial functions covered by Global Findex evidence for Yemen.</x:v>
      </x:c>
      <x:c r="M57" s="28" t="str">
        <x:v>عشر وظائف مالية على جانب الأفراد تغطيها أدلة المؤشر العالمي للشمول المالي (Global Findex) لليمن.</x:v>
      </x:c>
      <x:c r="N57" s="24" t="str">
        <x:v>A cross-wave summary of the Findex evidence used in this resource that preserves each financial function’s source wave, definition and availability. It shows how recent the evidence is for each function; it is not a new population estimate.</x:v>
      </x:c>
      <x:c r="O57"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7" s="24" t="str">
        <x:v>The currentness map does not make older evidence current, and a function with no newer numeric observation remains an evidence gap rather than zero or an interpolated value.</x:v>
      </x:c>
      <x:c r="Q57"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7" s="24" t="str">
        <x:v>The latest evidence differs by function, from 2014 to 2022 (the 2021 Findex wave, fieldwork 7 November 2022 to 9 January 2023); for a function with no newer value, the older evidence is not current. None of it describes a later period unless a newer comparable observation is published.</x:v>
      </x:c>
      <x:c r="S57" s="28" t="str">
        <x:v>يختلف أحدث دليل بحسب الوظيفة، من 2014 إلى 2022 (موجة Findex 2021، والعمل الميداني من 7 نوفمبر 2022 إلى 9 يناير 2023)؛ وأي وظيفة لا تتوفر لها قيمة أحدث يبقى دليلها الأقدم غير حديث. ولا يصف أي منها فترة لاحقة ما لم تُنشر مشاهدة أحدث قابلة للمقارنة.</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summarises other evidence records, which are not yet linked individually here. Before reusing a figure, open the evidence record that reports it and check that record against its own source.</x:v>
      </x:c>
      <x:c r="W57" s="28" t="str">
        <x:v>يلخص هذا العرض سجلات أدلة أخرى لم تُربط بعدُ هنا كلٌّ على حدة. وقبل إعادة استخدام أي رقم، افتح سجل الدليل الذي يورده وطابِقه مع مصدره.</x:v>
      </x:c>
      <x:c r="X57" s="24"/>
      <x:c r="Y57" s="24" t="str">
        <x:v>[]</x:v>
      </x:c>
      <x:c r="Z57" t="str">
        <x:v>COMPOSITE_OF_OBJECTS</x:v>
      </x:c>
    </x:row>
    <x:row r="58">
      <x:c r="A58" s="24" t="str">
        <x:v>CLM-004</x:v>
      </x:c>
      <x:c r="B58" s="24" t="str">
        <x:v>CLAIM</x:v>
      </x:c>
      <x:c r="C58" s="24" t="str">
        <x:v>/payments/ | /methodology/</x:v>
      </x:c>
      <x:c r="D58" s="24" t="str">
        <x:v>Accounts and transactions are not unique people</x:v>
      </x:c>
      <x:c r="E58" s="28" t="str">
        <x:v>الحسابات والمعاملات ليست أشخاصًا فريدين</x:v>
      </x:c>
      <x:c r="F58" s="24" t="str">
        <x:v>Administrative accounts, e-wallet subscribers and payment transactions are not equivalent to unique people measured by Findex.</x:v>
      </x:c>
      <x:c r="G58"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8" s="24" t="str">
        <x:v>This record sets out a measurement rule and reports no value: counts of administrative accounts, subscribers, terminals and transactions are not counts of unique people unless the evidence establishes that unit.</x:v>
      </x:c>
      <x:c r="I58"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8" s="24" t="str">
        <x:v>No observation period: a measurement rule that applies whenever administrative accounts, subscribers or transactions are compared with survey measures of people.</x:v>
      </x:c>
      <x:c r="K58" s="28" t="str">
        <x:v>لا فترة رصد: قاعدة قياس تنطبق كلما قورنت الحسابات أو المشتركون أو المعاملات الإدارية بقياسات مسحية تخص الأشخاص.</x:v>
      </x:c>
      <x:c r="L58" s="24" t="str">
        <x:v>Different units of measurement: administrative accounts, wallet subscribers and transactions versus unique people represented by a population survey.</x:v>
      </x:c>
      <x:c r="M58" s="28" t="str">
        <x:v>وحدات قياس مختلفة: حسابات إدارية ومشتركو محافظ ومعاملات، مقابل أشخاص فريدين يمثلهم مسح سكاني.</x:v>
      </x:c>
      <x:c r="N58"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8"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8" s="24" t="str">
        <x:v>Dividing administrative counts by population does not produce a share of people unless a documented unique-person method exists; no such share is established here.</x:v>
      </x:c>
      <x:c r="Q58"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8" s="24" t="str">
        <x:v>This is a method rule with no observation date; it applies until a documented source provides a valid way to link the administrative series to unique people.</x:v>
      </x:c>
      <x:c r="S58" s="28" t="str">
        <x:v>هذه قاعدة منهجية بلا تاريخ رصد، وتظل سارية إلى أن يوفر مصدر موثق طريقة صالحة لربط السلاسل الإدارية بأشخاص فريدين.</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record sets out a rule for measuring or reading the evidence. It does not report a figure from a source, so there is no original source to check.</x:v>
      </x:c>
      <x:c r="W58" s="28" t="str">
        <x:v>يحدد هذا السجل قاعدة لقياس الأدلة أو قراءتها، ولا يورد رقمًا مأخوذًا من مصدر، ولذلك لا يوجد مصدر أصلي يُتحقق منه.</x:v>
      </x:c>
      <x:c r="X58" s="24"/>
      <x:c r="Y58" s="24" t="str">
        <x:v>[]</x:v>
      </x:c>
      <x:c r="Z58" t="str">
        <x:v>FRAMING_NO_FACT</x:v>
      </x:c>
    </x:row>
    <x:row r="59">
      <x:c r="A59" s="24" t="str">
        <x:v>CLM-005</x:v>
      </x:c>
      <x:c r="B59" s="24" t="str">
        <x:v>CLAIM</x:v>
      </x:c>
      <x:c r="C59" s="24" t="str">
        <x:v>/firms/</x:v>
      </x:c>
      <x:c r="D59" s="24" t="str">
        <x:v>Finance was not the most frequently cited constraint in this survey</x:v>
      </x:c>
      <x:c r="E59" s="28" t="str">
        <x:v>التمويل ليس التحدي الأكثر ذكرًا في هذا المسح</x:v>
      </x:c>
      <x:c r="F59" s="24" t="str">
        <x:v>Among formal firms in the 2022 Yemen Enterprise Survey of seven governorates, electricity and fuel shortages were each named as a business challenge more often than access to finance.</x:v>
      </x:c>
      <x:c r="G59"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59" s="24" t="str">
        <x:v>The share of surveyed formal firms in seven governorates that named each item as a business challenge in 2022, with access to finance compared against the other items.</x:v>
      </x:c>
      <x:c r="I59"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59" s="24" t="str">
        <x:v>September 2022</x:v>
      </x:c>
      <x:c r="K59" s="28" t="str">
        <x:v>سبتمبر 2022</x:v>
      </x:c>
      <x:c r="L59" s="24" t="str">
        <x:v>Formal enterprises in seven selected governorates</x:v>
      </x:c>
      <x:c r="M59" s="28" t="str">
        <x:v>المنشآت الرسمية في المحافظات السبع التي شملها المسح.</x:v>
      </x:c>
      <x:c r="N59"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59"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59"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59"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59" s="24" t="str">
        <x:v>The latest observation in this record refers to the 2022 survey (September 2022). It should not be read as describing a later period unless a newer comparable observation is published.</x:v>
      </x:c>
      <x:c r="S59" s="28" t="str">
        <x:v>تعود أحدث مشاهدة في هذا السجل إلى مسح 2022 (سبتمبر 2022)، ولا تُقرأ على أنها تصف فترة لاحقة ما لم تُنشر مشاهدة أحدث قابلة للمقارنة.</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is drawn from the source(s) listed on this page. Open a source record to reach the original document, and check that the definition, period, population and geography match what is stated here.</x:v>
      </x:c>
      <x:c r="W5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9" s="24" t="str">
        <x:v>SRC-WB-FSD-2024-001</x:v>
      </x:c>
      <x:c r="Y59" s="24" t="str">
        <x:v>[]</x:v>
      </x:c>
      <x:c r="Z59" t="str">
        <x:v>BOUND_EXACT</x:v>
      </x:c>
    </x:row>
    <x:row r="60">
      <x:c r="A60" s="24" t="str">
        <x:v>CLM-006</x:v>
      </x:c>
      <x:c r="B60" s="24" t="str">
        <x:v>CLAIM</x:v>
      </x:c>
      <x:c r="C60" s="24" t="str">
        <x:v>/firms/</x:v>
      </x:c>
      <x:c r="D60" s="24" t="str">
        <x:v>Finance severity within a specific denominator</x:v>
      </x:c>
      <x:c r="E60" s="28" t="str">
        <x:v>شدة عائق التمويل ضمن قاعدة احتساب محددة</x:v>
      </x:c>
      <x:c r="F60" s="24" t="str">
        <x:v>Among the formal firms in the report's finance-obstacle tabulation, which excludes firms that said they did not need a loan, the shares rating finance as a major or a moderate obstacle together total 91.84%.</x:v>
      </x:c>
      <x:c r="G60"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0" s="24" t="str">
        <x:v>The combined share of formal firms rating access to finance as a major or moderate obstacle, among firms in the survey report's finance-obstacle tabulation (firms that said they did not need a loan are excluded), seven governorates, 2022.</x:v>
      </x:c>
      <x:c r="I60"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0"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0"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0"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row>
    <x:row r="61">
      <x:c r="A61" s="24" t="str">
        <x:v>CLM-008</x:v>
      </x:c>
      <x:c r="B61" s="24" t="str">
        <x:v>CLAIM</x:v>
      </x:c>
      <x:c r="C61" s="24" t="str">
        <x:v>/providers/ | /access/</x:v>
      </x:c>
      <x:c r="D61" s="24" t="str">
        <x:v>Listing or licensing does not establish operation</x:v>
      </x:c>
      <x:c r="E61" s="28" t="str">
        <x:v>الإدراج أو الترخيص لا يثبت التشغيل</x:v>
      </x:c>
      <x:c r="F61" s="24" t="str">
        <x:v>The list of licensed banks of the Central Bank of Yemen – Aden (CBY-Aden), as checked on 3 October 2026, names 26 banks. Appearing on the list establishes listing or licensing in that source, not operation.</x:v>
      </x:c>
      <x:c r="G61"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1" s="24" t="str">
        <x:v>The number of banks named on the licensed-bank list of the Central Bank of Yemen – Aden (CBY-Aden), as checked on 3 October 2026.</x:v>
      </x:c>
      <x:c r="I61" s="28" t="str">
        <x:v>عدد البنوك الواردة في قائمة البنوك المرخصة لدى البنك المركزي اليمني – عدن، كما اطُّلع عليها في 3 أكتوبر 2026.</x:v>
      </x:c>
      <x:c r="J61" s="24" t="str">
        <x:v>List as checked on 3 October 2026</x:v>
      </x:c>
      <x:c r="K61" s="28" t="str">
        <x:v>القائمة كما اطُّلع عليها في 3 أكتوبر 2026</x:v>
      </x:c>
      <x:c r="L61" s="24" t="str">
        <x:v>Banks named on the licensed-bank list of the Central Bank of Yemen – Aden (CBY-Aden); list presence is not proof of current operation, branch footprint, product availability or market share</x:v>
      </x:c>
      <x:c r="M61"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1"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1"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1"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1"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1" s="24" t="str">
        <x:v>This record reflects the licensed-bank list of the Central Bank of Yemen – Aden (CBY-Aden) as checked on 3 October 2026. It should not be read as describing a later date unless a newer version of the list is checked.</x:v>
      </x:c>
      <x:c r="S61"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SRC-CBY-BANKLIST-AR-2026-001</x:v>
      </x:c>
      <x:c r="Y61" s="24" t="str">
        <x:v>[]</x:v>
      </x:c>
      <x:c r="Z61" t="str">
        <x:v>BOUND_EXACT</x:v>
      </x:c>
    </x:row>
    <x:row r="62">
      <x:c r="A62" s="24" t="str">
        <x:v>CLM-014</x:v>
      </x:c>
      <x:c r="B62" s="24" t="str">
        <x:v>CLAIM</x:v>
      </x:c>
      <x:c r="C62" s="24" t="str">
        <x:v>/evidence/ | /methodology/</x:v>
      </x:c>
      <x:c r="D62" s="24" t="str">
        <x:v>Evidence freshness differs by domain</x:v>
      </x:c>
      <x:c r="E62" s="28" t="str">
        <x:v>حداثة الأدلة غير متساوية بين المجالات</x:v>
      </x:c>
      <x:c r="F62" s="24" t="str">
        <x:v>The evidence here is not equally current across domains: several payments/regulatory observations are from 2025–2026, while key representative people-side evidence is older.</x:v>
      </x:c>
      <x:c r="G62"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2" s="24" t="str">
        <x:v>A comparison of evidence dates across domains showing that some areas are measured more recently than others.</x:v>
      </x:c>
      <x:c r="I62" s="28" t="str">
        <x:v>مقارنة لحداثة الأدلة بين المجالات، توضح أن بعض الجوانب مقاسة في تواريخ أحدث من غيرها.</x:v>
      </x:c>
      <x:c r="J62" s="24" t="str">
        <x:v>Evidence observed from 2014 through 2026, depending on domain, as compared in the current edition of this resource.</x:v>
      </x:c>
      <x:c r="K62" s="28" t="str">
        <x:v>مقارنة في الإصدار الحالي بين أدلة تعود فترات رصدها إلى 2014–2026 بحسب المجال.</x:v>
      </x:c>
      <x:c r="L62" s="24" t="str">
        <x:v>Evidence records across people, payments, providers, reforms and other domains, each with its own observation period and evidence class.</x:v>
      </x:c>
      <x:c r="M62" s="28" t="str">
        <x:v>سجلات أدلة معتمدة عبر مجالات الأفراد والمدفوعات ومقدمي الخدمات والإصلاحات وغيرها، ولكل سجل فترة رصد وفئة دليل تخصه.</x:v>
      </x:c>
      <x:c r="N62" s="24" t="str">
        <x:v>The observation or publication date and the evidence class of each record are compared by domain; the date or evidential meaning of one domain's evidence is not carried over to another.</x:v>
      </x:c>
      <x:c r="O62" s="28" t="str">
        <x:v>تُقارن حداثة الأدلة وفئتها بحسب المجال، ولا تُنقل فترة دليل أو دلالته من مجال إلى آخر.</x:v>
      </x:c>
      <x:c r="P62" s="24" t="str">
        <x:v>Older evidence is not invalid because of its age, and recent administrative evidence does not measure current financial inclusion across the population.</x:v>
      </x:c>
      <x:c r="Q62" s="28" t="str">
        <x:v>ليس الدليل الأقدم باطلًا لمجرد قدمه، ولا تقيس البيانات الإدارية الحديثة الشمول المالي الراهن على مستوى السكان.</x:v>
      </x:c>
      <x:c r="R62"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2"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view summarises other evidence records, which are not yet linked individually here. Before reusing a figure, open the evidence record that reports it and check that record against its own source.</x:v>
      </x:c>
      <x:c r="W62" s="28" t="str">
        <x:v>يلخص هذا العرض سجلات أدلة أخرى لم تُربط بعدُ هنا كلٌّ على حدة. وقبل إعادة استخدام أي رقم، افتح سجل الدليل الذي يورده وطابِقه مع مصدره.</x:v>
      </x:c>
      <x:c r="X62" s="24"/>
      <x:c r="Y62" s="24" t="str">
        <x:v>[]</x:v>
      </x:c>
      <x:c r="Z62" t="str">
        <x:v>COMPOSITE_OF_OBJECTS</x:v>
      </x:c>
    </x:row>
    <x:row r="63">
      <x:c r="A63" s="24" t="str">
        <x:v>CLM-022</x:v>
      </x:c>
      <x:c r="B63" s="24" t="str">
        <x:v>CLAIM</x:v>
      </x:c>
      <x:c r="C63" s="24" t="str">
        <x:v>/finance/ | /methodology/</x:v>
      </x:c>
      <x:c r="D63" s="24" t="str">
        <x:v>Informative history without a continuous annual series</x:v>
      </x:c>
      <x:c r="E63" s="28" t="str">
        <x:v>سجل مفيد لكنه غير سنوي متصل</x:v>
      </x:c>
      <x:c r="F63"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3"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3" s="24" t="str">
        <x:v>Dated microfinance observations (active borrowers, savers and loan portfolio) reported by programmes supported by the Social Fund for Development (SFD), with years that have no usable observation marked as gaps.</x:v>
      </x:c>
      <x:c r="I63"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3" s="24" t="str">
        <x:v>Observed points and explicit gaps in microfinance evidence, 2010 to 2024</x:v>
      </x:c>
      <x:c r="K63" s="28" t="str">
        <x:v>نقاط مرصودة وفجوات معلنة في أدلة التمويل الأصغر من 2010 إلى 2024</x:v>
      </x:c>
      <x:c r="L63" s="24" t="str">
        <x:v>Source-specific microfinance observations whose provider/reporting universe can vary by point; each observation retains its own source and status.</x:v>
      </x:c>
      <x:c r="M63" s="28" t="str">
        <x:v>مشاهدات للتمويل الأصغر تختلف بحسب المصدر وقد يختلف نطاق مقدمي الخدمات أو الإبلاغ من نقطة إلى أخرى؛ وتحتفظ كل مشاهدة بمصدرها وحالتها.</x:v>
      </x:c>
      <x:c r="N63" s="24" t="str">
        <x:v>Quarterly and year-end observations are recorded at the dates the sources give, together with within-source contradictions, periods known only through another source, and periods with no data; missing years are not interpolated or smoothed.</x:v>
      </x:c>
      <x:c r="O63"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3" s="24" t="str">
        <x:v>A year with no observation does not indicate zero microfinance activity, and the observations do not establish a trend across the missing years.</x:v>
      </x:c>
      <x:c r="Q63" s="28" t="str">
        <x:v>لا تدل السنة الخالية من المشاهدات على انعدام نشاط التمويل الأصغر، ولا تثبت المشاهدات اتجاهًا زمنيًا عبر السنوات المفقودة.</x:v>
      </x:c>
      <x:c r="R63"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3"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record is drawn from the source(s) listed on this page. Open a source record to reach the original document, and check that the definition, period, population and geography match what is stated here.</x:v>
      </x:c>
      <x:c r="W6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3" s="24" t="str">
        <x:v>SRC-SFD-MF-HISTORY-TOR-2012-001; SRC-SFD-Q1-2012-001; SRC-SFD-Q1-2015-001; SRC-SFD-Q1-2019-001; SRC-SFD-Q2-2013-001; SRC-SFD-Q2-2014-001; SRC-SFD-Q3-2015-001; SRC-SFD-Q3-2016-001; SRC-SFD-Q4-2009-001; SRC-SFD-Q4-2010-001; SRC-SFD-Q4-2011-001; SRC-SFD-Q4-2012-001; SRC-SFD-Q4-2015-001; SRC-SFD-Q4-2017-001; SRC-SFD-Q4-2018-001; SRC-SFD-Q4-2020-001</x:v>
      </x:c>
      <x:c r="Y63" s="24" t="str">
        <x:v>[]</x:v>
      </x:c>
      <x:c r="Z63" t="str">
        <x:v>BOUND_EXACT</x:v>
      </x:c>
    </x:row>
    <x:row r="64">
      <x:c r="A64" s="24" t="str">
        <x:v>VIS-FINDEX-GAPS</x:v>
      </x:c>
      <x:c r="B64" s="24" t="str">
        <x:v>VISUAL</x:v>
      </x:c>
      <x:c r="C64" s="24" t="str">
        <x:v>/people/</x:v>
      </x:c>
      <x:c r="D64" s="24" t="str">
        <x:v>Account ownership and measured gaps: Global Findex 2021 wave (Yemen fieldwork 2022–23)</x:v>
      </x:c>
      <x:c r="E64" s="28" t="str">
        <x:v>امتلاك الحساب والفجوات المقاسة: موجة Global Findex 2021 (العمل الميداني في اليمن 2022–2023)</x:v>
      </x:c>
      <x:c r="F64"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G64"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H64"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7 November 2022 to 9 January 2023).</x:v>
      </x:c>
      <x:c r="I64"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7 نوفمبر 2022 إلى 9 يناير 2023).</x:v>
      </x:c>
      <x:c r="J64" s="24" t="str">
        <x:v>World Bank reporting year 2022; Global Findex 2021 study; Yemen fieldwork 2022-11-07 to 2023-01-09</x:v>
      </x:c>
      <x:c r="K64" s="28" t="str">
        <x:v>سنة الإبلاغ في بيانات البنك الدولي: 2022؛ دراسة Global Findex 2021؛ العمل الميداني في اليمن من 2022-11-07 إلى 2023-01-09</x:v>
      </x:c>
      <x:c r="L64" s="24" t="str">
        <x:v>Adults aged 15 and over in the areas the survey covered (the survey frame excludes areas with about 23% of the population); subgroups as defined within the same wave.</x:v>
      </x:c>
      <x:c r="M64"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4" s="24" t="str">
        <x:v>Weighted estimates published by the World Bank from the Global Findex survey of Yemen (1,000 respondents; fieldwork 7 November 2022 to 9 January 2023; World Bank data year 2022) for all adults and for subgroups by sex, household income, education and age. Each of the four differences is calculated by this resource by subtracting the lower published value in a pair from the higher one.</x:v>
      </x:c>
      <x:c r="O64"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x:v>
      </x:c>
      <x:c r="P64"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No standard errors or confidence intervals are published with these values; the Yemen sample is 1,000 respondents, so subgroup values and the gaps carry sampling uncertainty that is not quantified here.</x:v>
      </x:c>
      <x:c r="Q64"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والفجوات بينها على عدم يقين ناتج عن المعاينة لا يُقدَّر كميًا هنا.</x:v>
      </x:c>
      <x:c r="R64"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4"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SRC-WB-FINDEX-AGG-2022</x:v>
      </x:c>
      <x:c r="Y64" s="24" t="str">
        <x:v>[]</x:v>
      </x:c>
      <x:c r="Z64" t="str">
        <x:v>BOUND_EXACT</x:v>
      </x:c>
    </x:row>
    <x:row r="65">
      <x:c r="A65" s="24" t="str">
        <x:v>VIS-POS-TERMINALS</x:v>
      </x:c>
      <x:c r="B65" s="24" t="str">
        <x:v>VISUAL</x:v>
      </x:c>
      <x:c r="C65" s="24" t="str">
        <x:v>/payments/</x:v>
      </x:c>
      <x:c r="D65" s="24" t="str">
        <x:v>Reported POS terminals, monthly</x:v>
      </x:c>
      <x:c r="E65" s="28" t="str">
        <x:v>أجهزة نقاط البيع المبلغ عنها شهريًا</x:v>
      </x:c>
      <x:c r="F65"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5"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5" s="24" t="str">
        <x:v>The monthly number of point-of-sale (POS) terminals reported by the Central Bank of Yemen – Aden (CBY-Aden) within its reporting scope, March 2025 to June 2026.</x:v>
      </x:c>
      <x:c r="I65" s="28" t="str">
        <x:v>العدد الشهري لأجهزة نقاط البيع التي يُبلغ عنها البنك المركزي اليمني – عدن ضمن نطاق إبلاغه، من مارس 2025 إلى يونيو 2026.</x:v>
      </x:c>
      <x:c r="J65" s="24" t="str">
        <x:v>Mar-2025–Jun-2026 monthly</x:v>
      </x:c>
      <x:c r="K65" s="28" t="str">
        <x:v>شهريًا من مارس 2025 إلى يونيو 2026</x:v>
      </x:c>
      <x:c r="L65" s="24" t="str">
        <x:v>POS terminals within the payment-system reporting scope of the Central Bank of Yemen – Aden (CBY-Aden); how far that scope covers each area of Yemen is not established.</x:v>
      </x:c>
      <x:c r="M65" s="28" t="str">
        <x:v>أجهزة نقاط البيع ضمن نطاق الإبلاغ عن نظام المدفوعات لدى البنك المركزي اليمني – عدن؛ ولا يثبت الدليل مدى تغطية هذا النطاق لكل مناطق اليمن.</x:v>
      </x:c>
      <x:c r="N65"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5"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5"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5"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5"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5"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SRC-CBY-POS-2025-03; SRC-CBY-POS-2025-04; SRC-CBY-POS-2025-05; SRC-CBY-POS-2025-06; SRC-CBY-POS-2025-07; SRC-CBY-POS-2025-08; SRC-CBY-POS-2025-09; SRC-CBY-POS-2025-10; SRC-CBY-POS-2025-11; SRC-CBY-POS-2025-12; SRC-CBY-POS-2026-01; SRC-CBY-POS-2026-02; SRC-CBY-POS-2026-03; SRC-CBY-POS-2026-04; SRC-CBY-POS-2026-05; SRC-CBY-POS-2026-06</x:v>
      </x:c>
      <x:c r="Y65" s="24" t="str">
        <x:v>[]</x:v>
      </x:c>
      <x:c r="Z65" t="str">
        <x:v>BOUND_EXACT</x:v>
      </x:c>
    </x:row>
    <x:row r="66">
      <x:c r="A66" s="24" t="str">
        <x:v>VIS-POS-TRANSACTIONS</x:v>
      </x:c>
      <x:c r="B66" s="24" t="str">
        <x:v>VISUAL</x:v>
      </x:c>
      <x:c r="C66" s="24" t="str">
        <x:v>/payments/</x:v>
      </x:c>
      <x:c r="D66" s="24" t="str">
        <x:v>Reported POS transactions, monthly</x:v>
      </x:c>
      <x:c r="E66" s="28" t="str">
        <x:v>معاملات نقاط البيع المبلغ عنها شهريًا</x:v>
      </x:c>
      <x:c r="F66"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6"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6" s="24" t="str">
        <x:v>The monthly number of POS transactions reported by the Central Bank of Yemen – Aden (CBY-Aden) within its reporting scope, March 2025 to June 2026.</x:v>
      </x:c>
      <x:c r="I66" s="28" t="str">
        <x:v>العدد الشهري لمعاملات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transactions within the payment-system reporting scope of the Central Bank of Yemen – Aden (CBY-Aden); how far that scope covers each area of Yemen is not established.</x:v>
      </x:c>
      <x:c r="M66" s="28" t="str">
        <x:v>معاملات نقاط البيع ضمن نطاق الإبلاغ عن نظام المدفوعات لدى البنك المركزي اليمني – عدن؛ ولا يثبت الدليل مدى تغطية هذا النطاق لكل مناطق اليمن.</x:v>
      </x:c>
      <x:c r="N66"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6"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6"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6"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row>
    <x:row r="67">
      <x:c r="A67" s="24" t="str">
        <x:v>VIS-POS-VALUE</x:v>
      </x:c>
      <x:c r="B67" s="24" t="str">
        <x:v>VISUAL</x:v>
      </x:c>
      <x:c r="C67" s="24" t="str">
        <x:v>/payments/</x:v>
      </x:c>
      <x:c r="D67" s="24" t="str">
        <x:v>Nominal value of reported POS transactions, monthly</x:v>
      </x:c>
      <x:c r="E67" s="28" t="str">
        <x:v>القيمة الاسمية لمعاملات نقاط البيع المبلغ عنها شهريًا</x:v>
      </x:c>
      <x:c r="F67"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7"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7" s="24" t="str">
        <x:v>The monthly nominal value, in Yemeni rials, of POS transactions reported by the Central Bank of Yemen – Aden (CBY-Aden) within its reporting scope, March 2025 to June 2026, with no value for September 2025.</x:v>
      </x:c>
      <x:c r="I67"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7" s="24" t="str">
        <x:v>Mar-2025–Jun-2026; Sep-2025 gap</x:v>
      </x:c>
      <x:c r="K67" s="28" t="str">
        <x:v>مارس 2025 – يونيو 2026؛ مع فجوة في سبتمبر 2025</x:v>
      </x:c>
      <x:c r="L67" s="24" t="str">
        <x:v>Nominal value of POS transactions within the payment-system reporting scope of the Central Bank of Yemen – Aden (CBY-Aden); how far that scope covers each area of Yemen is not established.</x:v>
      </x:c>
      <x:c r="M67"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7"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7"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7"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7"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SRC-CBY-POS-2025-10; SRC-CBY-POS-2025-11; SRC-CBY-POS-2025-12; SRC-CBY-POS-2026-01; SRC-CBY-POS-2026-02; SRC-CBY-POS-2026-03; SRC-CBY-POS-2026-04; SRC-CBY-POS-2026-05; SRC-CBY-POS-2026-06</x:v>
      </x:c>
      <x:c r="Y67" s="24" t="str">
        <x:v>[]</x:v>
      </x:c>
      <x:c r="Z67" t="str">
        <x:v>BOUND_EXACT</x:v>
      </x:c>
    </x:row>
    <x:row r="68">
      <x:c r="A68" s="24" t="str">
        <x:v>VIS-PAYMENT-ANATOMY</x:v>
      </x:c>
      <x:c r="B68" s="24" t="str">
        <x:v>VISUAL</x:v>
      </x:c>
      <x:c r="C68" s="24" t="str">
        <x:v>/payments/</x:v>
      </x:c>
      <x:c r="D68" s="24" t="str">
        <x:v>What does the payment system actually count?</x:v>
      </x:c>
      <x:c r="E68" s="28" t="str">
        <x:v>ما الذي يقيسه نظام المدفوعات فعلًا؟</x:v>
      </x:c>
      <x:c r="F68"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G68"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8" s="24" t="str">
        <x:v>Counts of payment-system items — cards, ATMs, POS terminals, POS transactions, e-wallets, e-wallet subscribers and accounts — reported by the Central Bank of Yemen – Aden (CBY-Aden) for the first half of 2025, each in its own unit.</x:v>
      </x:c>
      <x:c r="I68"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8" s="24" t="str">
        <x:v>2025 H1</x:v>
      </x:c>
      <x:c r="K68" s="28" t="str">
        <x:v>النصف الأول من 2025</x:v>
      </x:c>
      <x:c r="L68" s="24" t="str">
        <x:v>Cards, ATMs, POS terminals, transactions, e-wallets, subscribers and accounts within the payment-system reporting scope of the Central Bank of Yemen – Aden (CBY-Aden), first half of 2025; each has its own unit.</x:v>
      </x:c>
      <x:c r="M68"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8" s="24" t="str">
        <x:v>Each count is taken as published in the first-half 2025 payment report (an infographic) of the Central Bank of Yemen – Aden (CBY-Aden) and kept in its own unit; the counts are not added together or combined into an index.</x:v>
      </x:c>
      <x:c r="O68"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8"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8"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8" s="24" t="str">
        <x:v>The counts refer to the first half of 2025. They should not be read as describing a later period unless a newer comparable payment report is published.</x:v>
      </x:c>
      <x:c r="S68" s="28" t="str">
        <x:v>تعود الأعداد إلى النصف الأول من 2025، ولا تُقرأ على أنها تصف فترة لاحقة ما لم يُنشر تقرير مدفوعات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SRC-CBY-PAYREPORT-H1-2025</x:v>
      </x:c>
      <x:c r="Y68" s="24" t="str">
        <x:v>[]</x:v>
      </x:c>
      <x:c r="Z68" t="str">
        <x:v>BOUND_EXACT</x:v>
      </x:c>
    </x:row>
    <x:row r="69">
      <x:c r="A69" s="24" t="str">
        <x:v>VIS-MFI-2014-PANEL</x:v>
      </x:c>
      <x:c r="B69" s="24" t="str">
        <x:v>VISUAL</x:v>
      </x:c>
      <x:c r="C69" s="24" t="str">
        <x:v>/finance/</x:v>
      </x:c>
      <x:c r="D69" s="24" t="str">
        <x:v>Microfinance in 2014 — two comparable quarters, not a long trend</x:v>
      </x:c>
      <x:c r="E69" s="28" t="str">
        <x:v>التمويل الأصغر في 2014: ربعان قابلان للمقارنة، لا اتجاه طويل الأمد</x:v>
      </x:c>
      <x:c r="F69"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69"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69" s="24" t="str">
        <x:v>Active borrowers, voluntary savers and outstanding loan portfolio (nominal Yemeni rials) reported by the same nine microfinance providers in Yemen Microfinance Network (YMN) tables for the first and second quarters of 2014.</x:v>
      </x:c>
      <x:c r="I69"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69" s="24" t="str">
        <x:v>2014 Q1/Q2</x:v>
      </x:c>
      <x:c r="K69" s="28" t="str">
        <x:v>الربعان الأول والثاني من 2014</x:v>
      </x:c>
      <x:c r="L69" s="24" t="str">
        <x:v>The same 2014 reporting panel of nine microfinance providers for borrowers, savers and nominal portfolio.</x:v>
      </x:c>
      <x:c r="M69" s="28" t="str">
        <x:v>مجموعة الجهات المُبلِّغة نفسها لعام 2014، المكونة من تسعة مقدمي تمويل أصغر، عند عرض المقترضين والمدخرين ومحفظة القروض الاسمية.</x:v>
      </x:c>
      <x:c r="N69" s="24" t="str">
        <x:v>Totals as published in the quarterly SEEP reporting tables of the Yemen Microfinance Network (YMN) for March and June 2014, covering the same nine reporting providers; one provider's first-quarter figures are reported from December 2013 data.</x:v>
      </x:c>
      <x:c r="O69"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69" s="24" t="str">
        <x:v>It does not form one continuous national series with the 2012 or 2021 figures. | The nine providers are those reporting to YMN, not a census of the whole sector, and one provider's first-quarter figures date from December 2013.</x:v>
      </x:c>
      <x:c r="Q69"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69" s="24" t="str">
        <x:v>The latest observation in this record refers to the second quarter of 2014 (end of June 2014). It should not be read as describing a later period.</x:v>
      </x:c>
      <x:c r="S69" s="28" t="str">
        <x:v>تعود أحدث مشاهدة في هذا السجل إلى الربع الثاني من 2014 (نهاية يونيو 2014)، ولا تُقرأ على أنها تصف فترة لاحقة.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SRC-YMN-MFMAG-2014-Q1-001; SRC-YMN-MFMAG-2014-Q2-001</x:v>
      </x:c>
      <x:c r="Y69" s="24" t="str">
        <x:v>[]</x:v>
      </x:c>
      <x:c r="Z69" t="str">
        <x:v>BOUND_EXACT</x:v>
      </x:c>
      <x:c r="AA69" t="str">
        <x:v>NO_GOVERNED_CONTRACT__TABLE_ONLY</x:v>
      </x:c>
    </x:row>
    <x:row r="70">
      <x:c r="A70" s="24" t="str">
        <x:v>VIS-REMITTANCE-MACRO</x:v>
      </x:c>
      <x:c r="B70" s="24" t="str">
        <x:v>VISUAL</x:v>
      </x:c>
      <x:c r="C70" s="24" t="str">
        <x:v>/remittances/</x:v>
      </x:c>
      <x:c r="D70" s="24" t="str">
        <x:v>Remittances — IMF-reported history, estimate and projections</x:v>
      </x:c>
      <x:c r="E70" s="28" t="str">
        <x:v>التحويلات: القيم التاريخية الواردة في تقارير صندوق النقد الدولي والتقدير والتوقعات</x:v>
      </x:c>
      <x:c r="F70"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0"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0" s="24" t="str">
        <x:v>Annual external-sector remittances, in US$ million, in the IMF series for 2018–2030, with each year labelled as reported history (2018–2024), estimate (2025) or projection (2026–2030).</x:v>
      </x:c>
      <x:c r="I70" s="28" t="str">
        <x:v>التحويلات السنوية في القطاع الخارجي بملايين الدولارات الأمريكية في سلسلة صندوق النقد الدولي للفترة 2018–2030، مع وسم كل سنة بوصفها قيمة تاريخية (2018–2024) أو تقديرًا (2025) أو توقعًا (2026–2030).</x:v>
      </x:c>
      <x:c r="J70" s="24" t="str">
        <x:v>2018–2030</x:v>
      </x:c>
      <x:c r="K70" s="28" t="str">
        <x:v>2018–2030</x:v>
      </x:c>
      <x:c r="L70" s="24" t="str">
        <x:v>IMF external-sector remittance series on the IMF’s analytical scope for areas under the internationally recognized government; each year labelled as reported history, estimate or projection, with its source document</x:v>
      </x:c>
      <x:c r="M70" s="28" t="str">
        <x:v>سلسلة صندوق النقد الدولي للتحويلات في القطاع الخارجي ضمن النطاق التحليلي للصندوق الخاص بمناطق الحكومة المعترف بها دوليًا، مع نوع الدليل لكل سنة ووثيقة مصدرها.</x:v>
      </x:c>
      <x:c r="N70" s="24" t="str">
        <x:v>Values as published by the IMF: 2018–2024 in the 2025 Article IV staff report, based on staff calculations (Table 4, external sector), and 2025–2030 in a later supplement to the same consultation (Supplementary Table 2).</x:v>
      </x:c>
      <x:c r="O70"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0"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0"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0"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0"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SRC-IMF-AIV-2025-STAFF-001; SRC-IMF-AIV-2025-SUPP-001</x:v>
      </x:c>
      <x:c r="Y70" s="24" t="str">
        <x:v>[]</x:v>
      </x:c>
      <x:c r="Z70" t="str">
        <x:v>BOUND_EXACT</x:v>
      </x:c>
    </x:row>
    <x:row r="71">
      <x:c r="A71" s="24" t="str">
        <x:v>VIS-REMITTANCE-COST</x:v>
      </x:c>
      <x:c r="B71" s="24" t="str">
        <x:v>VISUAL</x:v>
      </x:c>
      <x:c r="C71" s="24" t="str">
        <x:v>/remittances/</x:v>
      </x:c>
      <x:c r="D71" s="24" t="str">
        <x:v>Quoted cost of sending US$200 and US$500 to Yemen from Saudi Arabia and the UAE, 2025 Q3</x:v>
      </x:c>
      <x:c r="E71" s="28" t="str">
        <x:v>التكلفة المعلنة لإرسال 200 و500 دولار أمريكي إلى اليمن من السعودية والإمارات، الربع الثالث من 2025</x:v>
      </x:c>
      <x:c r="F71"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1"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1" s="24" t="str">
        <x:v>The total cost of sending US$200 or US$500 from Saudi Arabia or the United Arab Emirates to Yemen, as a percentage of the amount sent, averaged over quotes for formal products in 2025 Q3.</x:v>
      </x:c>
      <x:c r="I71"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1" s="24" t="str">
        <x:v>2025 Q3</x:v>
      </x:c>
      <x:c r="K71" s="28" t="str">
        <x:v>الربع الثالث من 2025</x:v>
      </x:c>
      <x:c r="L71" s="24" t="str">
        <x:v>Formal remittance products listed by the World Bank Remittance Prices Worldwide database for the Saudi Arabia–Yemen and United Arab Emirates–Yemen corridors, by send amount, 2025 Q3</x:v>
      </x:c>
      <x:c r="M71"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1"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x:v>
      </x:c>
      <x:c r="O71"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x:v>
      </x:c>
      <x:c r="P71"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the number of providers and quotes behind it is not recorded in the evidence base.</x:v>
      </x:c>
      <x:c r="Q71"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ولا تتضمن قاعدة الأدلة عدد مقدمي الخدمة وعروض الأسعار التي يستند إليها.</x:v>
      </x:c>
      <x:c r="R71" s="24" t="str">
        <x:v>The averages refer to the third quarter of 2025. As checked on 26 September 2026, both corridor pages still showed the third quarter of 2025 as the latest quarter.</x:v>
      </x:c>
      <x:c r="S71"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SRC-WB-RPW-SA-YEM-2025Q3-001; SRC-WB-RPW-UAE-YEM-2025Q3-001</x:v>
      </x:c>
      <x:c r="Y71" s="24" t="str">
        <x:v>[]</x:v>
      </x:c>
      <x:c r="Z71" t="str">
        <x:v>BOUND_EXACT</x:v>
      </x:c>
    </x:row>
    <x:row r="72">
      <x:c r="A72" s="24" t="str">
        <x:v>VIS-FIRM-CONSTRAINTS</x:v>
      </x:c>
      <x:c r="B72" s="24" t="str">
        <x:v>VISUAL</x:v>
      </x:c>
      <x:c r="C72" s="24" t="str">
        <x:v>/firms/</x:v>
      </x:c>
      <x:c r="D72" s="24" t="str">
        <x:v>Finance is not the only constraint surveyed formal firms report, 2022</x:v>
      </x:c>
      <x:c r="E72" s="28" t="str">
        <x:v>التمويل ليس القيد الوحيد الذي تذكره المنشآت الرسمية المشمولة بالمسح، 2022</x:v>
      </x:c>
      <x:c r="F72"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2"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2" s="24" t="str">
        <x:v>The share of surveyed formal firms in seven governorates that named each item as a business challenge, 2022.</x:v>
      </x:c>
      <x:c r="I72" s="28" t="str">
        <x:v>نسبة المنشآت الرسمية المشمولة بالمسح في سبع محافظات التي ذكرت كل بند بوصفه تحديًا للأعمال، 2022.</x:v>
      </x:c>
      <x:c r="J72" s="24" t="str">
        <x:v>2022</x:v>
      </x:c>
      <x:c r="K72" s="28" t="str">
        <x:v>2022</x:v>
      </x:c>
      <x:c r="L72" s="24" t="str">
        <x:v>Formal enterprises in seven selected governorates covered by the 2022 Yemen Enterprise Survey</x:v>
      </x:c>
      <x:c r="M72" s="28" t="str">
        <x:v>المنشآت الرسمية في المحافظات السبع المختارة التي شملها مسح المنشآت في اليمن لعام 2022.</x:v>
      </x:c>
      <x:c r="N72"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2"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2"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2"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2" s="24" t="str">
        <x:v>The latest observation in this record refers to the 2022 survey (September 2022). It should not be read as describing a later period unless a newer comparable observation is published.</x:v>
      </x:c>
      <x:c r="S72" s="28" t="str">
        <x:v>تعود أحدث مشاهدة في هذا السجل إلى مسح 2022 (سبتمبر 2022)، ولا تُقرأ على أنها تصف فترة لاحقة ما لم تُنشر مشاهدة أحدث قابلة للمقارنة.</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SRC-WB-FSD-2024-001</x:v>
      </x:c>
      <x:c r="Y72" s="24" t="str">
        <x:v>[]</x:v>
      </x:c>
      <x:c r="Z72" t="str">
        <x:v>BOUND_EXACT</x:v>
      </x:c>
    </x:row>
    <x:row r="73">
      <x:c r="A73" s="24" t="str">
        <x:v>VIS-FIRM-FINANCE-PATH</x:v>
      </x:c>
      <x:c r="B73" s="24" t="str">
        <x:v>VISUAL</x:v>
      </x:c>
      <x:c r="C73" s="24" t="str">
        <x:v>/firms/</x:v>
      </x:c>
      <x:c r="D73" s="24" t="str">
        <x:v>Loan sources in 18 valid responses from surveyed formal firms, 2022</x:v>
      </x:c>
      <x:c r="E73" s="28" t="str">
        <x:v>مصادر القروض في 18 استجابة صالحة من المنشآت الرسمية المشمولة بالمسح، 2022</x:v>
      </x:c>
      <x:c r="F73"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3"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3" s="24" t="str">
        <x:v>Counts of surveyed formal firms in seven governorates reporting a line of credit, and counts of loan sources named in valid responses, 2022.</x:v>
      </x:c>
      <x:c r="I73" s="28" t="str">
        <x:v>أعداد المنشآت الرسمية المشمولة بالمسح في سبع محافظات التي أفادت بامتلاك خط ائتمان، وأعداد مصادر القروض المذكورة في الاستجابات الصالحة، 2022.</x:v>
      </x:c>
      <x:c r="J73" s="24" t="str">
        <x:v>2022</x:v>
      </x:c>
      <x:c r="K73" s="28" t="str">
        <x:v>2022</x:v>
      </x:c>
      <x:c r="L73" s="24" t="str">
        <x:v>Formal firms in seven selected governorates: 328 surveyed; 31 report a line of credit; 18 valid loan-source responses</x:v>
      </x:c>
      <x:c r="M73" s="28" t="str">
        <x:v>منشآت رسمية في سبع محافظات مختارة: 328 منشأة في العينة؛ 31 أفادت بخط ائتمان؛ 18 استجابة صالحة لسؤال مصدر القرض.</x:v>
      </x:c>
      <x:c r="N73"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3"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3"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row>
    <x:row r="74">
      <x:c r="A74" s="24" t="str">
        <x:v>VIS-FIRM-FINANCE-SEVERITY</x:v>
      </x:c>
      <x:c r="B74" s="24" t="str">
        <x:v>VISUAL</x:v>
      </x:c>
      <x:c r="C74" s="24" t="str">
        <x:v>/firms/</x:v>
      </x:c>
      <x:c r="D74" s="24" t="str">
        <x:v>Finance obstacle severity among surveyed formal firms, excluding those that said they needed no loan, 2022</x:v>
      </x:c>
      <x:c r="E74" s="28" t="str">
        <x:v>شدة عائق التمويل لدى المنشآت الرسمية المشمولة بالمسح، باستثناء التي قالت إنها لا تحتاج إلى قرض، 2022</x:v>
      </x:c>
      <x:c r="F74"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4"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4" s="24" t="str">
        <x:v>The shares of formal firms rating access to finance as a major or a moderate obstacle, among firms in the survey report's finance-obstacle tabulation (firms that said they did not need a loan are excluded), seven governorates, 2022.</x:v>
      </x:c>
      <x:c r="I74"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4" s="24" t="str">
        <x:v>2022</x:v>
      </x:c>
      <x:c r="K74" s="28" t="str">
        <x:v>2022</x:v>
      </x:c>
      <x:c r="L74" s="24" t="str">
        <x:v>Formal firms in seven selected governorates in the survey report's finance-obstacle tabulation, which excludes firms that said they did not need a loan; the number of firms is not recorded in the evidence base</x:v>
      </x:c>
      <x:c r="M74"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4"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4"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4"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 The source introduces the tabulation 'when asking for the reasons of not applying' (p. 145), so its base may be narrower still: firms that did not apply for a loan, less those that said they did not need one. Which base the source used is not established here.</x:v>
      </x:c>
      <x:c r="Q74"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 ويعرض المصدر هذا الجدول في سياق السؤال عن أسباب عدم التقدم بطلب قرض (الصفحة 145)، لذا قد تكون قاعدته أضيق: المنشآت التي لم تتقدم بطلب قرض، باستثناء التي قالت إنها لا تحتاج إليه. ولم يُثبت هنا أي القاعدتين استخدمها المصدر.</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row>
    <x:row r="75">
      <x:c r="A75" s="24" t="str">
        <x:v>VIS-OECD-FCP-TIMELINE</x:v>
      </x:c>
      <x:c r="B75" s="24" t="str">
        <x:v>VISUAL</x:v>
      </x:c>
      <x:c r="C75" s="24" t="str">
        <x:v>/reforms/</x:v>
      </x:c>
      <x:c r="D75" s="24" t="str">
        <x:v>Financial consumer protection: which steps from framework to outcome are evidenced?</x:v>
      </x:c>
      <x:c r="E75" s="28" t="str">
        <x:v>حماية المستهلك المالي: أي المراحل من الإطار إلى النتيجة تسندها الأدلة؟</x:v>
      </x:c>
      <x:c r="F75"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5"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5" s="24" t="str">
        <x:v>The stages of financial consumer protection in Yemen — framework, stated purpose, awareness activity, implementation, complaints and redress, enforcement and consumer outcomes — and the evidence recorded for each.</x:v>
      </x:c>
      <x:c r="I75"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5" s="24" t="str">
        <x:v>2023 to 2024 (official sources), with OECD context from 2026; later stages have no evidence</x:v>
      </x:c>
      <x:c r="K75" s="28" t="str">
        <x:v>من 2023 إلى 2024 (المصادر الرسمية)، مع سياق من منظمة التعاون الاقتصادي والتنمية في 2026؛ ولا تتوفر أدلة على المراحل اللاحقة</x:v>
      </x:c>
      <x:c r="L75" s="24" t="str">
        <x:v>Official instruments and guidance of the Central Bank of Yemen – Aden (CBY-Aden), with context attributed to the OECD, keeping the framework separate from implementation and outcomes</x:v>
      </x:c>
      <x:c r="M75"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5"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5"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5" s="24" t="str">
        <x:v>The existence of an instrument does not by itself establish a complaint path, implementation or effective protection, and OECD analysis or other secondary material does not raise the evidence to that level.</x:v>
      </x:c>
      <x:c r="Q75"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5" s="24" t="str">
        <x:v>The latest official source in this record dates from 23 March 2024, and the OECD analysis from 2026. The evidence base holds no evidence on implementation, enforcement or consumer outcomes for any date.</x:v>
      </x:c>
      <x:c r="S75"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SRC-CBY-FCP-INSTR-2023-001; SRC-CBY-FCP-AWARE-2024-001; SRC-CBY-FCP-BROCHURE-2024-001; SRC-OECD-YEM-RESILIENCE-001</x:v>
      </x:c>
      <x:c r="Y75" s="24" t="str">
        <x:v>[]</x:v>
      </x:c>
      <x:c r="Z75" t="str">
        <x:v>BOUND_EXACT</x:v>
      </x:c>
    </x:row>
    <x:row r="76">
      <x:c r="A76" s="24" t="str">
        <x:v>VIS-CAPITAL-CONTEXT</x:v>
      </x:c>
      <x:c r="B76" s="24" t="str">
        <x:v>VISUAL</x:v>
      </x:c>
      <x:c r="C76" s="24" t="str">
        <x:v>/reforms/</x:v>
      </x:c>
      <x:c r="D76" s="24" t="str">
        <x:v>Humanitarian, development and project finance: separate pathways</x:v>
      </x:c>
      <x:c r="E76" s="28" t="str">
        <x:v>التمويل الإنساني والتنموي وتمويل المشروعات: مسارات منفصلة</x:v>
      </x:c>
      <x:c r="F76"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6"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6" s="24" t="str">
        <x:v>This record sets out a distinction between finance pathways; it reports no funding amount.</x:v>
      </x:c>
      <x:c r="I76" s="28" t="str">
        <x:v>يحدد هذا السجل تمييزًا بين مسارات التمويل، ولا يورد أي مبلغ تمويلي.</x:v>
      </x:c>
      <x:c r="J76" s="24" t="str">
        <x:v>Individual event dates; context as of 2026</x:v>
      </x:c>
      <x:c r="K76" s="28" t="str">
        <x:v>تواريخ الأحداث المنفردة؛ والسياق كما هو في 2026</x:v>
      </x:c>
      <x:c r="L76" s="24" t="str">
        <x:v>Funding and programme relationships as each source defines them, with flow types and funding states kept separate</x:v>
      </x:c>
      <x:c r="M76" s="28" t="str">
        <x:v>علاقات التمويل والبرامج كما يحددها كل مصدر، مع فصل فئات التدفق وحالاته.</x:v>
      </x:c>
      <x:c r="N76" s="24" t="str">
        <x:v>Each pathway is described by its type of flow and the kind of evidence available for it; amounts in different funding states are not added together, and no amount is reported in this record.</x:v>
      </x:c>
      <x:c r="O76" s="28" t="str">
        <x:v>يوصف كل مسار بنوع التدفق ونوع الأدلة المتاحة له؛ ولا تُجمع مبالغ تمويل في مراحل مختلفة، ولا يورد هذا السجل أي مبلغ.</x:v>
      </x:c>
      <x:c r="P76" s="24" t="str">
        <x:v>Announced or recorded funding is not downstream lending, reach, use or an inclusion outcome. | The humanitarian funding flows linked to this record do not describe development, project or financial-institution finance.</x:v>
      </x:c>
      <x:c r="Q76"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6" s="24" t="str">
        <x:v>This record sets out a distinction and reports no observation, so it has no observation date.</x:v>
      </x:c>
      <x:c r="S76" s="28" t="str">
        <x:v>يحدد هذا السجل تمييزًا ولا يورد مشاهدة، فليس له تاريخ رصد.</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SRC-OCHA-FTS-YEM-2026-001</x:v>
      </x:c>
      <x:c r="Y76" s="24" t="str">
        <x:v>[]</x:v>
      </x:c>
      <x:c r="Z76" t="str">
        <x:v>BOUND_EXACT</x:v>
      </x:c>
    </x:row>
    <x:row r="77">
      <x:c r="A77" s="24" t="str">
        <x:v>VIS-EVIDENCE-GAPS</x:v>
      </x:c>
      <x:c r="B77" s="24" t="str">
        <x:v>VISUAL</x:v>
      </x:c>
      <x:c r="C77" s="24" t="str">
        <x:v>/measurement/</x:v>
      </x:c>
      <x:c r="D77" s="24" t="str">
        <x:v>What we still do not know</x:v>
      </x:c>
      <x:c r="E77" s="28" t="str">
        <x:v>ما الذي ما زلنا لا نعرفه؟</x:v>
      </x:c>
      <x:c r="F77"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7"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H77" s="24" t="str">
        <x:v>This record describes the types of evidence gap recorded in this resource; it reports no value.</x:v>
      </x:c>
      <x:c r="I77" s="28" t="str">
        <x:v>يصف هذا السجل أنواع فجوات الأدلة المسجلة في هذا المورد، ولا يورد أي قيمة.</x:v>
      </x:c>
      <x:c r="J77" s="24" t="str">
        <x:v>As of the edition of this resource dated 3 October 2026</x:v>
      </x:c>
      <x:c r="K77" s="28" t="str">
        <x:v>وفق إصدار هذا المورد المؤرخ في 3 أكتوبر 2026</x:v>
      </x:c>
      <x:c r="L77" s="24" t="str">
        <x:v>Documented gaps that block an answer: missing periods, unavailable sources, missing calculation bases and primary files not yet available</x:v>
      </x:c>
      <x:c r="M77" s="28" t="str">
        <x:v>الفجوات الموثقة التي تحول دون الإجابة: فترات مفقودة، ومصادر غير متاحة، وقواعد احتساب غير موثقة، وملفات أصلية لم تتح بعد.</x:v>
      </x:c>
      <x:c r="N77" s="24" t="str">
        <x:v>Each gap is recorded with an explicit type; a blank or unknown value is recorded as missing, not as zero.</x:v>
      </x:c>
      <x:c r="O77" s="28" t="str">
        <x:v>تُسجَّل كل فجوة بنوع صريح، ويُسجَّل الفراغ أو المجهول بوصفه مفقودًا لا صفرًا.</x:v>
      </x:c>
      <x:c r="P77" s="24" t="str">
        <x:v>A gap is not zero, and it is not evidence of absence or failure.</x:v>
      </x:c>
      <x:c r="Q77" s="28" t="str">
        <x:v>الفجوة ليست صفرًا وليست دليلًا على الغياب أو الفشل.</x:v>
      </x:c>
      <x:c r="R77" s="24" t="str">
        <x:v>The gaps are those recorded as of the edition of this resource dated 3 October 2026. A gap closes when new evidence fills it, and the list changes accordingly.</x:v>
      </x:c>
      <x:c r="S77" s="28" t="str">
        <x:v>الفجوات هي المسجلة وفق إصدار هذا المورد المؤرخ في 3 أكتوبر 2026. وتُغلق الفجوة عندما يسدّها دليل جديد، وتتغير القائمة تبعًا لذلك.</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view summarises other evidence records, which are not yet linked individually here. Before reusing a figure, open the evidence record that reports it and check that record against its own source.</x:v>
      </x:c>
      <x:c r="W77" s="28" t="str">
        <x:v>يلخص هذا العرض سجلات أدلة أخرى لم تُربط بعدُ هنا كلٌّ على حدة. وقبل إعادة استخدام أي رقم، افتح سجل الدليل الذي يورده وطابِقه مع مصدره.</x:v>
      </x:c>
      <x:c r="X77" s="24"/>
      <x:c r="Y77" s="24" t="str">
        <x:v>[]</x:v>
      </x:c>
      <x:c r="Z77" t="str">
        <x:v>COMPOSITE_OF_OBJECTS</x:v>
      </x:c>
    </x:row>
    <x:row r="78">
      <x:c r="A78" s="24" t="str">
        <x:v>VIS-PAYMENT-RAILS</x:v>
      </x:c>
      <x:c r="B78" s="24" t="str">
        <x:v>VISUAL</x:v>
      </x:c>
      <x:c r="C78" s="24" t="str">
        <x:v>/reforms/</x:v>
      </x:c>
      <x:c r="D78" s="24" t="str">
        <x:v>How the payment architecture is changing</x:v>
      </x:c>
      <x:c r="E78" s="28" t="str">
        <x:v>كيف تتغير بنية المدفوعات؟</x:v>
      </x:c>
      <x:c r="F78"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G78"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8" s="24" t="str">
        <x:v>Dated payment-reform steps — rules, project components, decisions, integration work and new institutions — recorded between June 2024 and August 2026, each at the furthest stage its evidence supports.</x:v>
      </x:c>
      <x:c r="I78"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8" s="24" t="str">
        <x:v>2024–2026</x:v>
      </x:c>
      <x:c r="K78" s="28" t="str">
        <x:v>2024–2026</x:v>
      </x:c>
      <x:c r="L78" s="24" t="str">
        <x:v>Payment-reform rules, projects, decisions and institutions documented by the Central Bank of Yemen – Aden (CBY-Aden), the World Bank and the United Nations Development Programme (UNDP), with rules, projects, integration, institutions, operation and use kept separate</x:v>
      </x:c>
      <x:c r="M78"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8"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8"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8"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Q78"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R78"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8"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record is drawn from the source(s) listed on this page. Open a source record to reach the original document, and check that the definition, period, population and geography match what is stated here.</x:v>
      </x:c>
      <x:c r="W7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8" s="24" t="str">
        <x:v>SRC-UNDP-FMIIP-001; SRC-WB-FMIIP-P180708; SRC-WB-FMIIP-ISR2-2026-001; SRC-CBY-EMONEY-AMD-2025-001; SRC-CBY-DIGITAL-EXPO-2026-001; SRC-CBY-PAY-BOARD-2026-001; SRC-CBY-BANK-NETWORK-MTG-2026-001; SRC-CBY-UNIFIED-NET-2026-001; SRC-CBY-YPCC-FOUND-2026-001; SRC-CBY-YPCC-BOARD-2026-001; SRC-CBY-DEC-23-2024-001</x:v>
      </x:c>
      <x:c r="Y78" s="24" t="str">
        <x:v>[]</x:v>
      </x:c>
      <x:c r="Z78" t="str">
        <x:v>BOUND_EXACT</x:v>
      </x:c>
    </x:row>
    <x:row r="79">
      <x:c r="A79" s="24" t="str">
        <x:v>VIS-EVIDENCE-CLASS-LADDER</x:v>
      </x:c>
      <x:c r="B79" s="24" t="str">
        <x:v>VISUAL</x:v>
      </x:c>
      <x:c r="C79" s="24" t="str">
        <x:v>/evidence/</x:v>
      </x:c>
      <x:c r="D79" s="24" t="str">
        <x:v>What kind of evidence is this?</x:v>
      </x:c>
      <x:c r="E79" s="28" t="str">
        <x:v>ما نوع هذا الدليل؟</x:v>
      </x:c>
      <x:c r="F79"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79"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79" s="24" t="str">
        <x:v>This record sets out the types of evidence used in this resource and what each type can support; it reports no value.</x:v>
      </x:c>
      <x:c r="I79" s="28" t="str">
        <x:v>يحدد هذا السجل أنواع الأدلة المستخدمة في هذا المورد وما يمكن لكل نوع أن يدعمه، ولا يورد أي قيمة.</x:v>
      </x:c>
      <x:c r="J79" s="24" t="str">
        <x:v>Edition of this resource dated 3 October 2026</x:v>
      </x:c>
      <x:c r="K79" s="28" t="str">
        <x:v>إصدار هذا المورد المؤرخ في 3 أكتوبر 2026</x:v>
      </x:c>
      <x:c r="L79" s="24" t="str">
        <x:v>Evidence records published in this resource only, classified by their nature and by what each can establish</x:v>
      </x:c>
      <x:c r="M79" s="28" t="str">
        <x:v>سجلات الأدلة المنشورة في هذا المورد فقط، مصنفة بحسب طبيعتها وما تسمح بإثباته.</x:v>
      </x:c>
      <x:c r="N79" s="24" t="str">
        <x:v>Each record is assigned to one evidence type according to how its source produced the evidence; the types are presented as separate categories, not ranked, and no numeric score is assigned.</x:v>
      </x:c>
      <x:c r="O79" s="28" t="str">
        <x:v>يُصنَّف كل سجل في نوع دليل واحد بحسب الطريقة التي أنتج بها مصدره الدليل؛ وتُعرض الأنواع فئاتٍ منفصلة لا ترتيب تفاضليًا بينها، ولا تُمنح أي درجة رقمية.</x:v>
      </x:c>
      <x:c r="P79"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79"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79" s="24" t="str">
        <x:v>This record sets out evidence types and has no observation date; the assignment of records to types reflects the edition of this resource dated 3 October 2026.</x:v>
      </x:c>
      <x:c r="S79" s="28" t="str">
        <x:v>يحدد هذا السجل أنواع الأدلة وليس له تاريخ رصد؛ ويعكس تصنيف السجلات في هذه الأنواع إصدار هذا المورد المؤرخ في 3 أكتوبر 2026.</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view summarises other evidence records, which are not yet linked individually here. Before reusing a figure, open the evidence record that reports it and check that record against its own source.</x:v>
      </x:c>
      <x:c r="W79" s="28" t="str">
        <x:v>يلخص هذا العرض سجلات أدلة أخرى لم تُربط بعدُ هنا كلٌّ على حدة. وقبل إعادة استخدام أي رقم، افتح سجل الدليل الذي يورده وطابِقه مع مصدره.</x:v>
      </x:c>
      <x:c r="X79" s="24"/>
      <x:c r="Y79" s="24" t="str">
        <x:v>[]</x:v>
      </x:c>
      <x:c r="Z79" t="str">
        <x:v>COMPOSITE_OF_OBJECTS</x:v>
      </x:c>
    </x:row>
    <x:row r="80">
      <x:c r="A80" s="24" t="str">
        <x:v>VIS-FL-EVIDENCE-LADDER</x:v>
      </x:c>
      <x:c r="B80" s="24" t="str">
        <x:v>VISUAL</x:v>
      </x:c>
      <x:c r="C80" s="24" t="str">
        <x:v>/people/</x:v>
      </x:c>
      <x:c r="D80" s="24" t="str">
        <x:v>Financial literacy — activity is not outcome</x:v>
      </x:c>
      <x:c r="E80" s="28" t="str">
        <x:v>الثقافة المالية: النشاط لا يساوي نتيجة</x:v>
      </x:c>
      <x:c r="F80"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0"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0"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0"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0" s="24" t="str">
        <x:v>Activity 2023–2025, and the latest available capability survey (2023)</x:v>
      </x:c>
      <x:c r="K80" s="28" t="str">
        <x:v>أنشطة 2023–2025، وأحدث مسح متاح للقدرات المالية (2023)</x:v>
      </x:c>
      <x:c r="L80" s="24" t="str">
        <x:v>Three kinds of evidence: programme activity and its documented outputs or completion, population capability measured by survey, and programme outcomes established by evaluation.</x:v>
      </x:c>
      <x:c r="M80" s="28" t="str">
        <x:v>نشاط البرنامج ومخرجاته أو إكماله، مقابل قدرات السكان المقاسة ونتائج البرنامج التي يثبتها التقييم؛ وهي مستويات أدلة مختلفة.</x:v>
      </x:c>
      <x:c r="N80"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0"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0" s="24" t="str">
        <x:v>It is not established that the OECD/INFE capability levels, or any change in them, result from Global Money Week. Activities, events, participating bodies and workshops are outputs; they do not establish improved financial capability or a causal impact.</x:v>
      </x:c>
      <x:c r="Q80"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0"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0"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record is drawn from the source(s) listed on this page. Open a source record to reach the original document, and check that the definition, period, population and geography match what is stated here.</x:v>
      </x:c>
      <x:c r="W8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0" s="24" t="str">
        <x:v>SRC-CBY-GMW-2023-001; SRC-CBY-GMW-2024-001; SRC-CBY-GMW-2024-CLOSE-001; SRC-CBY-GMW-2025-001; SRC-OECD-INFE-2023</x:v>
      </x:c>
      <x:c r="Y80" s="24" t="str">
        <x:v>[]</x:v>
      </x:c>
      <x:c r="Z80" t="str">
        <x:v>BOUND_EXACT</x:v>
      </x:c>
    </x:row>
    <x:row r="81">
      <x:c r="A81" s="24" t="str">
        <x:v>VIS-MFI-RUPTURE-LENS</x:v>
      </x:c>
      <x:c r="B81" s="24" t="str">
        <x:v>VISUAL</x:v>
      </x:c>
      <x:c r="C81" s="24" t="str">
        <x:v>/finance/</x:v>
      </x:c>
      <x:c r="D81" s="24" t="str">
        <x:v>2015: a sharp fall in active borrowers within the year</x:v>
      </x:c>
      <x:c r="E81" s="28" t="str">
        <x:v>2015: تراجع حاد في أعداد المقترضين النشطين خلال العام</x:v>
      </x:c>
      <x:c r="F81"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1"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1" s="24" t="str">
        <x:v>Active borrowers, savers and outstanding loan portfolio (nominal Yemeni rials) reported for SFD-supported microfinance programmes at 31 March, 30 September and 31 December 2015.</x:v>
      </x:c>
      <x:c r="I81"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1" s="24" t="str">
        <x:v>2015</x:v>
      </x:c>
      <x:c r="K81" s="28" t="str">
        <x:v>2015</x:v>
      </x:c>
      <x:c r="L81" s="24" t="str">
        <x:v>Microfinance observations for March, September and December 2015 as each source and reporting population defines them, with the conflicting year-end portfolio values kept visible.</x:v>
      </x:c>
      <x:c r="M81" s="28" t="str">
        <x:v>مشاهدات التمويل الأصغر في مارس وسبتمبر وديسمبر 2015 كما يحددها كل مصدر ومجتمع إبلاغ، مع إبقاء تعارض قيمتي محفظة القروض في نهاية السنة ظاهرًا.</x:v>
      </x:c>
      <x:c r="N81"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1"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1" s="24" t="str">
        <x:v>It does not estimate a cause of the fall or how large any cause's effect was, gives no values between the three dates, and does not establish which of the two year-end portfolio values, table or narrative, is correct.</x:v>
      </x:c>
      <x:c r="Q81"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1" s="24" t="str">
        <x:v>The latest observation in this record is dated 31 December 2015. It describes 2015 only and should not be read as describing a later period.</x:v>
      </x:c>
      <x:c r="S81" s="28" t="str">
        <x:v>أحدث مشاهدة في هذا السجل مؤرخة في 31 ديسمبر 2015، وهي تصف عام 2015 وحده ولا تُقرأ على أنها تصف فترة لاحقة.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SRC-SFD-Q1-2015-001; SRC-SFD-Q3-2015-001; SRC-SFD-Q4-2015-001</x:v>
      </x:c>
      <x:c r="Y81" s="24" t="str">
        <x:v>[]</x:v>
      </x:c>
      <x:c r="Z81" t="str">
        <x:v>BOUND_EXACT</x:v>
      </x:c>
      <x:c r="AA81" t="str">
        <x:v>NO_GOVERNED_CONTRACT__TABLE_ONLY</x:v>
      </x:c>
    </x:row>
    <x:row r="82">
      <x:c r="A82" s="24" t="str">
        <x:v>VIS-TARGET-RESULT-STATE</x:v>
      </x:c>
      <x:c r="B82" s="24" t="str">
        <x:v>VISUAL</x:v>
      </x:c>
      <x:c r="C82" s="24" t="str">
        <x:v>/reforms/</x:v>
      </x:c>
      <x:c r="D82" s="24" t="str">
        <x:v>FMIIP financial access points: January 2025 baseline and June 2030 target</x:v>
      </x:c>
      <x:c r="E82" s="28" t="str">
        <x:v>نقاط الوصول المالي في مشروع FMIIP: خط أساس يناير 2025 ومستهدف يونيو 2030</x:v>
      </x:c>
      <x:c r="F82"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2"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2" s="24" t="str">
        <x:v>The number of financial access points, as defined by the Financial Market Infrastructure and Inclusion Project (FMIIP), at its January 2025 baseline and its June 2030 target; no result against the target is recorded in the evidence base.</x:v>
      </x:c>
      <x:c r="I82"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2" s="24" t="str">
        <x:v>Baseline January 2025; target June 2030; no result recorded</x:v>
      </x:c>
      <x:c r="K82" s="28" t="str">
        <x:v>خط الأساس يناير 2025؛ المستهدف يونيو 2030؛ لا نتيجة متاحة</x:v>
      </x:c>
      <x:c r="L82" s="24" t="str">
        <x:v>Financial access points as defined in the results framework of the World Bank-financed Financial Market Infrastructure and Inclusion Project (FMIIP, P180708)</x:v>
      </x:c>
      <x:c r="M82" s="28" t="str">
        <x:v>نقاط الوصول المالي وفق تعريف إطار نتائج مشروع البنية التحتية للأسواق المالية والشمول المالي في اليمن (FMIIP، P180708) الممول من البنك الدولي</x:v>
      </x:c>
      <x:c r="N82"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2"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2"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2"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2" s="24" t="str">
        <x:v>The baseline refers to January 2025 and the target to June 2030; no observed result is recorded for any later date.</x:v>
      </x:c>
      <x:c r="S82" s="28" t="str">
        <x:v>يعود خط الأساس إلى يناير 2025 والمستهدف إلى يونيو 2030، ولا تتوفر نتيجة مرصودة لأي تاريخ لاحق.</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SRC-WB-FMIIP-P180708</x:v>
      </x:c>
      <x:c r="Y82" s="24" t="str">
        <x:v>[]</x:v>
      </x:c>
      <x:c r="Z82" t="str">
        <x:v>BOUND_EXACT</x:v>
      </x:c>
    </x:row>
    <x:row r="83">
      <x:c r="A83" s="24" t="str">
        <x:v>CLM-040</x:v>
      </x:c>
      <x:c r="B83" s="24" t="str">
        <x:v>CLAIM</x:v>
      </x:c>
      <x:c r="C83" s="24" t="str">
        <x:v>/remittances/</x:v>
      </x:c>
      <x:c r="D83" s="24" t="str">
        <x:v>The 2025 external-sector statistics mission produced a 2014–2024 historical series</x:v>
      </x:c>
      <x:c r="E83" s="28" t="str">
        <x:v>بعثة إحصاءات القطاع الخارجي في 2025 أنتجت سلسلة تاريخية للفترة 2014–2024</x:v>
      </x:c>
      <x:c r="F83"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3"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3" s="24" t="str">
        <x:v>A documented statistical reconstruction exercise that produced a revised historical external-sector series.</x:v>
      </x:c>
      <x:c r="I83" s="28" t="str">
        <x:v>عملية إعادة بناء إحصائية موثقة نتجت عنها سلسلة تاريخية منقحة لإحصاءات القطاع الخارجي.</x:v>
      </x:c>
      <x:c r="J83" s="24" t="str">
        <x:v>Statistics for 2014–2024 produced in July 2025; publication cycle 2025–2026</x:v>
      </x:c>
      <x:c r="K83" s="28" t="str">
        <x:v>إحصاءات للفترة 2014–2024 أُنتجت في يوليو 2025؛ دورة النشر 2025–2026</x:v>
      </x:c>
      <x:c r="L83" s="24" t="str">
        <x:v>The IMF's analytical framework for external-sector statistics for areas under the internationally recognized government; component scopes and source methods vary</x:v>
      </x:c>
      <x:c r="M83" s="28" t="str">
        <x:v>الإطار التحليلي لصندوق النقد الدولي لإحصاءات القطاع الخارجي الخاص بمناطق الحكومة المعترف بها دوليًا؛ وتختلف نطاقات المكونات وطرق مصادرها.</x:v>
      </x:c>
      <x:c r="N83" s="24" t="str">
        <x:v>IMF documents: a D4D-II capacity-development progress report and the statistical annex of the IMF 2025 Article IV consultation.</x:v>
      </x:c>
      <x:c r="O83" s="28" t="str">
        <x:v>وثائق صادرة عن صندوق النقد الدولي: تقرير مرحلي لبرنامج D4D-II لتنمية القدرات، والملحق الإحصائي لمشاورات المادة الرابعة لعام 2025.</x:v>
      </x:c>
      <x:c r="P83"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3"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3"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3"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SRC-IMF-D4D-YEM-ESS-2025; EP-IMF-CBY-REMIT-METHOD-K04</x:v>
      </x:c>
      <x:c r="Y83" s="24" t="str">
        <x:v>[]</x:v>
      </x:c>
      <x:c r="Z83" t="str">
        <x:v>BOUND_EXACT</x:v>
      </x:c>
    </x:row>
    <x:row r="84">
      <x:c r="A84" s="24" t="str">
        <x:v>CLM-041</x:v>
      </x:c>
      <x:c r="B84" s="24" t="str">
        <x:v>CLAIM</x:v>
      </x:c>
      <x:c r="C84" s="24" t="str">
        <x:v>/remittances/ | /evidence/compare/</x:v>
      </x:c>
      <x:c r="D84" s="24" t="str">
        <x:v>The published CBY and IMF balance-of-payments components tested do not support a single conversion factor</x:v>
      </x:c>
      <x:c r="E84" s="28" t="str">
        <x:v>لا تدعم مكونات ميزان المدفوعات المنشورة التي اختُبرت معامل تحويل واحدًا بين بيانات البنك المركزي وصندوق النقد</x:v>
      </x:c>
      <x:c r="F84"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4"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التحويلات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4" s="24" t="str">
        <x:v>Ratios between CBY-Aden and IMF values for each tested balance-of-payments component over 2021–2024, compared to see whether one conversion factor fits all components.</x:v>
      </x:c>
      <x:c r="I84"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4" s="24" t="str">
        <x:v>Overlapping reference years 2021–2024 in the Central Bank of Yemen – Aden (CBY-Aden) Annual Report 2025 and the IMF 2025 Article IV consultation</x:v>
      </x:c>
      <x:c r="K84" s="28" t="str">
        <x:v>السنوات المرجعية المتداخلة 2021–2024 في التقرير السنوي 2025 للبنك المركزي اليمني – عدن وفي مشاورات المادة الرابعة لعام 2025 لصندوق النقد الدولي</x:v>
      </x:c>
      <x:c r="L84" s="24" t="str">
        <x:v>Only the public CBY and IMF balance-of-payments components actually tested; each component retains its source definition, geography and transformation.</x:v>
      </x:c>
      <x:c r="M84"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4"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4"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4"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4" s="28" t="str">
        <x:v>لا تنطبق النسبة الثابتة البالغة 1.838 بين سلسلتي التحويلات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4"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4"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SRC-CBY-AR2025-BOP; SRC-IMF-YEM-AIV-2025-2026; CON-046</x:v>
      </x:c>
      <x:c r="Y84" s="24" t="str">
        <x:v>[]</x:v>
      </x:c>
      <x:c r="Z84" t="str">
        <x:v>BOUND_EXACT</x:v>
      </x:c>
    </x:row>
    <x:row r="85">
      <x:c r="A85" s="24" t="str">
        <x:v>CLM-042</x:v>
      </x:c>
      <x:c r="B85" s="24" t="str">
        <x:v>CLAIM</x:v>
      </x:c>
      <x:c r="C85" s="24" t="str">
        <x:v>/remittances/ | /methodology/</x:v>
      </x:c>
      <x:c r="D85" s="24" t="str">
        <x:v>A stable remittance ratio exists; its meaning remains unknown</x:v>
      </x:c>
      <x:c r="E85" s="28" t="str">
        <x:v>توجد نسبة مستقرة بين سلسلتي التحويلات، لكن معناها ما يزال غير محسوم</x:v>
      </x:c>
      <x:c r="F85"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5" s="28" t="str">
        <x:v>خلال 2021–2024 تبلغ نسبة سلسلة التحويلات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5" s="24" t="str">
        <x:v>The ratio of the CBY-Aden remittance series to the IMF remittance series in each year from 2021 to 2024.</x:v>
      </x:c>
      <x:c r="I85" s="28" t="str">
        <x:v>نسبة سلسلة التحويلات لدى البنك المركزي اليمني – عدن إلى سلسلة التحويلات لدى صندوق النقد الدولي في كل سنة من 2021 إلى 2024.</x:v>
      </x:c>
      <x:c r="J85" s="24" t="str">
        <x:v>Overlapping years 2021–2024; IMF reconstruction covering 2014–2025</x:v>
      </x:c>
      <x:c r="K85" s="28" t="str">
        <x:v>السنوات المتداخلة 2021–2024؛ وإعادة البناء لدى صندوق النقد الدولي للفترة 2014–2025</x:v>
      </x:c>
      <x:c r="L85" s="24" t="str">
        <x:v>The CBY-Aden publication scope compared with the IMF's analytical scope for areas under the internationally recognized government</x:v>
      </x:c>
      <x:c r="M85" s="28" t="str">
        <x:v>نطاق سلسلة التحويلات المنشورة لدى البنك المركزي اليمني – عدن مقابل النطاق التحليلي لصندوق النقد الدولي الخاص بمناطق الحكومة المعترف بها دوليًا.</x:v>
      </x:c>
      <x:c r="N85"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5"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5" s="24" t="str">
        <x:v>The 1.838 ratio is not a population, geography, informal-share or coverage conversion. | Comparability is component-specific only; differences of sign, scope and method remain material.</x:v>
      </x:c>
      <x:c r="Q85"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5" s="24" t="str">
        <x:v>The ratio covers 2021 to 2024, from the CBY-Aden Annual Report 2025 and the IMF 2025 Article IV consultation. It should not be read as holding for later years unless newer comparable editions of both series are published.</x:v>
      </x:c>
      <x:c r="S85"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EP-YEM-BOP-COMPONENT-XWALK-K04</x:v>
      </x:c>
      <x:c r="Y85" s="24" t="str">
        <x:v>[]</x:v>
      </x:c>
      <x:c r="Z85" t="str">
        <x:v>BOUND_EXACT</x:v>
      </x:c>
    </x:row>
    <x:row r="86">
      <x:c r="A86" s="24" t="str">
        <x:v>CLM-043</x:v>
      </x:c>
      <x:c r="B86" s="24" t="str">
        <x:v>CLAIM</x:v>
      </x:c>
      <x:c r="C86" s="24" t="str">
        <x:v>/remittances/</x:v>
      </x:c>
      <x:c r="D86" s="24" t="str">
        <x:v>Before ranking flows, look at the balancing residual</x:v>
      </x:c>
      <x:c r="E86" s="28" t="str">
        <x:v>قبل ترتيب التدفقات الخارجية، افحص البند الموازِن (صافي السهو والخطأ)</x:v>
      </x:c>
      <x:c r="F86"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6" s="28" t="str">
        <x:v>في التقرير السنوي 2025 للبنك المركزي اليمني – عدن، يفوق صافي السهو والخطأ بند التحويلات المنشور في كل سنة من 2021 إلى 2025. ففي 2025 بلغ صافي السهو والخطأ 7.117 مليار دولار مقابل 3.614 مليار دولار للتحويلات، أي إن نسبته إلى بند التحويلات 1.97. وصافي السهو والخطأ بندٌ موازِن محاسبيًا، وليس تدفقًا مرصودًا ولا تقديرًا لتحويلات مخفية.</x:v>
      </x:c>
      <x:c r="H86" s="24" t="str">
        <x:v>Net errors and omissions in the CBY-Aden balance of payments for 2021–2025, compared in size with the published remittance line.</x:v>
      </x:c>
      <x:c r="I86" s="28" t="str">
        <x:v>صافي السهو والخطأ في ميزان المدفوعات لدى البنك المركزي اليمني – عدن للفترة 2021–2025، مقارنًا من حيث الحجم ببند التحويلات المنشور.</x:v>
      </x:c>
      <x:c r="J86" s="24" t="str">
        <x:v>2021–2025</x:v>
      </x:c>
      <x:c r="K86" s="28" t="str">
        <x:v>2021–2025</x:v>
      </x:c>
      <x:c r="L86" s="24" t="str">
        <x:v>The balance of payments as each source defines it</x:v>
      </x:c>
      <x:c r="M86" s="28" t="str">
        <x:v>نطاق ميزان المدفوعات كما يعرفه كل مصدر على حدة.</x:v>
      </x:c>
      <x:c r="N86"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6" s="28" t="str">
        <x:v>قيم من جدول ميزان المدفوعات في التقرير السنوي 2025 للبنك المركزي اليمني – عدن. واحتسب هذا المورد النسبة بقسمة صافي السهو والخطأ على بند التحويلات (2025: 7.117 مقسومًا على 3.614 يساوي 1.97). ويُقرأ صافي السهو والخطأ بوصفه البند الموازِن كما يعرّفه دليل ميزان المدفوعات الصادر عن صندوق النقد الدولي.</x:v>
      </x:c>
      <x:c r="P86"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6" s="28" t="str">
        <x:v>ليس صافي السهو والخطأ تحويلات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6" s="24" t="str">
        <x:v>The latest year in this record is 2025, from the CBY-Aden Annual Report 2025. It should not be read as describing a later year unless a newer comparable observation is published.</x:v>
      </x:c>
      <x:c r="S86"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EP-YEM-BOP-RESIDUAL-K04</x:v>
      </x:c>
      <x:c r="Y86" s="24" t="str">
        <x:v>[]</x:v>
      </x:c>
      <x:c r="Z86" t="str">
        <x:v>BOUND_EXACT</x:v>
      </x:c>
    </x:row>
    <x:row r="87">
      <x:c r="A87" s="24" t="str">
        <x:v>CLM-044</x:v>
      </x:c>
      <x:c r="B87" s="24" t="str">
        <x:v>CLAIM</x:v>
      </x:c>
      <x:c r="C87" s="24" t="str">
        <x:v>/remittances/ | /evidence/compare/</x:v>
      </x:c>
      <x:c r="D87" s="24" t="str">
        <x:v>An alternative residual model is not the canonical remittance baseline</x:v>
      </x:c>
      <x:c r="E87" s="28" t="str">
        <x:v>نموذج بديل قائم على متبقي ميزان المدفوعات ليس خط الأساس المعتمد للتحويلات</x:v>
      </x:c>
      <x:c r="F87"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7" s="28" t="str">
        <x:v>يقدّر نموذج قائم على متبقي ميزان المدفوعات التحويلات بإسناد فرق متبقٍّ مفترض إليها. ومثل هذا التقدير نموذج بديل، لا مشاهدة مباشرة ولا خط الأساس المعتمد للتحويلات. ويستند التقدير المعني هنا إلى مادة لا يتوافر لها رابط أصلي عام، لذلك لا يعرض هذا المورد، وفق قاعدة النشر المعتمدة فيه، قيمته ولا الجهة التي أعدّته.</x:v>
      </x:c>
      <x:c r="H87" s="24" t="str">
        <x:v>An estimate of 2024 remittances produced by a balance-of-payments residual model, kept separate from the adopted remittance baseline.</x:v>
      </x:c>
      <x:c r="I87" s="28" t="str">
        <x:v>تقدير للتحويلات لعام 2024 ناتج عن نموذج متبقي ميزان المدفوعات، يبقى منفصلًا عن خط الأساس المعتمد للتحويلات.</x:v>
      </x:c>
      <x:c r="J87" s="24" t="str">
        <x:v>2024 estimate</x:v>
      </x:c>
      <x:c r="K87" s="28" t="str">
        <x:v>تقدير 2024</x:v>
      </x:c>
      <x:c r="L87" s="24" t="str">
        <x:v>Yemen as a whole, as an analytical estimate; not an observed official value</x:v>
      </x:c>
      <x:c r="M87" s="28" t="str">
        <x:v>تقدير تحليلي يسعى إلى تمثيل اليمن ككل، وليس قيمة رسمية مرصودة بذاتها.</x:v>
      </x:c>
      <x:c r="N87" s="24" t="str">
        <x:v>Balance-of-payments residual model. The underlying material has no publicly accessible original, so this record cannot be verified through this resource.</x:v>
      </x:c>
      <x:c r="O87" s="28" t="str">
        <x:v>نموذج متبقي ميزان المدفوعات. ولا يتوافر للمادة الأصلية رابط أصلي عام، لذلك لا يمكن التحقق من هذا السجل عبر هذا المورد.</x:v>
      </x:c>
      <x:c r="P87"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7" s="28" t="str">
        <x:v>ليس أي تقدير ناتج عن نموذج متبقي ميزان المدفوعات قيمة وطنية رسمية أو مرصودة، وليس المتبقي رصدًا مباشرًا للتحويلات عبر القنوات غير الرسمية. | تنتقل أخطاء مكونات ميزان المدفوعات الأخرى، والافتراض المعتمد لصافي السهو والخطأ، إلى متبقي التحويلات؛ والتحويلات عبر القنوات غير الرسمية ليست مرصودة مباشرة.</x:v>
      </x:c>
      <x:c r="R87" s="24" t="str">
        <x:v>The estimate refers to 2024. It is a model result rather than an observation and should not be read as describing a later year.</x:v>
      </x:c>
      <x:c r="S87" s="28" t="str">
        <x:v>يعود التقدير إلى عام 2024، وهو ناتج نموذج لا مشاهدة، ولا يُقرأ على أنه يصف سنة لاحقة.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The material behind this record has no public link to its original document, so no source is listed or linked here and no figure from that material is shown. Read the record as an explanation of method, not as a verifiable figure.</x:v>
      </x:c>
      <x:c r="W87"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7" s="24" t="str">
        <x:v>SRC-CCY-REMIT-ESTIMATE-2025; EP-CCY-REMIT-RESIDUAL-MODEL-K04</x:v>
      </x:c>
      <x:c r="Y87" s="24" t="str">
        <x:v>[]</x:v>
      </x:c>
      <x:c r="Z87" t="str">
        <x:v>BOUND_EXACT</x:v>
      </x:c>
    </x:row>
    <x:row r="88">
      <x:c r="A88" s="24" t="str">
        <x:v>CLM-045</x:v>
      </x:c>
      <x:c r="B88" s="24" t="str">
        <x:v>CLAIM</x:v>
      </x:c>
      <x:c r="C88" s="24" t="str">
        <x:v>/payments/ | /people/</x:v>
      </x:c>
      <x:c r="D88" s="24" t="str">
        <x:v>A successful cash payment is not yet durable financial use</x:v>
      </x:c>
      <x:c r="E88" s="28" t="str">
        <x:v>نجاح الدفع النقدي لا يعني بعدُ استخدامًا ماليًا مستمرًا</x:v>
      </x:c>
      <x:c r="F88"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8"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8" s="24" t="str">
        <x:v>This record sets out a measurement gap between successful delivery of a cash transfer and continued financial use after it; its only figure is the pilot's reported number of recipients.</x:v>
      </x:c>
      <x:c r="I88" s="28" t="str">
        <x:v>يحدد هذا السجل فجوة قياس بين نجاح إيصال التحويل النقدي واستمرار الاستخدام المالي بعده؛ والرقم الوحيد فيه هو عدد المستفيدين المُعلن للتجربة.</x:v>
      </x:c>
      <x:c r="J88" s="24" t="str">
        <x:v>Evidence published 2023–2026; the pilot material dates from May 2024, and the reference period of the 45,460 figure is not recorded here</x:v>
      </x:c>
      <x:c r="K88" s="28" t="str">
        <x:v>أدلة منشورة بين 2023 و2026؛ ومواد التجربة صادرة في مايو 2024، ولا يسجل هذا السجل الفترة المرجعية لرقم 45,460</x:v>
      </x:c>
      <x:c r="L88" s="24" t="str">
        <x:v>Local, programme and project populations as each source defines them</x:v>
      </x:c>
      <x:c r="M88" s="28" t="str">
        <x:v>النطاقات المحلية أو البرنامجية أو الخاصة بالمشروعات كما يحددها كل مصدر.</x:v>
      </x:c>
      <x:c r="N88" s="24" t="str">
        <x:v>A synthesis of programme and research evidence on each step from cash delivery to continued use, including World Bank/G2Px material on the pilot; no national prevalence figure is constructed.</x:v>
      </x:c>
      <x:c r="O88"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8" s="24" t="str">
        <x:v>Cash-transfer beneficiaries, village savings and loan associations (VSLAs), identity targets and opened accounts are not measures of durable financial use. The 45,460 figure is a programme-reported number of recipients, not a count of people who kept using an account. | Evidence exists for several intermediate links; durable use of an account or wallet after the transfer remains unobserved.</x:v>
      </x:c>
      <x:c r="Q88"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 توجد أدلة مفيدة على حلقات وسيطة، لكن الاستخدام المستمر للحساب/المحفظة بعد التحويل ما يزال غير مرصود.</x:v>
      </x:c>
      <x:c r="R88" s="24" t="str">
        <x:v>The latest evidence in this record was published in 2026; the pilot material dates from May 2024. The record should not be read as describing later programme reach or use unless newer evidence is published.</x:v>
      </x:c>
      <x:c r="S88"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This record is drawn from the source(s) listed on this page. Open a source record to reach the original document, and check that the definition, period, population and geography match what is stated here.</x:v>
      </x:c>
      <x:c r="W8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8" s="24" t="str">
        <x:v>SRC-WB-G2PX-YEM-UCT-2024-001; SRC-CCY-SAM-2024; SRC-CCY-ISP-2024; SRC-CCY-PRESSURE-2026; EP-YEM-CASH-FIN-TRANSMISSION-K04</x:v>
      </x:c>
      <x:c r="Y88" s="24" t="str">
        <x:v>[{"source_id": "SRC-WB-G2PX-YEM-UCT-2024-001", "url": "https://www.worldbank.org/en/events/2024/05/30/digitalizing-g2p-payments-in-yemen", "audit_state": "PRIMARY_OFFICIAL_PROGRAMME_CONTEXT"}]</x:v>
      </x:c>
      <x:c r="Z88" t="str">
        <x:v>BOUND_EXACT</x:v>
      </x:c>
    </x:row>
    <x:row r="89">
      <x:c r="A89" s="24" t="str">
        <x:v>CLM-046</x:v>
      </x:c>
      <x:c r="B89" s="24" t="str">
        <x:v>CLAIM</x:v>
      </x:c>
      <x:c r="C89" s="24" t="str">
        <x:v>/reforms/ | /finance/</x:v>
      </x:c>
      <x:c r="D89" s="24" t="str">
        <x:v>Pledge, agreement, deposit and disbursement are different stages of support</x:v>
      </x:c>
      <x:c r="E89" s="28" t="str">
        <x:v>التعهد والاتفاق والإيداع والصرف مراحل مختلفة للدعم</x:v>
      </x:c>
      <x:c r="F89" s="24" t="str">
        <x:v>Saudi support is recorded by stage. A pledge, commitment, signed agreement, deposited amount, amount made available, budget disbursement, FX-auction use, in-kind support and project cost are not interchangeable, and they are not added into a cumulative total here.</x:v>
      </x:c>
      <x:c r="G89"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89" s="24" t="str">
        <x:v>This record sets out a distinction and reports no value: a pledge, commitment, signed agreement, deposit, amount made available, budget disbursement, use in foreign-exchange auctions, in-kind support and project cost are different stages of Saudi support to Yemen.</x:v>
      </x:c>
      <x:c r="I89"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89" s="24" t="str">
        <x:v>2010–2026</x:v>
      </x:c>
      <x:c r="K89" s="28" t="str">
        <x:v>2010–2026</x:v>
      </x:c>
      <x:c r="L89" s="24" t="str">
        <x:v>Specific to each source or funding or support package</x:v>
      </x:c>
      <x:c r="M89" s="28" t="str">
        <x:v>النطاق الخاص بكل مصدر أو حزمة تمويل أو دعم.</x:v>
      </x:c>
      <x:c r="N89" s="24" t="str">
        <x:v>Evidence from donor and multilateral sources, read with AidData's historical method for classifying Saudi support to Yemen; the stages are kept separate and are not added together.</x:v>
      </x:c>
      <x:c r="O89" s="28" t="str">
        <x:v>أدلة من مصادر المانحين والمؤسسات متعددة الأطراف، تُقرأ مع منهج AidData التاريخي في تصنيف الدعم السعودي لليمن؛ وتُحفظ المراحل منفصلة ولا تُجمع.</x:v>
      </x:c>
      <x:c r="P89"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89"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89" s="24" t="str">
        <x:v>The evidence in this record spans 2010 to 2026. It should not be read as describing later support unless newer evidence is published.</x:v>
      </x:c>
      <x:c r="S89" s="28" t="str">
        <x:v>تمتد الأدلة في هذا السجل من 2010 إلى 2026، ولا تُقرأ على أنها تصف دعمًا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Some figures in this record are drawn from the source(s) listed on this page; other inputs have not yet been linked to a specific original source. Check each figure against a listed source before reuse, and treat any figure you cannot match as unverified.</x:v>
      </x:c>
      <x:c r="W8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89" s="24" t="str">
        <x:v>SRC-AIDDATA-SAUDI-YEM-2015; EP-SAUDI-SUPPORT-FLOWSTATE-K04; DS-K04-SAUDI-SUPPORT-TRANSMISSION; SRC-SPA-SAU-CBY-DEPOSIT-2018-001; SRC-SPA-SAU-CBY-DEPOSIT-2023-001; SRC-SPA-SAU-BUDGET-2026-001</x:v>
      </x:c>
      <x:c r="Y89" s="24" t="str">
        <x:v>[]</x:v>
      </x:c>
      <x:c r="Z89" t="str">
        <x:v>BOUND_PARTIAL</x:v>
      </x:c>
      <x:c r="AB89" t="str">
        <x:v>SRC-SPA-SAU-CBY-DEPOSIT-2018-001=primary factual evidence; SRC-SPA-SAU-CBY-DEPOSIT-2023-001=primary factual evidence; SRC-SPA-SAU-BUDGET-2026-001=primary factual evidence</x:v>
      </x:c>
    </x:row>
    <x:row r="90">
      <x:c r="A90" s="24" t="str">
        <x:v>CLM-047</x:v>
      </x:c>
      <x:c r="B90" s="24" t="str">
        <x:v>CLAIM</x:v>
      </x:c>
      <x:c r="C90" s="24" t="str">
        <x:v>/remittances/ | /methodology/</x:v>
      </x:c>
      <x:c r="D90" s="24" t="str">
        <x:v>A change in an external position is not automatically a transaction</x:v>
      </x:c>
      <x:c r="E90" s="28" t="str">
        <x:v>تغير المركز الخارجي لا يساوي تلقائيًا تدفقًا أو معاملة</x:v>
      </x:c>
      <x:c r="F90"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0"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0" s="24" t="str">
        <x:v>This record sets out a method rule for separating balance-of-payments transactions from other changes in Yemen's external asset and liability positions; it reports no value.</x:v>
      </x:c>
      <x:c r="I90" s="28" t="str">
        <x:v>يحدد هذا السجل قاعدة منهجية للفصل بين معاملات ميزان المدفوعات والتغيرات الأخرى في مراكز الأصول والخصوم الخارجية لليمن؛ ولا يورد قيمة.</x:v>
      </x:c>
      <x:c r="J90" s="24" t="str">
        <x:v>No values yet; this record sets out a method rule</x:v>
      </x:c>
      <x:c r="K90" s="28" t="str">
        <x:v>لا توجد بعد قيم منشورة؛ هذا السجل قاعدة منهجية</x:v>
      </x:c>
      <x:c r="L90" s="24" t="str">
        <x:v>As defined by the source concerned</x:v>
      </x:c>
      <x:c r="M90" s="28" t="str">
        <x:v>النطاق كما يحدده المصدر المعني.</x:v>
      </x:c>
      <x:c r="N90" s="24" t="str">
        <x:v>Method drawn from the IMF Balance of Payments and International Investment Position Manual, sixth edition (BPM6), its compilation guide, and the IMF's published strategy for moving to the seventh edition (BPM7).</x:v>
      </x:c>
      <x:c r="O90"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0"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0"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0" s="24" t="str">
        <x:v>This record sets out a method rule and has no observation date; Yemen's international investment position data are not yet in the public evidence base.</x:v>
      </x:c>
      <x:c r="S90" s="28" t="str">
        <x:v>يحدد هذا السجل قاعدة منهجية وليس له تاريخ مشاهدة؛ ولم تدخل بيانات وضع الاستثمار الدولي لليمن بعد قاعدة الأدلة العامة.</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This record is drawn from the source(s) listed on this page. Open a source record to reach the original document, and check that the definition, period, population and geography match what is stated here.</x:v>
      </x:c>
      <x:c r="W9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0" s="24" t="str">
        <x:v>SRC-IMF-BPM6; SRC-IMF-BPM6-COMP-GUIDE; SRC-IMF-BPM7-IMPLEMENTATION; EP-YEM-BOP-IIP-RECON-K04</x:v>
      </x:c>
      <x:c r="Y90" s="24" t="str">
        <x:v>[]</x:v>
      </x:c>
      <x:c r="Z90" t="str">
        <x:v>BOUND_EXACT</x:v>
      </x:c>
    </x:row>
    <x:row r="91">
      <x:c r="A91" s="24" t="str">
        <x:v>CLM-048</x:v>
      </x:c>
      <x:c r="B91" s="24" t="str">
        <x:v>CLAIM</x:v>
      </x:c>
      <x:c r="C91" s="24" t="str">
        <x:v>/methodology/ | /remittances/</x:v>
      </x:c>
      <x:c r="D91" s="24" t="str">
        <x:v>BPM7 updates the standard; it does not rewrite Yemen’s statistical history overnight</x:v>
      </x:c>
      <x:c r="E91" s="28" t="str">
        <x:v>الإصدار BPM7 يحدّث المعيار، لكنه لا يعيد كتابة السلاسل الإحصائية التاريخية لليمن فورًا</x:v>
      </x:c>
      <x:c r="F91"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1"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1" s="24" t="str">
        <x:v>This record sets out how Yemen's external-sector series are labelled during the move from the sixth to the seventh edition of the IMF Balance of Payments and International Investment Position Manual (BPM6 to BPM7); it reports no value.</x:v>
      </x:c>
      <x:c r="I91"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1" s="24" t="str">
        <x:v>The BPM7 transition period, and the currently published editions of Yemen's historical external-sector series.</x:v>
      </x:c>
      <x:c r="K91" s="28" t="str">
        <x:v>فترة الانتقال إلى BPM7، والنسخ المنشورة حاليًا من السلاسل التاريخية لبيانات القطاع الخارجي في اليمن.</x:v>
      </x:c>
      <x:c r="L91" s="24" t="str">
        <x:v>The international external-sector statistical standard and Yemen historical series published under their source-native standard/version.</x:v>
      </x:c>
      <x:c r="M91" s="28" t="str">
        <x:v>المعيار الدولي لإحصاءات القطاع الخارجي والسلاسل التاريخية اليمنية المنشورة وفق المعيار أو النسخة التي استخدمها مصدرها.</x:v>
      </x:c>
      <x:c r="N91" s="24" t="str">
        <x:v>Each Yemen series is recorded under the statistical standard and version its source used; a series is recorded as BPM7 only when its source explicitly revises, converts or republishes it under that standard.</x:v>
      </x:c>
      <x:c r="O91"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1" s="24" t="str">
        <x:v>The release of BPM7 does not mean that Yemen's historical data have been restated under it, or that Yemeni sources have already adopted it.</x:v>
      </x:c>
      <x:c r="Q91" s="28" t="str">
        <x:v>لا يعني صدور BPM7 أن البيانات التاريخية لليمن أُعيد عرضها وفقه، ولا أن المصادر اليمنية اعتمدته بالفعل.</x:v>
      </x:c>
      <x:c r="R91" s="24" t="str">
        <x:v>This record sets out a rule for recording statistical-standard versions and has no observation date.</x:v>
      </x:c>
      <x:c r="S91" s="28" t="str">
        <x:v>يحدد هذا السجل قاعدة لتسجيل إصدارات المعيار الإحصائي، وليس له تاريخ مشاهدة.</x:v>
      </x:c>
      <x:c r="T91" s="24" t="str">
        <x:v>This record is updated when an authoritative Yemen source explicitly adopts BPM7 for a series, or republishes or revises its historical observations under the new standard, or when an authoritative source is revised or replaced.</x:v>
      </x:c>
      <x:c r="U91"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SRC-IMF-BPM7-IMPLEMENTATION; SRC-IMF-BPM6</x:v>
      </x:c>
      <x:c r="Y91" s="24" t="str">
        <x:v>[]</x:v>
      </x:c>
      <x:c r="Z91" t="str">
        <x:v>BOUND_EXACT</x:v>
      </x:c>
    </x:row>
    <x:row r="92">
      <x:c r="A92" s="24" t="str">
        <x:v>CLM-049</x:v>
      </x:c>
      <x:c r="B92" s="24" t="str">
        <x:v>CLAIM</x:v>
      </x:c>
      <x:c r="C92" s="24" t="str">
        <x:v>/reforms/ | /evidence/</x:v>
      </x:c>
      <x:c r="D92" s="24" t="str">
        <x:v>IMF Staff-Monitored Program (SMP) for Yemen: staff-level agreement of July 2026, subject to Management approval</x:v>
      </x:c>
      <x:c r="E92" s="28" t="str">
        <x:v>برنامج يراقبه خبراء صندوق النقد الدولي (SMP) لليمن: اتفاق على مستوى الخبراء في يوليو 2026، مشروط بموافقة الإدارة</x:v>
      </x:c>
      <x:c r="F92"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x:v>
      </x:c>
      <x:c r="G92"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x:v>
      </x:c>
      <x:c r="H92" s="24" t="str">
        <x:v>The approval status of a proposed 18-month Staff-Monitored Program (SMP) of the International Monetary Fund (IMF) for Yemen, as announced by the IMF on 16 July 2026.</x:v>
      </x:c>
      <x:c r="I92" s="28" t="str">
        <x:v>وضع الموافقة على برنامج مقترح مدته 18 شهرًا يراقبه خبراء صندوق النقد الدولي (SMP) لليمن، كما أعلنه الصندوق في 16 يوليو 2026.</x:v>
      </x:c>
      <x:c r="J92" s="24" t="str">
        <x:v>16 July 2026; proposed 18-month IMF Staff-Monitored Program at staff-level agreement stage.</x:v>
      </x:c>
      <x:c r="K92" s="28" t="str">
        <x:v>16 يوليو 2026؛ برنامج مقترح مدته 18 شهرًا يراقبه خبراء صندوق النقد الدولي (SMP)، في مرحلة الاتفاق على مستوى الخبراء.</x:v>
      </x:c>
      <x:c r="L92" s="24" t="str">
        <x:v>The staff-level policy agreement between IMF staff and the Yemeni authorities, and the status of the proposed Staff-Monitored Program (SMP); not an Executive Board-approved financing arrangement.</x:v>
      </x:c>
      <x:c r="M92" s="28" t="str">
        <x:v>الاتفاق على مستوى الخبراء بين فريق خبراء صندوق النقد الدولي والسلطات اليمنية، ووضع البرنامج المقترح الذي يراقبه خبراء الصندوق (SMP)؛ وليس ترتيب تمويل معتمدًا من المجلس التنفيذي.</x:v>
      </x:c>
      <x:c r="N92" s="24" t="str">
        <x:v>The status is taken from the wording of the press release of the International Monetary Fund (IMF) of 16 July 2026: staff-level agreement, subject to IMF Management approval, with no Executive Board discussion and no IMF financing.</x:v>
      </x:c>
      <x:c r="O92"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2"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2"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2"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2"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2" s="24" t="str">
        <x:v>This record is updated when an authoritative source is revised or replaced, a newer comparable observation becomes available, the definition, population or method changes, or the conditions for public use change.</x:v>
      </x:c>
      <x:c r="U9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SRC-IMF-YEM-SMP-2026</x:v>
      </x:c>
      <x:c r="Y92" s="24" t="str">
        <x:v>[{"source_id":"SRC-IMF-YEM-SMP-2026","url":"https://www.imf.org/en/news/articles/2026/07/16/pr26249-yemen-imf-reaches-sla-on-new-staff-monitored-program","audit_state":"PASS_AUTHORITY_OR_PROVIDER_LOCATOR"}]</x:v>
      </x:c>
      <x:c r="Z92" t="str">
        <x:v>BOUND_EXACT</x:v>
      </x:c>
    </x:row>
    <x:row r="93">
      <x:c r="A93" s="24" t="str">
        <x:v>CLM-050</x:v>
      </x:c>
      <x:c r="B93" s="24" t="str">
        <x:v>CLAIM</x:v>
      </x:c>
      <x:c r="C93" s="24" t="str">
        <x:v>/payments/ | /people/ | /access/</x:v>
      </x:c>
      <x:c r="D93" s="24" t="str">
        <x:v>807,919 accounts did not mean 807,919 active people</x:v>
      </x:c>
      <x:c r="E93" s="28" t="str">
        <x:v>807,919 حسابًا لا تعني 807,919 شخصًا نشطًا</x:v>
      </x:c>
      <x:c r="F93"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3"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3" s="24" t="str">
        <x:v>The number of electronic-money accounts held with the five providers covered by the Institute of Banking Studies (IBS) study in December 2019, with the average share of those accounts that the study reports as dormant or inactive in 2019.</x:v>
      </x:c>
      <x:c r="I93"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3" s="24" t="str">
        <x:v>Dec-2019; contextual series 2016–2019</x:v>
      </x:c>
      <x:c r="K93" s="28" t="str">
        <x:v>ديسمبر 2019؛ سلسلة سياقية 2016–2019</x:v>
      </x:c>
      <x:c r="L93" s="24" t="str">
        <x:v>Five electronic-money providers/wallets captured by the study</x:v>
      </x:c>
      <x:c r="M93" s="28" t="str">
        <x:v>مقدمو خدمات/محافظ النقود الإلكترونية الخمسة الذين شملتهم الدراسة.</x:v>
      </x:c>
      <x:c r="N93" s="24" t="str">
        <x:v>Account totals and the dormant-account average as reported in the Institute of Banking Studies (IBS) study of electronic payment services in Yemen (2020), which compiled statistics from the five providers it covered.</x:v>
      </x:c>
      <x:c r="O93"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3" s="24" t="str">
        <x:v>The total is not a count of active users or unique people, a national inclusion rate or a 2026 level. | Accounts are not unique people and are not automatically active; the 23% is a source-wide average, not a provider-specific or current rate.</x:v>
      </x:c>
      <x:c r="Q93" s="28" t="str">
        <x:v>ليس الإجمالي عددًا لمستخدمين نشطين أو لأشخاص فريدين، ولا معدل شمول وطنيًا، ولا مستوى حاليًا لعام 2026. | الحسابات لا تساوي أشخاصًا فريدين ولا تكون نشطة تلقائيًا؛ ونسبة 23% متوسط يورده المصدر وليست نسبة خاصة بكل مقدم خدمة أو نسبة حالية.</x:v>
      </x:c>
      <x:c r="R93" s="24" t="str">
        <x:v>The account total refers to December 2019, within a study series covering 2016 to 2019. It should not be read as describing a later period unless a newer comparable observation is published.</x:v>
      </x:c>
      <x:c r="S93" s="28" t="str">
        <x:v>يعود إجمالي الحسابات إلى ديسمبر 2019 ضمن سلسلة دراسة تغطي 2016–2019، ولا يُقرأ على أنه يصف فترة لاحقة ما لم تُنشر مشاهدة أحدث قابلة للمقارنة.</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SRC-IBS-EPAY-YEM-2020; EP-IBS-EMONEY-2019-K04</x:v>
      </x:c>
      <x:c r="Y93" s="24" t="str">
        <x:v>[]</x:v>
      </x:c>
      <x:c r="Z93" t="str">
        <x:v>BOUND_EXACT</x:v>
      </x:c>
    </x:row>
    <x:row r="94">
      <x:c r="A94" s="24" t="str">
        <x:v>CLM-051</x:v>
      </x:c>
      <x:c r="B94" s="24" t="str">
        <x:v>CLAIM</x:v>
      </x:c>
      <x:c r="C94" s="24" t="str">
        <x:v>/payments/ | /evidence/compare/</x:v>
      </x:c>
      <x:c r="D94" s="24" t="str">
        <x:v>Most recorded 2019 e-money value still revolved around cash and account transfers</x:v>
      </x:c>
      <x:c r="E94" s="28" t="str">
        <x:v>معظم قيمة معاملات النقود الإلكترونية المسجلة في 2019 ظلت تدور حول النقد والتحويل بين الحسابات</x:v>
      </x:c>
      <x:c r="F94"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4"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4" s="24" t="str">
        <x:v>Shares of the total value of e-money transactions recorded in 2019 by the five providers covered by the Institute of Banking Studies (IBS) study, grouped by function.</x:v>
      </x:c>
      <x:c r="I94"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4" s="24" t="str">
        <x:v>2016–2019; derived comparison 2018–2019</x:v>
      </x:c>
      <x:c r="K94" s="28" t="str">
        <x:v>2016–2019؛ مقارنة مشتقة للفترة 2018–2019</x:v>
      </x:c>
      <x:c r="L94" s="24" t="str">
        <x:v>Transactions reported by the source for the five providers covered by the study</x:v>
      </x:c>
      <x:c r="M94" s="28" t="str">
        <x:v>المعاملات التي أوردها المصدر ضمن نطاق الدراسة المكوّن من خمسة مقدمي خدمات.</x:v>
      </x:c>
      <x:c r="N94"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4"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4"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4"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4" s="24" t="str">
        <x:v>The values refer to 2019, within a study series covering 2016 to 2019 (the derived comparison covers 2018 and 2019). They should not be read as describing a later period unless a newer comparable observation is published.</x:v>
      </x:c>
      <x:c r="S94"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EP-IBS-EMONEY-VALUE-K04</x:v>
      </x:c>
      <x:c r="Y94" s="24" t="str">
        <x:v>[]</x:v>
      </x:c>
      <x:c r="Z94" t="str">
        <x:v>BOUND_EXACT</x:v>
      </x:c>
    </x:row>
    <x:row r="95">
      <x:c r="A95" s="24" t="str">
        <x:v>CLM-052</x:v>
      </x:c>
      <x:c r="B95" s="24" t="str">
        <x:v>CLAIM</x:v>
      </x:c>
      <x:c r="C95" s="24" t="str">
        <x:v>/people/ | /payments/ | /access/</x:v>
      </x:c>
      <x:c r="D95" s="24" t="str">
        <x:v>Historical provider data show concentration in cities and low female representation</x:v>
      </x:c>
      <x:c r="E95" s="28" t="str">
        <x:v>تُظهر بيانات المزودين التاريخية تمركزًا في المدن وتمثيلًا نسائيًا منخفضًا</x:v>
      </x:c>
      <x:c r="F95"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5"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5" s="24" t="str">
        <x:v>The average share of e-money accounts or users in cities, and the average share of women, in the provider data covered by the Institute of Banking Studies (IBS) study for 2016–2019.</x:v>
      </x:c>
      <x:c r="I95"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5" s="24" t="str">
        <x:v>2016–2019</x:v>
      </x:c>
      <x:c r="K95" s="28" t="str">
        <x:v>2016–2019</x:v>
      </x:c>
      <x:c r="L95" s="24" t="str">
        <x:v>E-money accounts or users as reported by the source or by providers</x:v>
      </x:c>
      <x:c r="M95" s="28" t="str">
        <x:v>بيانات الحسابات أو المستخدمين للنقود الإلكترونية كما يوردها المصدر أو مقدم الخدمة.</x:v>
      </x:c>
      <x:c r="N95" s="24" t="str">
        <x:v>Averages and distributions as reported in the Institute of Banking Studies (IBS) study of electronic payment services in Yemen (2020), based on data from the providers it covered.</x:v>
      </x:c>
      <x:c r="O95"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5"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5"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5" s="24" t="str">
        <x:v>The averages cover 2016 to 2019. They should not be read as describing a later period unless a newer comparable observation is published.</x:v>
      </x:c>
      <x:c r="S95" s="28" t="str">
        <x:v>تغطي المتوسطات الفترة 2016–2019،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EP-IBS-GEO-GENDER-K04</x:v>
      </x:c>
      <x:c r="Y95" s="24" t="str">
        <x:v>[]</x:v>
      </x:c>
      <x:c r="Z95" t="str">
        <x:v>BOUND_EXACT</x:v>
      </x:c>
    </x:row>
    <x:row r="96">
      <x:c r="A96" s="24" t="str">
        <x:v>CLM-053</x:v>
      </x:c>
      <x:c r="B96" s="24" t="str">
        <x:v>CLAIM</x:v>
      </x:c>
      <x:c r="C96" s="24" t="str">
        <x:v>/finance/</x:v>
      </x:c>
      <x:c r="D96" s="24" t="str">
        <x:v>End-2023 borrower evidence is useful, but still secondary</x:v>
      </x:c>
      <x:c r="E96" s="28" t="str">
        <x:v>رقم المقترضين في نهاية 2023 مفيد، لكنه ما يزال دليلًا ثانويًا</x:v>
      </x:c>
      <x:c r="F96"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6"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6" s="24" t="str">
        <x:v>The number of active microfinance borrowers at end-2023 reported by a 2024 policy paper citing SFD/SMED data, for a set of providers that has not been verified.</x:v>
      </x:c>
      <x:c r="I96"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6" s="24" t="str">
        <x:v>End-2023</x:v>
      </x:c>
      <x:c r="K96" s="28" t="str">
        <x:v>نهاية 2023</x:v>
      </x:c>
      <x:c r="L96" s="24" t="str">
        <x:v>Microfinance providers covered by the SFD/SMED data cited in the 2024 policy paper; which providers are included has not yet been verified against the primary source.</x:v>
      </x:c>
      <x:c r="M96"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6"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6"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6"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6"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6" s="24" t="str">
        <x:v>The latest observation in this record refers to the end of 2023. No SFD/SMED figure for 2024 has been located, so the value should not be read as describing 2024 or later.</x:v>
      </x:c>
      <x:c r="S96" s="28" t="str">
        <x:v>تعود أحدث مشاهدة في هذا السجل إلى نهاية 2023. ولم يُعثر على رقم لعام 2024 من SFD/SMED، لذلك لا يُقرأ الرقم على أنه يصف 2024 أو ما بعدها.</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SRC-SANAA-MFB-2024; EP-MFB-BORROWERS-2023-K04; SRC-SFD-SMED-LP-2023-NOV</x:v>
      </x:c>
      <x:c r="Y96" s="24" t="str">
        <x:v>[]</x:v>
      </x:c>
      <x:c r="Z96" t="str">
        <x:v>BOUND_EXACT</x:v>
      </x:c>
      <x:c r="AB96" t="str">
        <x:v>SRC-SFD-SMED-LP-2023-NOV=context</x:v>
      </x:c>
    </x:row>
    <x:row r="97">
      <x:c r="A97" s="24" t="str">
        <x:v>CLM-054</x:v>
      </x:c>
      <x:c r="B97" s="24" t="str">
        <x:v>CLAIM</x:v>
      </x:c>
      <x:c r="C97" s="24" t="str">
        <x:v>/finance/ | /evidence/compare/</x:v>
      </x:c>
      <x:c r="D97" s="24" t="str">
        <x:v>Borrower, saver and portfolio figures come from different sources and definitions and do not yet form one trend</x:v>
      </x:c>
      <x:c r="E97" s="28" t="str">
        <x:v>تأتي أرقام المقترضين والمدخرين ومحفظة القروض من مصادر وتعريفات مختلفة، ولا تشكل بعدُ اتجاهًا واحدًا</x:v>
      </x:c>
      <x:c r="F97"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7"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7"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7"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7" s="24" t="str">
        <x:v>End-2015 and end-2020 (verified primary tables), set beside end-2023 (a secondary figure citing SFD/SMED data).</x:v>
      </x:c>
      <x:c r="K97" s="28" t="str">
        <x:v>نهاية 2015 ونهاية 2020 (جداول أصلية موثقة)، إلى جانب نهاية 2023 (رقم ثانوي يستند إلى بيانات SFD/SMED).</x:v>
      </x:c>
      <x:c r="L97" s="24" t="str">
        <x:v>Microfinance borrower, saver/depositor and nominal-portfolio measures drawn from provider and reporting groups defined by each source, which are not yet fully harmonized across years.</x:v>
      </x:c>
      <x:c r="M97"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7"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7"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7" s="24" t="str">
        <x:v>The figures do not show broader inclusion, real credit deepening, a harmonized trend, improved borrower outcomes, a causal effect, growth in unique people or an unchanged set of providers.</x:v>
      </x:c>
      <x:c r="Q97"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7"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7"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SRC-SFD-Q4-2015-001; SRC-SFD-Q4-2020-001; SRC-SANAA-MFB-2024; SRC-CBY-001; INS-K04-023</x:v>
      </x:c>
      <x:c r="Y97" s="24" t="str">
        <x:v>[]</x:v>
      </x:c>
      <x:c r="Z97" t="str">
        <x:v>BOUND_EXACT</x:v>
      </x:c>
    </x:row>
    <x:row r="98">
      <x:c r="A98" s="24" t="str">
        <x:v>CLM-055</x:v>
      </x:c>
      <x:c r="B98" s="24" t="str">
        <x:v>CLAIM</x:v>
      </x:c>
      <x:c r="C98" s="24" t="str">
        <x:v>/providers/ | /finance/</x:v>
      </x:c>
      <x:c r="D98" s="24" t="str">
        <x:v>Being listed as a microfinance bank does not establish operation or outreach</x:v>
      </x:c>
      <x:c r="E98" s="28" t="str">
        <x:v>الإدراج كبنك تمويل أصغر لا يثبت التشغيل أو الوصول الفعلي</x:v>
      </x:c>
      <x:c r="F98" s="24" t="str">
        <x:v>The list of licensed banks of the Central Bank of Yemen – Aden (CBY-Aden), as checked on 3 October 2026, names 26 banks; 12 of them are classified as microfinance banks on the basis of their names in the source. This establishes a dated listing and classification only: being listed or licensed does not mean operating, active or reaching underserved clients.</x:v>
      </x:c>
      <x:c r="G9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8" s="24" t="str">
        <x:v>The number of banks on the licensed-bank list of the Central Bank of Yemen – Aden (CBY-Aden), as checked on 3 October 2026, that are classified as microfinance banks on the basis of their names in the list.</x:v>
      </x:c>
      <x:c r="I98" s="28" t="str">
        <x:v>عدد البنوك الواردة في قائمة البنوك المرخصة لدى البنك المركزي اليمني – عدن، كما اطُّلع عليها في 3 أكتوبر 2026، والمصنفة بنوكَ تمويل أصغر استنادًا إلى تسمياتها في القائمة.</x:v>
      </x:c>
      <x:c r="J98" s="24" t="str">
        <x:v>List as checked on 3 October 2026</x:v>
      </x:c>
      <x:c r="K98" s="28" t="str">
        <x:v>القائمة كما اطُّلع عليها في 3 أكتوبر 2026</x:v>
      </x:c>
      <x:c r="L98" s="24" t="str">
        <x:v>Banks named on the licensed-bank list of the Central Bank of Yemen – Aden (CBY-Aden); list presence is not proof of current operation, branch footprint, product availability or market share</x:v>
      </x:c>
      <x:c r="M98"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8" s="24" t="str">
        <x:v>A count of the banks named on the licensed-bank list published by the Central Bank of Yemen – Aden (CBY-Aden), as checked on 3 October 2026; 12 of them are classified as microfinance banks on the basis of their names in the list. The list establishes listing or licensing by CBY-Aden; it does not by itself establish current operation, service availability or geographic reach.</x:v>
      </x:c>
      <x:c r="O98" s="28" t="str">
        <x:v>عدّ البنوك الواردة في قائمة البنوك المرخصة التي ينشرها البنك المركزي اليمني – عدن، كما اطُّلع عليها في 3 أكتوبر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8"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8"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8" s="24" t="str">
        <x:v>This record reflects the licensed-bank list of the Central Bank of Yemen – Aden (CBY-Aden) as checked on 3 October 2026. It should not be read as describing a later date unless a newer version of the list is checked.</x:v>
      </x:c>
      <x:c r="S98"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SRC-CBY-BANKLIST-AR-2026-001; EP-CBY-BANK-ROSTER-2026</x:v>
      </x:c>
      <x:c r="Y98" s="24" t="str">
        <x:v>[]</x:v>
      </x:c>
      <x:c r="Z98" t="str">
        <x:v>BOUND_EXACT</x:v>
      </x:c>
    </x:row>
    <x:row r="99">
      <x:c r="A99" s="24" t="str">
        <x:v>CLM-056</x:v>
      </x:c>
      <x:c r="B99" s="24" t="str">
        <x:v>CLAIM</x:v>
      </x:c>
      <x:c r="C99" s="24" t="str">
        <x:v>/finance/ | /evidence/compare/</x:v>
      </x:c>
      <x:c r="D99" s="24" t="str">
        <x:v>The 91% figure is supportable only as a source-attributed share of saver growth—not as a verified 2023 depositor stock share</x:v>
      </x:c>
      <x:c r="E99" s="28" t="str">
        <x:v>يمكن إسناد نسبة 91% فقط بوصفها حصة من نمو المدخرين وفق المصدر، لا بوصفها حصة محققة من رصيد المودعين في 2023</x:v>
      </x:c>
      <x:c r="F99"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99"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99" s="24" t="str">
        <x:v>The 91% share of growth in microfinance savers that a 2024 policy paper attributes to Al-Kuraimi; the 2023 provider-level numerator, denominator and calculation behind it have not been reproduced.</x:v>
      </x:c>
      <x:c r="I99"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99" s="24" t="str">
        <x:v>A statement about 2023 published in 2024, and its restatement in 2025.</x:v>
      </x:c>
      <x:c r="K99" s="28" t="str">
        <x:v>عبارة تخص عام 2023 نُشرت في 2024، وإعادة عرضها في 2025.</x:v>
      </x:c>
      <x:c r="L99" s="24" t="str">
        <x:v>Two distinct metrics: share of saver growth versus share of depositor/saver stock. The 2023 figure of 91% cannot be moved from one measure to the other without a reproduced numerator and denominator.</x:v>
      </x:c>
      <x:c r="M99"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99"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99"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99" s="24" t="str">
        <x:v>It does not establish a verified 2023 stock share, a share of unique clients or a general market share for any provider. | The source's wording concerns a share of growth; the 2023 calculation and the later restatement remain unresolved.</x:v>
      </x:c>
      <x:c r="Q99"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99" s="24" t="str">
        <x:v>The statement refers to 2023 and was restated in 2025; the evidence base holds no later provider-level figure. Its status changes only if primary 2023 provider data reproduce the measure or the source issues an explicit correction or clarification.</x:v>
      </x:c>
      <x:c r="S99"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Some figures in this record are drawn from the source(s) listed on this page; other inputs have not yet been linked to a specific original source. Check each figure against a listed source before reuse, and treat any figure you cannot match as unverified.</x:v>
      </x:c>
      <x:c r="W9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9" s="24" t="str">
        <x:v>SRC-SANAA-MFB-2024; SRC-SANAA-YR-2025-Q2-MFB; CON-057; DS-V041-STRICT-COUNSEL</x:v>
      </x:c>
      <x:c r="Y99" s="24" t="str">
        <x:v>[]</x:v>
      </x:c>
      <x:c r="Z99" t="str">
        <x:v>BOUND_PARTIAL</x:v>
      </x:c>
    </x:row>
    <x:row r="100">
      <x:c r="A100" s="24" t="str">
        <x:v>CLM-057</x:v>
      </x:c>
      <x:c r="B100" s="24" t="str">
        <x:v>CLAIM</x:v>
      </x:c>
      <x:c r="C100" s="24" t="str">
        <x:v>/finance/ | /evidence/</x:v>
      </x:c>
      <x:c r="D100" s="24" t="str">
        <x:v>June and end-2023 borrower points are not one continuous series</x:v>
      </x:c>
      <x:c r="E100" s="28" t="str">
        <x:v>نقطتا يونيو ونهاية 2023 للمقترضين ليستا سلسلة مستمرة واحدة</x:v>
      </x:c>
      <x:c r="F100"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0"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0" s="24" t="str">
        <x:v>Two counts of active microfinance borrowers in 2023, about 80,800 cited for June and 78,686 for the end of the year, reported through different source chains.</x:v>
      </x:c>
      <x:c r="I100" s="28" t="str">
        <x:v>عددان للمقترضين النشطين في التمويل الأصغر في 2023: نحو 80,800 مذكوران ليونيو، و78,686 لنهاية السنة، وردا عبر سلسلتي مصادر مختلفتين.</x:v>
      </x:c>
      <x:c r="J100" s="24" t="str">
        <x:v>June 2023 and end-2023 active-borrower observations from separate source chains.</x:v>
      </x:c>
      <x:c r="K100" s="28" t="str">
        <x:v>مشاهدتان للمقترضين النشطين في يونيو 2023 ونهاية 2023 من سلسلتي مصادر مختلفتين.</x:v>
      </x:c>
      <x:c r="L100" s="24" t="str">
        <x:v>Active-borrower observations for which it has not yet been shown that the June and year-end points cover the same providers and use the same source method.</x:v>
      </x:c>
      <x:c r="M100" s="28" t="str">
        <x:v>مشاهدات للمقترضين النشطين لم يثبت بعد أن نطاق مقدمي الخدمات وطريقة المصدر متطابقان بين نقطة يونيو ونقطة نهاية العام.</x:v>
      </x:c>
      <x:c r="N100" s="24" t="str">
        <x:v>Both figures are taken as reported in two 2024 policy papers that cite different upstream sources. The observations are kept separate, and no change between them is calculated, because their provider sets and methods have not been compared and reconciled.</x:v>
      </x:c>
      <x:c r="O100"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0" s="24" t="str">
        <x:v>The two figures do not establish a decline between June and the end of 2023, monthly values between them, or a continuous series, while the provider sets behind them remain unreconciled.</x:v>
      </x:c>
      <x:c r="Q100"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0" s="24" t="str">
        <x:v>Both observations refer to 2023, the later one to the end of the year; neither describes microfinance after 2023. They remain separate points unless the sources and provider sets are reconciled.</x:v>
      </x:c>
      <x:c r="S100"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This record is drawn from the source(s) listed on this page. Open a source record to reach the original document, and check that the definition, period, population and geography match what is stated here.</x:v>
      </x:c>
      <x:c r="W10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0" s="24" t="str">
        <x:v>SRC-SANAA-SOCPROT-2024; SRC-SANAA-MFB-2024; CON-058</x:v>
      </x:c>
      <x:c r="Y100" s="24" t="str">
        <x:v>[]</x:v>
      </x:c>
      <x:c r="Z100" t="str">
        <x:v>BOUND_EXACT</x:v>
      </x:c>
    </x:row>
    <x:row r="101">
      <x:c r="A101" s="24" t="str">
        <x:v>CLM-058</x:v>
      </x:c>
      <x:c r="B101" s="24" t="str">
        <x:v>CLAIM</x:v>
      </x:c>
      <x:c r="C101" s="24" t="str">
        <x:v>/finance/</x:v>
      </x:c>
      <x:c r="D101" s="24" t="str">
        <x:v>Through 2021, the World Bank reports a broadly flat borrower base while average loan amounts rose</x:v>
      </x:c>
      <x:c r="E101" s="28" t="str">
        <x:v>حتى 2021، يفيد البنك الدولي بأن قاعدة المقترضين ظلت مستقرة تقريبًا بينما ارتفع متوسط حجم التمويل</x:v>
      </x:c>
      <x:c r="F101"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1"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1" s="24" t="str">
        <x:v>The World Bank's account, in its 2024 Yemen Financial Sector Diagnostics, of how the number of active microfinance borrowers and average loan amounts moved through 2021.</x:v>
      </x:c>
      <x:c r="I101" s="28" t="str">
        <x:v>ما يورده البنك الدولي في «تشخيص القطاع المالي في اليمن (2024)» عن حركة عدد المقترضين النشطين في التمويل الأصغر ومتوسط حجم التمويل حتى 2021.</x:v>
      </x:c>
      <x:c r="J101" s="24" t="str">
        <x:v>Historical evidence through 2021.</x:v>
      </x:c>
      <x:c r="K101" s="28" t="str">
        <x:v>دليل تاريخي حتى عام 2021.</x:v>
      </x:c>
      <x:c r="L101" s="24" t="str">
        <x:v>Yemen microfinance borrower and average-loan measures summarized in the World Bank Financial Sector Diagnostics, within the source's sector coverage.</x:v>
      </x:c>
      <x:c r="M101" s="28" t="str">
        <x:v>مقاييس المقترضين ومتوسط حجم القرض في التمويل الأصغر باليمن كما يلخصها تشخيص القطاع المالي للبنك الدولي، ضمن نطاق القطاع الذي يغطيه المصدر.</x:v>
      </x:c>
      <x:c r="N101" s="24" t="str">
        <x:v>Taken from the World Bank's Yemen Financial Sector Diagnostics (2024), which summarizes sector evidence through 2021; this resource reports the source's statement on borrower numbers and average loan amounts as published and does not recompute it.</x:v>
      </x:c>
      <x:c r="O101"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1"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1"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1" s="24" t="str">
        <x:v>The finding covers evidence through 2021 in a source published in 2024. It is not a conclusion about 2023 or 2026, and newer comparable sector evidence would be needed before it could describe the current market.</x:v>
      </x:c>
      <x:c r="S101"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SRC-WB-FSD-2024-001</x:v>
      </x:c>
      <x:c r="Y101" s="24" t="str">
        <x:v>[{"source_id":"SRC-WB-FSD-2024-001","url":"https://documents1.worldbank.org/curated/en/099102324070011985/pdf/P177631-d18a7ee4-3fcf-4393-9665-77f98b3e43a7.pdf","audit_state":"PASS_AUTHORITY_OR_PROVIDER_LOCATOR"}]</x:v>
      </x:c>
      <x:c r="Z101" t="str">
        <x:v>BOUND_EXACT</x:v>
      </x:c>
    </x:row>
    <x:row r="102">
      <x:c r="A102" s="24" t="str">
        <x:v>CLM-032</x:v>
      </x:c>
      <x:c r="B102" s="24" t="str">
        <x:v>CLAIM</x:v>
      </x:c>
      <x:c r="C102" s="24" t="str">
        <x:v>/remittances/ | /evidence/compare/</x:v>
      </x:c>
      <x:c r="D102" s="24" t="str">
        <x:v>Same reference year, different published value</x:v>
      </x:c>
      <x:c r="E102" s="28" t="str">
        <x:v>السنة المرجعية نفسها، وقيمة منشورة مختلفة</x:v>
      </x:c>
      <x:c r="F102"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x:v>
      </x:c>
      <x:c r="G102" s="28" t="str">
        <x:v>تنشر التقارير السنوية للبنك المركزي اليمني – عدن قيمًا مختلفة بصورة جوهرية للتحويلات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x:v>
      </x:c>
      <x:c r="H102" s="24" t="str">
        <x:v>A revision in the published value for the same reference year across different editions of the publication.</x:v>
      </x:c>
      <x:c r="I102" s="28" t="str">
        <x:v>مراجعة في القيمة المنشورة للسنة المرجعية نفسها بين نسخ نشر مختلفة.</x:v>
      </x:c>
      <x:c r="J102" s="24" t="str">
        <x:v>Reference years 2020–2025 in the 2022–2025 annual reports; IMF method work 2024–2025</x:v>
      </x:c>
      <x:c r="K102" s="28" t="str">
        <x:v>سنوات مرجعية 2020–2025 عبر تقارير 2022–2025؛ والعمل المنهجي لصندوق النقد 2024–2025</x:v>
      </x:c>
      <x:c r="L102" s="24" t="str">
        <x:v>The remittance series published in the balance of payments of the Central Bank of Yemen – Aden (CBY-Aden); its exact territorial and conceptual mapping to the IMF reconstruction for areas under the internationally recognized government remains open</x:v>
      </x:c>
      <x:c r="M102" s="28" t="str">
        <x:v>سلسلة التحويلات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2"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x:v>
      </x:c>
      <x:c r="O102"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x:v>
      </x:c>
      <x:c r="P102"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x:v>
      </x:c>
      <x:c r="Q102"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x:v>
      </x:c>
      <x:c r="R102" s="24" t="str">
        <x:v>The record covers reference years 2020 to 2025 as published in the 2022 to 2025 annual reports of the Central Bank of Yemen – Aden (CBY-Aden); the restatement concerns 2024, first published in the 2024 annual report and restated in the 2025 annual report. It should not be read as describing a later edition unless a newer annual report is published.</x:v>
      </x:c>
      <x:c r="S102" s="28" t="str">
        <x:v>يغطي السجل السنوات المرجعية من 2020 إلى 2025 كما نُشرت في التقارير السنوية للبنك المركزي اليمني – عدن من 2022 إلى 2025؛ وتخص إعادة العرض عام 2024، الذي نُشر أولًا في التقرير السنوي 2024 ثم أُعيد عرضه في التقرير السنوي 2025. ولا يُقرأ السجل على أنه يصف نسخة لاحقة ما لم يُنشر تقرير سنوي أحدث.</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SRC-CBY-AR2024-BOP; SRC-CBY-AR2025-BOP; K04-CBY-060; AVA-004; EP-CBY-REMITTANCE-VINTAGE-K04</x:v>
      </x:c>
      <x:c r="Y102" s="24" t="str">
        <x:v>["SRC-CBY-AR2024-BOP", "SRC-CBY-AR2025-BOP"]</x:v>
      </x:c>
      <x:c r="Z102" t="str">
        <x:v>BOUND_EXACT</x:v>
      </x:c>
    </x:row>
    <x:row r="103">
      <x:c r="A103" s="24" t="str">
        <x:v>CLM-033</x:v>
      </x:c>
      <x:c r="B103" s="24" t="str">
        <x:v>CLAIM</x:v>
      </x:c>
      <x:c r="C103" s="24" t="str">
        <x:v>/finance/ | /firms/ | /evidence/compare/</x:v>
      </x:c>
      <x:c r="D103" s="24" t="str">
        <x:v>A measured banking jump can partly be a valuation change</x:v>
      </x:c>
      <x:c r="E103" s="28" t="str">
        <x:v>قد يعود جزء من القفزة في الأرقام المصرفية إلى تغيّر في أسلوب التقييم</x:v>
      </x:c>
      <x:c r="F103"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3"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3" s="24" t="str">
        <x:v>A methodological or valuation break that changes reported levels without necessarily representing the same-sized economic change.</x:v>
      </x:c>
      <x:c r="I103" s="28" t="str">
        <x:v>انقطاع في المنهج أو في أسلوب التقييم يغيّر المستويات المنشورة من دون أن يعني بالضرورة تغيرًا اقتصاديًا بالحجم نفسه.</x:v>
      </x:c>
      <x:c r="J103" s="24" t="str">
        <x:v>2022 positions as published in the 2022 annual report and as restated from the 2023 annual report onward</x:v>
      </x:c>
      <x:c r="K103" s="28" t="str">
        <x:v>مراكز عام 2022 كما نُشرت في التقرير السنوي 2022 وكما أُعيد عرضها ابتداءً من التقرير السنوي 2023</x:v>
      </x:c>
      <x:c r="L103" s="24" t="str">
        <x:v>Consolidated commercial and Islamic bank balance-sheet stocks</x:v>
      </x:c>
      <x:c r="M103" s="28" t="str">
        <x:v>أرصدة الميزانيات المجمعة للبنوك التجارية والإسلامية.</x:v>
      </x:c>
      <x:c r="N103" s="24" t="str">
        <x:v>Annual reports of the Central Bank of Yemen – Aden (CBY-Aden) for 2022 and for 2023 onward; the 2023 annual report contains an explicit note on valuing foreign-currency positions at the market exchange rate.</x:v>
      </x:c>
      <x:c r="O103"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x:v>
      </x:c>
      <x:c r="P103"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3"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3" s="24" t="str">
        <x:v>This record applies to the 2022 positions as published in the 2022 annual report and as restated from the 2023 annual report onward. It should not be read as describing later positions.</x:v>
      </x:c>
      <x:c r="S103" s="28" t="str">
        <x:v>ينطبق هذا السجل على مراكز عام 2022 كما نُشرت في التقرير السنوي 2022 وكما أُعيد عرضها ابتداءً من التقرير السنوي 2023، ولا يُقرأ على أنه يصف مراكز لاحقة.</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SRC-CBY-AR2022-001; SRC-CBY-AR2023-001; K04-CBY-061; AVA-005..008; EP-CBY-BANKING-REVAL-K04</x:v>
      </x:c>
      <x:c r="Y103" s="24" t="str">
        <x:v>["SRC-CBY-AR2022-001", "SRC-CBY-AR2023-001"]</x:v>
      </x:c>
      <x:c r="Z103" t="str">
        <x:v>BOUND_EXACT</x:v>
      </x:c>
    </x:row>
    <x:row r="104">
      <x:c r="A104" s="24" t="str">
        <x:v>CLM-034</x:v>
      </x:c>
      <x:c r="B104" s="24" t="str">
        <x:v>CLAIM</x:v>
      </x:c>
      <x:c r="C104" s="24" t="str">
        <x:v>/remittances/ | /methodology/</x:v>
      </x:c>
      <x:c r="D104" s="24" t="str">
        <x:v>A smoother published path is a methods question, not a conclusion</x:v>
      </x:c>
      <x:c r="E104" s="28" t="str">
        <x:v>المسار المنشور الأكثر سلاسة سؤال منهجي، لا استنتاج</x:v>
      </x:c>
      <x:c r="F104"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4" s="28" t="str">
        <x:v>تُظهر سلسلة التحويلات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للتحويلات.</x:v>
      </x:c>
      <x:c r="H104" s="24" t="str">
        <x:v>The annual growth rates of the remittance series in the Central Bank of Yemen – Aden (CBY-Aden) Annual Report 2025, compared across the overlapping years 2021–2025.</x:v>
      </x:c>
      <x:c r="I104" s="28" t="str">
        <x:v>معدلات النمو السنوية لسلسلة التحويلات في التقرير السنوي 2025 للبنك المركزي اليمني – عدن، مقارنةً عبر السنوات المتداخلة 2021–2025.</x:v>
      </x:c>
      <x:c r="J104" s="24" t="str">
        <x:v>Remittance series for the overlapping years 2021–2025, as published in the CBY-Aden Annual Report 2025.</x:v>
      </x:c>
      <x:c r="K104" s="28" t="str">
        <x:v>سلسلة التحويلات للسنوات المتداخلة 2021–2025 كما نُشرت في التقرير السنوي 2025 للبنك المركزي اليمني – عدن.</x:v>
      </x:c>
      <x:c r="L104" s="24" t="str">
        <x:v>The remittance series as defined and published within the CBY-Aden Annual Report 2025; not all remittance channels or household receipts.</x:v>
      </x:c>
      <x:c r="M104" s="28" t="str">
        <x:v>سلسلة التحويلات كما عرّفها ونشرها التقرير السنوي 2025 للبنك المركزي، وليست جميع قنوات التحويل أو تحويلات الأسر المستلمة.</x:v>
      </x:c>
      <x:c r="N104" s="24" t="str">
        <x:v>Year-on-year growth rates computed by this resource from the remittance values in one published edition, the Central Bank of Yemen – Aden (CBY-Aden) Annual Report 2025, and compared across years as a check on method.</x:v>
      </x:c>
      <x:c r="O104" s="28" t="str">
        <x:v>معدلات نمو سنوية احتسبها هذا المورد من قيم التحويلات في نسخة منشورة واحدة هي التقرير السنوي 2025 للبنك المركزي اليمني – عدن، وقورنت عبر السنوات بوصفها فحصًا منهجيًا.</x:v>
      </x:c>
      <x:c r="P104" s="24" t="str">
        <x:v>The pattern does not establish smoothing, interpolation or low real-world volatility.</x:v>
      </x:c>
      <x:c r="Q104" s="28" t="str">
        <x:v>لا يثبت النمط الظاهر في السلسلة المنشورة وجود تنعيم أو استيفاء أو انخفاض في التقلب الفعلي.</x:v>
      </x:c>
      <x:c r="R104" s="24" t="str">
        <x:v>The pattern refers to the remittance series as published in the Central Bank of Yemen – Aden (CBY-Aden) Annual Report 2025. It may change if CBY-Aden revises the series or publishes a newer annual report.</x:v>
      </x:c>
      <x:c r="S104" s="28" t="str">
        <x:v>يعود النمط إلى سلسلة التحويلات كما نُشرت في التقرير السنوي 2025 للبنك المركزي اليمني – عدن، وقد يتغير إذا راجع البنك المركزي في عدن السلسلة أو نشر تقريرًا سنويًا أحدث.</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SRC-CBY-AR2025-BOP; K04-CBY-060; DN-CBY-022</x:v>
      </x:c>
      <x:c r="Y104" s="24" t="str">
        <x:v>["SRC-CBY-AR2025-BOP"]</x:v>
      </x:c>
      <x:c r="Z104" t="str">
        <x:v>BOUND_EXACT</x:v>
      </x:c>
    </x:row>
    <x:row r="105">
      <x:c r="A105" s="24" t="str">
        <x:v>CLM-035</x:v>
      </x:c>
      <x:c r="B105" s="24" t="str">
        <x:v>CLAIM</x:v>
      </x:c>
      <x:c r="C105" s="24" t="str">
        <x:v>/remittances/ | /finance/ | /evidence/compare/</x:v>
      </x:c>
      <x:c r="D105" s="24" t="str">
        <x:v>The apparent balance between remittances and donor financing changes between editions of the annual report</x:v>
      </x:c>
      <x:c r="E105" s="28" t="str">
        <x:v>تتغير الصورة النسبية للتحويلات وتمويل المانحين باختلاف إصدار التقرير السنوي</x:v>
      </x:c>
      <x:c r="F105"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5"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5" s="24" t="str">
        <x:v>The ratio of the remittance item to the donor-financing item for the 2024 reference year, calculated within each of two editions of the Central Bank of Yemen – Aden (CBY-Aden) annual report.</x:v>
      </x:c>
      <x:c r="I105" s="28" t="str">
        <x:v>نسبة بند التحويلات إلى بند تمويل المانحين للسنة المرجعية 2024، محسوبة داخل كل من نسختين من التقرير السنوي للبنك المركزي اليمني – عدن.</x:v>
      </x:c>
      <x:c r="J105" s="24" t="str">
        <x:v>2024 reference year compared in the CBY-Aden Annual Reports 2024 and 2025.</x:v>
      </x:c>
      <x:c r="K105" s="28" t="str">
        <x:v>السنة المرجعية 2024 كما تظهر في التقريرين السنويين 2024 و2025 للبنك المركزي اليمني – عدن.</x:v>
      </x:c>
      <x:c r="L105" s="24" t="str">
        <x:v>Two balance-of-payments items of the Central Bank of Yemen – Aden (CBY-Aden), labelled by the source as remittances and donor financing, within each annual-report edition; not all aid, official development assistance (ODA) or external finance</x:v>
      </x:c>
      <x:c r="M105"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5" s="24" t="str">
        <x:v>Computed by this resource within each annual-report edition: the 2024 remittance item divided by the 2024 donor-financing item, both as labelled and published in that edition (the 2024 annual report, and the 2025 annual report with its restated 2024 values).</x:v>
      </x:c>
      <x:c r="O105"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5" s="24" t="str">
        <x:v>The ratio does not describe all aid, official development assistance or external finance, and it does not rank flows that are defined differently.</x:v>
      </x:c>
      <x:c r="Q105" s="28" t="str">
        <x:v>لا تصف النسبة جميع المساعدات أو المساعدة الإنمائية الرسمية أو جميع أشكال التمويل الخارجي، ولا ترتّب تدفقات تختلف تعريفاتها.</x:v>
      </x:c>
      <x:c r="R105" s="24" t="str">
        <x:v>The comparison refers to the 2024 reference year as published in the 2024 and 2025 annual reports. It is recalculated if either item is revised in a later annual report.</x:v>
      </x:c>
      <x:c r="S105" s="28" t="str">
        <x:v>تعود المقارنة إلى السنة المرجعية 2024 كما نُشرت في التقريرين السنويين 2024 و2025، ويُعاد الحساب إذا روجع أي من البندين في تقرير سنوي لاحق.</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SRC-CBY-AR2024-BOP; SRC-CBY-AR2025-BOP; K04-CBY-062</x:v>
      </x:c>
      <x:c r="Y105" s="24" t="str">
        <x:v>["SRC-CBY-AR2024-BOP", "SRC-CBY-AR2025-BOP"]</x:v>
      </x:c>
      <x:c r="Z105" t="str">
        <x:v>BOUND_EXACT</x:v>
      </x:c>
    </x:row>
    <x:row r="106">
      <x:c r="A106" s="24" t="str">
        <x:v>CLM-036</x:v>
      </x:c>
      <x:c r="B106" s="24" t="str">
        <x:v>CLAIM</x:v>
      </x:c>
      <x:c r="C106" s="24" t="str">
        <x:v>/remittances/ | /methodology/</x:v>
      </x:c>
      <x:c r="D106" s="24" t="str">
        <x:v>A reconstruction programme is documented; the exact CBY formula is not</x:v>
      </x:c>
      <x:c r="E106" s="28" t="str">
        <x:v>إعادة البناء الإحصائي موثقة، أما صيغة البنك المركزي الدقيقة فليست كذلك</x:v>
      </x:c>
      <x:c r="F106"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6"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للتحويلات في تقرير البنك المركزي لعام 2025.</x:v>
      </x:c>
      <x:c r="H106" s="24" t="str">
        <x:v>This record describes the documented work of the IMF with the Central Bank of Yemen – Aden (CBY-Aden) in 2024–2025 to reconstruct external-sector statistics, including a model of personal transfers; it reports no value.</x:v>
      </x:c>
      <x:c r="I106"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6" s="24" t="str">
        <x:v>2014–2025 reconstruction / 2025–26 publication cycle</x:v>
      </x:c>
      <x:c r="K106" s="28" t="str">
        <x:v>إعادة بناء 2014–2025 / دورة النشر 2025–2026</x:v>
      </x:c>
      <x:c r="L106" s="24" t="str">
        <x:v>The IMF's analytical framework for external-sector statistics for areas under the internationally recognized government; component scopes and source methods vary</x:v>
      </x:c>
      <x:c r="M106" s="28" t="str">
        <x:v>الإطار التحليلي لصندوق النقد الدولي لإحصاءات القطاع الخارجي الخاص بمناطق الحكومة المعترف بها دوليًا؛ وتختلف نطاقات المكونات وطرق مصادرها.</x:v>
      </x:c>
      <x:c r="N106" s="24" t="str">
        <x:v>IMF documents: a D4D-II capacity-development progress report and the statistical annex of the IMF 2025 Article IV consultation.</x:v>
      </x:c>
      <x:c r="O106" s="28" t="str">
        <x:v>وثائق صادرة عن صندوق النقد الدولي: تقرير مرحلي لبرنامج D4D-II لتنمية القدرات، والملحق الإحصائي لمشاورات المادة الرابعة لعام 2025.</x:v>
      </x:c>
      <x:c r="P106"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6"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6" s="24" t="str">
        <x:v>The reconstruction work took place in 2024–2025, covers 2014 to 2025 and was documented in IMF publications of 2025–2026. The record describes method rather than a value and does not describe later method work unless newer documentation is published.</x:v>
      </x:c>
      <x:c r="S106"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SRC-IMF-D4D-YEM-ESS-2025; SRC-IMF-YEM-AIV-2025-2026; EP-IMF-CBY-REMIT-METHOD-K04; K04-CBY-060</x:v>
      </x:c>
      <x:c r="Y106" s="24" t="str">
        <x:v>[]</x:v>
      </x:c>
      <x:c r="Z106" t="str">
        <x:v>BOUND_EXACT</x:v>
      </x:c>
    </x:row>
    <x:row r="107">
      <x:c r="A107" s="24" t="str">
        <x:v>CLM-037</x:v>
      </x:c>
      <x:c r="B107" s="24" t="str">
        <x:v>CLAIM</x:v>
      </x:c>
      <x:c r="C107" s="24" t="str">
        <x:v>/remittances/ | /evidence/compare/</x:v>
      </x:c>
      <x:c r="D107" s="24" t="str">
        <x:v>The paths align after normalization; their levels are not equivalent</x:v>
      </x:c>
      <x:c r="E107" s="28" t="str">
        <x:v>يتطابق المساران تقريبًا عند تحويلهما إلى رقم قياسي، لكن مستوياتهما ليست متكافئة</x:v>
      </x:c>
      <x:c r="F107"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7" s="28" t="str">
        <x:v>عند تحويل سلسلتي التحويلات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7" s="24" t="str">
        <x:v>The annual growth paths of the CBY-Aden and IMF remittance series, each indexed to 2021 = 100, compared over 2021–2024.</x:v>
      </x:c>
      <x:c r="I107" s="28" t="str">
        <x:v>مسارا النمو السنوي لسلسلتي التحويلات لدى البنك المركزي اليمني – عدن وصندوق النقد الدولي، بعد تحويل كل منهما إلى رقم قياسي (2021 = 100)، مقارنَين خلال 2021–2024.</x:v>
      </x:c>
      <x:c r="J107" s="24" t="str">
        <x:v>Reference years 2021–2024 (indexed comparison), from the CBY-Aden Annual Report 2025 and the IMF 2025 Article IV consultation</x:v>
      </x:c>
      <x:c r="K107"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7" s="24" t="str">
        <x:v>The remittance series published by the Central Bank of Yemen – Aden (CBY-Aden) and the IMF series for areas under the internationally recognized government; the exact territorial and conceptual mapping between them remains open</x:v>
      </x:c>
      <x:c r="M107" s="28" t="str">
        <x:v>سلسلة التحويلات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7"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7"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7"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7"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7" s="24" t="str">
        <x:v>The latest year compared is 2024, from the CBY-Aden Annual Report 2025 and the IMF 2025 Article IV consultation. It should not be read as describing a later period unless newer comparable editions of both series are published.</x:v>
      </x:c>
      <x:c r="S107"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SRC-CBY-AR2025-BOP; SRC-IMF-YEM-AIV-2025-2026; EP-CBY-REMITTANCE-VINTAGE-K04; EP-IMF-CBY-REMIT-METHOD-K04</x:v>
      </x:c>
      <x:c r="Y107" s="24" t="str">
        <x:v>[]</x:v>
      </x:c>
      <x:c r="Z107" t="str">
        <x:v>BOUND_EXACT</x:v>
      </x:c>
    </x:row>
    <x:row r="108">
      <x:c r="A108" s="24" t="str">
        <x:v>CLM-038</x:v>
      </x:c>
      <x:c r="B108" s="24" t="str">
        <x:v>CLAIM</x:v>
      </x:c>
      <x:c r="C108" s="24" t="str">
        <x:v>/finance/ | /firms/ | /methodology/</x:v>
      </x:c>
      <x:c r="D108" s="24" t="str">
        <x:v>The 2023 valuation change has a precedent and cannot be called the “first ever”</x:v>
      </x:c>
      <x:c r="E108" s="28" t="str">
        <x:v>لتغيير التقييم في 2023 سابقة تاريخية، وليس حدًا يصلح وصفه بأنه «الأول»</x:v>
      </x:c>
      <x:c r="F108"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8"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8" s="24" t="str">
        <x:v>This record traces how foreign-currency positions have been valued in Yemen's banking statistics, from 1996 IMF metadata to the January 2023 change documented by the Central Bank of Yemen – Aden (CBY-Aden); it reports no value.</x:v>
      </x:c>
      <x:c r="I108"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8" s="24" t="str">
        <x:v>1996 historical metadata; 2023 contemporary change; sources reviewed on 10 September 2026</x:v>
      </x:c>
      <x:c r="K108" s="28" t="str">
        <x:v>بيانات وصفية تاريخية من 1996؛ وتغيير معاصر في 2023؛ واطُّلع على المصادر في 10 سبتمبر 2026</x:v>
      </x:c>
      <x:c r="L108" s="24" t="str">
        <x:v>Accounts denominated in foreign currency and banks' foreign-currency positions, within each source's statistical or reporting scope</x:v>
      </x:c>
      <x:c r="M108" s="28" t="str">
        <x:v>الحسابات المقومة بالعملات الأجنبية ومراكز العملات الأجنبية لدى البنوك ضمن نطاقات الإبلاغ أو الإحصاء الخاصة بكل مصدر.</x:v>
      </x:c>
      <x:c r="N108" s="24" t="str">
        <x:v>The valuation method traced across editions of IMF metadata, the CBY annual report and CBY monetary and financial data</x:v>
      </x:c>
      <x:c r="O108" s="28" t="str">
        <x:v>تتبع المنهج عبر نسخ متعددة من بيانات صندوق النقد والتقرير السنوي للبنك المركزي وبياناته النقدية والمالية.</x:v>
      </x:c>
      <x:c r="P108"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8"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8" s="24" t="str">
        <x:v>The record rests on 1996 IMF metadata and the January 2023 change, with sources reviewed on 10 September 2026. It should not be read as describing later valuation practice unless newer documentation is published.</x:v>
      </x:c>
      <x:c r="S108"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SRC-IMF-YEM-EGDDS-VAL-1996; SRC-CBY-AR2023-001; EP-CBY-BANKING-VALUATION-LINEAGE-K04</x:v>
      </x:c>
      <x:c r="Y108" s="24" t="str">
        <x:v>[]</x:v>
      </x:c>
      <x:c r="Z108" t="str">
        <x:v>BOUND_EXACT</x:v>
      </x:c>
    </x:row>
    <x:row r="109">
      <x:c r="A109" s="24" t="str">
        <x:v>CLM-039</x:v>
      </x:c>
      <x:c r="B109" s="24" t="str">
        <x:v>CLAIM</x:v>
      </x:c>
      <x:c r="C109" s="24" t="str">
        <x:v>/remittances/ | /evidence/ | /methodology/</x:v>
      </x:c>
      <x:c r="D109" s="24" t="str">
        <x:v>A public interface is not the same thing as the underlying dataset</x:v>
      </x:c>
      <x:c r="E109" s="28" t="str">
        <x:v>واجهة البيانات العامة ليست هي مجموعة البيانات نفسها</x:v>
      </x:c>
      <x:c r="F109"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09" s="28" t="str">
        <x:v>لا تعرض واجهات البنك الدولي العامة الخاصة بالتحويلات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09" s="24" t="str">
        <x:v>The difference, as reviewed on 10 September 2026, between the span of Yemen remittance observations shown on one World Bank public data interface and the later observations on other World Bank interfaces and in earlier documented access.</x:v>
      </x:c>
      <x:c r="I109" s="28" t="str">
        <x:v>الفرق، كما اطُّلع عليه في 10 سبتمبر 2026، بين نطاق مشاهدات التحويلات لليمن في إحدى واجهات بيانات البنك الدولي العامة والمشاهدات الأحدث في واجهات أخرى للبنك الدولي وفي نسخ وصول سابقة موثقة.</x:v>
      </x:c>
      <x:c r="J109" s="24" t="str">
        <x:v>World Bank public data interfaces as reviewed on 10 September 2026, and earlier documented access</x:v>
      </x:c>
      <x:c r="K109" s="28" t="str">
        <x:v>واجهات بيانات البنك الدولي العامة كما اطُّلع عليها في 10 سبتمبر 2026، ونسخ الوصول السابقة الموثقة</x:v>
      </x:c>
      <x:c r="L109" s="24" t="str">
        <x:v>Specific to each source or display interface</x:v>
      </x:c>
      <x:c r="M109" s="28" t="str">
        <x:v>النطاق الخاص بكل مصدر أو واجهة عرض.</x:v>
      </x:c>
      <x:c r="N109" s="24" t="str">
        <x:v>World Bank data interfaces, including World Development Indicators (WDI), with documented earlier use of the source</x:v>
      </x:c>
      <x:c r="O109" s="28" t="str">
        <x:v>واجهات بيانات البنك الدولي/WDI مع توثيق نسخ الوصول السابقة إلى المصدر.</x:v>
      </x:c>
      <x:c r="P109"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09"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09" s="24" t="str">
        <x:v>The interfaces were reviewed on 10 September 2026, and what each shows may have changed since. The record should not be read as describing a later state of the interfaces unless they are reviewed again.</x:v>
      </x:c>
      <x:c r="S109"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Some figures in this record are drawn from the source(s) listed on this page; other inputs have not yet been linked to a specific original source. Check each figure against a listed source before reuse, and treat any figure you cannot match as unverified.</x:v>
      </x:c>
      <x:c r="W10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9" s="24" t="str">
        <x:v>SRC-WB-WDI-REMIT-YEM-CURRENT; EP-WB-WDI-REMITTANCE-VINTAGE-K04; CON-045; DS-K04-REMIT-SOURCE-LENSES</x:v>
      </x:c>
      <x:c r="Y109" s="24" t="str">
        <x:v>[]</x:v>
      </x:c>
      <x:c r="Z109" t="str">
        <x:v>BOUND_PARTIAL</x:v>
      </x:c>
    </x:row>
    <x:row r="110">
      <x:c r="A110" s="24" t="str">
        <x:v>CLM-059</x:v>
      </x:c>
      <x:c r="B110" s="24" t="str">
        <x:v>CLAIM</x:v>
      </x:c>
      <x:c r="C110" s="24" t="str">
        <x:v>/firms/</x:v>
      </x:c>
      <x:c r="D110" s="24" t="str">
        <x:v>SMEPS programme reach describes the programme, not all MSMEs in Yemen</x:v>
      </x:c>
      <x:c r="E110" s="28" t="str">
        <x:v>وصول برنامج SMEPS دليل على نطاق البرنامج، لا على حجم قطاع المنشآت في اليمن</x:v>
      </x:c>
      <x:c r="F110" s="24" t="str">
        <x:v>The Small and Micro Enterprise Promotion Service (SMEPS) reports that in 2024 it supported 8,217 micro, small and medium enterprises (MSMEs) and disbursed USD 22,865,322. For 2021–2024 it reports support to 31,560 MSMEs and a USD 54.7 million programme total whose status (committed or disbursed) is not recorded in the evidence base. The 2021–2024 total may count the same enterprise in more than one year, so it is not a count of unique firms. These are programme results reported by SMEPS itself: they describe programme reach and finance, not national MSME prevalence or financial-sector lending.</x:v>
      </x:c>
      <x:c r="G110"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وبإجمالي برامجي قدره 54.7 مليون دولار لا تسجّل قاعدة الأدلة ما إذا كان مبلغًا ملتزَمًا به أم مصروفًا.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x:v>
      </x:c>
      <x:c r="H110" s="24" t="str">
        <x:v>The number of micro, small and medium enterprises (MSMEs) that SMEPS reports supporting, and the programme funds it reports, for 2024 and for 2021–2024.</x:v>
      </x:c>
      <x:c r="I110" s="28" t="str">
        <x:v>عدد المنشآت الأصغر والصغيرة والمتوسطة التي تفيد وكالة SMEPS بأنها دعمتها، والمبالغ البرامجية التي تفيد بها، لعام 2024 وللفترة 2021–2024.</x:v>
      </x:c>
      <x:c r="J110" s="24" t="str">
        <x:v>2024; cumulative 2021–2024</x:v>
      </x:c>
      <x:c r="K110" s="28" t="str">
        <x:v>2024؛ وتراكمي 2021–2024</x:v>
      </x:c>
      <x:c r="L110" s="24" t="str">
        <x:v>Micro, small and medium enterprises supported by SMEPS programmes, and the programme portfolio</x:v>
      </x:c>
      <x:c r="M110" s="28" t="str">
        <x:v>المنشآت الأصغر والصغيرة والمتوسطة التي دعمتها برامج وكالة SMEPS، ومحفظة هذه البرامج.</x:v>
      </x:c>
      <x:c r="N110" s="24" t="str">
        <x:v>Programme outputs and funding as reported by SMEPS in its 2024 annual report.</x:v>
      </x:c>
      <x:c r="O110" s="28" t="str">
        <x:v>مخرجات البرامج وتمويلها كما أوردتها وكالة SMEPS في تقريرها السنوي لعام 2024.</x:v>
      </x:c>
      <x:c r="P110" s="24" t="str">
        <x:v>Programme-supported MSMEs are not the national MSME universe, programme disbursement is not financial-sector lending, and programme outputs are not national or causal outcomes. The 2021–2024 total is not a count of unique firms. | Programme figures count the programme's own participants and disbursements; they are not drawn from a national sample of firms. Whether the USD 54.7 million 2021–2024 total is committed or disbursed funding is not recorded in the evidence base.</x:v>
      </x:c>
      <x:c r="Q110"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 تحصي أرقام البرنامج المشاركين فيه وما صرفه، ولا تستند إلى عينة وطنية من المنشآت. ولا تسجّل قاعدة الأدلة ما إذا كان إجمالي 54.7 مليون دولار للفترة 2021–2024 مبلغًا ملتزَمًا به أم مصروفًا.</x:v>
      </x:c>
      <x:c r="R110" s="24" t="str">
        <x:v>The latest observation in this record refers to 2024, with a cumulative total for 2021–2024. It should not be read as describing a later period unless a newer comparable observation is published.</x:v>
      </x:c>
      <x:c r="S110" s="28" t="str">
        <x:v>تعود أحدث مشاهدة في هذا السجل إلى عام 2024، مع إجمالي تراكمي للفترة 2021–2024، ولا تُقرأ على أنها تصف فترة لاحقة ما لم تُنشر مشاهدة أحدث قابلة للمقارنة.</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This record is drawn from the source(s) listed on this page. Open a source record to reach the original document, and check that the definition, period, population and geography match what is stated here.</x:v>
      </x:c>
      <x:c r="W1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0" s="24" t="str">
        <x:v>SRC-SMEPS-AR2024-2025</x:v>
      </x:c>
      <x:c r="Y110" s="24" t="str">
        <x:v>[{"source_id":"SRC-SMEPS-AR2024-2025","url":"https://smeps.org.ye/post/85","audit_state":"PASS_AUTHORITY_OR_PROVIDER_LOCATOR"}]</x:v>
      </x:c>
      <x:c r="Z110" t="str">
        <x:v>BOUND_EXACT</x:v>
      </x:c>
    </x:row>
    <x:row r="111">
      <x:c r="A111" s="24" t="str">
        <x:v>CLM-060</x:v>
      </x:c>
      <x:c r="B111" s="24" t="str">
        <x:v>CLAIM</x:v>
      </x:c>
      <x:c r="C111" s="24" t="str">
        <x:v>/firms/ | /evidence/</x:v>
      </x:c>
      <x:c r="D111" s="24" t="str">
        <x:v>The SMEPS financial-services KPI is a programme result, not a national MSME rate</x:v>
      </x:c>
      <x:c r="E111" s="28" t="str">
        <x:v>مؤشر SMEPS للوصول إلى الخدمات المالية نتيجة برنامجية، لا معدل وطني للمنشآت</x:v>
      </x:c>
      <x:c r="F111"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1"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1" s="24" t="str">
        <x:v>The share of SMEPS-supported micro, small and medium enterprises that SMEPS reports as having accessed financial services, for 2024 and cumulatively for 2021–2024, with the programme target.</x:v>
      </x:c>
      <x:c r="I111"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1" s="24" t="str">
        <x:v>2024; cumulative/target 2021–2024</x:v>
      </x:c>
      <x:c r="K111" s="28" t="str">
        <x:v>2024؛ والتراكمي/المستهدف 2021–2024</x:v>
      </x:c>
      <x:c r="L111" s="24" t="str">
        <x:v>SMEPS-supported MSMEs under the programme KPI</x:v>
      </x:c>
      <x:c r="M111" s="28" t="str">
        <x:v>المنشآت الأصغر والصغيرة والمتوسطة المدعومة من وكالة SMEPS ضمن قاعدة مؤشر الأداء البرامجي.</x:v>
      </x:c>
      <x:c r="N111" s="24" t="str">
        <x:v>Percentages as reported in the key performance indicator (KPI) table of the SMEPS 2024 annual report.</x:v>
      </x:c>
      <x:c r="O111" s="28" t="str">
        <x:v>النسب كما وردت في جدول مؤشرات الأداء الرئيسية في التقرير السنوي لوكالة SMEPS لعام 2024.</x:v>
      </x:c>
      <x:c r="P111"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1"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1" s="24" t="str">
        <x:v>The latest observation in this record refers to 2024; the cumulative result and the programme target cover 2021–2024. It should not be read as describing a later period unless a newer comparable observation is published.</x:v>
      </x:c>
      <x:c r="S111"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row>
    <x:row r="112">
      <x:c r="A112" s="24" t="str">
        <x:v>CLM-062</x:v>
      </x:c>
      <x:c r="B112" s="24" t="str">
        <x:v>CLAIM</x:v>
      </x:c>
      <x:c r="C112" s="24" t="str">
        <x:v>/firms/ | /evidence/</x:v>
      </x:c>
      <x:c r="D112" s="24" t="str">
        <x:v>Formal firms in the 2022 survey: accounts were common, bank finance for working capital was not</x:v>
      </x:c>
      <x:c r="E112" s="28" t="str">
        <x:v>المنشآت الرسمية في مسح 2022: الحساب المصرفي شائع، أما تمويل البنوك لرأس المال العامل فنادر</x:v>
      </x:c>
      <x:c r="F112"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2"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2" s="24" t="str">
        <x:v>Firm-level financial behaviour reported by the World Bank's 2022 Yemen Enterprise Survey: account holding, average working-capital source shares, financial intermediaries used, and informal firms' account holding.</x:v>
      </x:c>
      <x:c r="I112"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x:v>
      </x:c>
      <x:c r="J112" s="24" t="str">
        <x:v>2022 survey (September 2022); published 2024</x:v>
      </x:c>
      <x:c r="K112" s="28" t="str">
        <x:v>مسح 2022 (سبتمبر 2022)؛ نُشر في 2024</x:v>
      </x:c>
      <x:c r="L112" s="24" t="str">
        <x:v>Two separate samples in seven selected governorates: 328 formal enterprises (including micro firms with fewer than five employees) and 217 informal enterprises drawn from activity and location lists. Neither sample represents all Yemeni firms.</x:v>
      </x:c>
      <x:c r="M112"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2"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with its base, Figures 114–115 (p. 151).</x:v>
      </x:c>
      <x:c r="O112"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مع قاعدتها، الشكلان 114–115 (ص 151).</x:v>
      </x:c>
      <x:c r="P112"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2"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2" s="24" t="str">
        <x:v>The latest observation in this record refers to the 2022 survey (September 2022), published in 2024. It should not be read as describing a later period unless a newer comparable observation is published.</x:v>
      </x:c>
      <x:c r="S112" s="28" t="str">
        <x:v>تعود أحدث مشاهدة في هذا السجل إلى مسح 2022 (سبتمبر 2022) الذي نُشر في 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SRC-WB-FSD-2024-001</x:v>
      </x:c>
      <x:c r="Y112" s="24" t="str">
        <x:v>[{"source_id":"SRC-WB-FSD-2024-001","url":"https://documents1.worldbank.org/curated/en/099102324070011985/pdf/P177631-d18a7ee4-3fcf-4393-9665-77f98b3e43a7.pdf","audit_state":"PASS_AUTHORITY_OR_PROVIDER_LOCATOR"}]</x:v>
      </x:c>
      <x:c r="Z112" t="str">
        <x:v>BOUND_EXACT</x:v>
      </x:c>
    </x:row>
    <x:row r="113">
      <x:c r="A113" s="24" t="str">
        <x:v>FMIIP-BASELINE-2025-01</x:v>
      </x:c>
      <x:c r="B113" s="24" t="str">
        <x:v>TEMPORAL_OBSERVATION</x:v>
      </x:c>
      <x:c r="C113" s="24" t="str">
        <x:v>/reforms/ | /evidence/compare/</x:v>
      </x:c>
      <x:c r="D113" s="24" t="str">
        <x:v>FMIIP project baselines for January 2025 count accounts, access points, merchants and agents — not people</x:v>
      </x:c>
      <x:c r="E113" s="28" t="str">
        <x:v>خطوط الأساس لمشروع FMIIP في يناير 2025 تعدّ الحسابات ونقاط الوصول والتجار والوكلاء، لا الأشخاص</x:v>
      </x:c>
      <x:c r="F113"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3"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3"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x:v>
      </x:c>
      <x:c r="I113"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x:v>
      </x:c>
      <x:c r="J113" s="24" t="str">
        <x:v>January 2025 (project baseline)</x:v>
      </x:c>
      <x:c r="K113" s="28" t="str">
        <x:v>يناير 2025 (خط أساس المشروع)</x:v>
      </x:c>
      <x:c r="L113" s="24" t="str">
        <x:v>Project-defined indicators of the FMIIP results framework. The definitions and reporting scope behind each baseline are the project's own and are not documented in the evidence base.</x:v>
      </x:c>
      <x:c r="M113" s="28" t="str">
        <x:v>مؤشرات يعرّفها إطار نتائج مشروع FMIIP. وتعريفات كل خط أساس ونطاق الإبلاغ الخاص به تعود إلى المشروع نفسه، ولا توثقها قاعدة الأدلة.</x:v>
      </x:c>
      <x:c r="N113" s="24" t="str">
        <x:v>Baseline values as reported in the project's results framework.</x:v>
      </x:c>
      <x:c r="O113" s="28" t="str">
        <x:v>قيم خط الأساس كما يوردها إطار نتائج المشروع.</x:v>
      </x:c>
      <x:c r="P113"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x:v>
      </x:c>
      <x:c r="Q113"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x:v>
      </x:c>
      <x:c r="R113" s="24" t="str">
        <x:v>The baselines refer to January 2025, the project's starting reference. They should not be read as describing a later date; this record contains no later project result.</x:v>
      </x:c>
      <x:c r="S113" s="28" t="str">
        <x:v>تعود خطوط الأساس إلى يناير 2025، نقطة الانطلاق المرجعية للمشروع، ولا تُقرأ على أنها تصف تاريخًا لاحقًا؛ ولا يتضمن هذا السجل أي نتيجة لاحقة للمشروع.</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SRC-WB-FMIIP-P180708</x:v>
      </x:c>
      <x:c r="Y113" s="24" t="str">
        <x:v>[{"source_id":"SRC-WB-FMIIP-P180708","url":"https://maps.worldbank.org/projects/wb/pid/P180708?status=active","audit_state":"PASS_AUTHORITY_OR_PROVIDER_LOCATOR"}]</x:v>
      </x:c>
      <x:c r="Z113" t="str">
        <x:v>BOUND_EXACT</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["/people","/methodology","/measurement"]</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x:v>
      </x:c>
      <x:c r="C62" s="24" t="str">
        <x:v>PRIMARY_PROGRAMME_OUTPUT</x:v>
      </x:c>
      <x:c r="D62" s="24" t="str">
        <x:v>PRIMARY_PROGRAMME_EVIDENCE</x:v>
      </x:c>
      <x:c r="E62" s="28" t="str">
        <x:v>["219_SMEPS_PROGRAMME_EVIDENCE","EP-SMEPS-2024-PROGRAMME"]</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للتحويلات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للتحويلات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التحويلات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تحويلات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or a trend is only as sound as the unit it keeps.</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ولا يكون المستهدف أو الاتجاه سليمًا إلا بقدر ثبات الوحدة التي يقيسها.</x:v>
      </x:c>
      <x:c r="J7" s="24" t="str">
        <x:v>["CLM-004","CLM-023","CLM-024","CLM-025","CLM-026","CLM-001","CLM-003","XW-FMIIP-005"]</x:v>
      </x:c>
      <x:c r="K7" s="24" t="str">
        <x:v>["CLM-004","CLM-023","CLM-024","CLM-025","CLM-026","CLM-001","CLM-003","XW-FMIIP-005"]</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2026-10-03</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2026-10-03</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x:v>
      </x:c>
      <x:c r="K11" s="24" t="str">
        <x:v>["CLM-002","CLM-001","CLM-025","VIS-FINDEX-GAPS"]</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x:v>
      </x:c>
      <x:c r="V12" t="str">
        <x:v>مسح البنك الدولي للمنشآت في اليمن،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2026-10-03</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within this evidence agenda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within this evidence agenda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["/payments","/people","/reforms","/explore"]</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 percentage points between women (5.4%) and men (18.3%), and by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 والرجال (18.3%) بمقدار 12.9 نقطة مئوية، وبين البالغين في أفقر 40% (6.5%) وأغنى 60% (15.5%) بحسب دخل الأسرة بمقدار 9.0 نقطة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within this evidence agenda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within this evidence agenda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within this evidence agenda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within this evidence agenda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within this evidence agenda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within this evidence agenda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within this evidence agenda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["/payments","/people","/reforms","/explore"]</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within this evidence agenda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["/reforms","/payments","/access","/people","/explore"]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ليست صفرًا وليست دليلًا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التحويلات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U26"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التحويلات: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التحويلات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reported history, estimate or projection, with its source document</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وليست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التحويلات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للتحويلات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التحويلات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until the project's taxonomy and deduplication rules are documented.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ما لم تُوثق تصنيفات المشروع وقواعد 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 of women and 18.3% of men had an account, a difference of 12.9 percentage points — and places possible mechanisms in a separate layer of hypotheses to test, not causal arrows.</x:v>
      </x:c>
      <x:c r="H37" s="28" t="str">
        <x:v>يبدأ بالمستويات المقاسة داخل الموجة نفسها — امتلكت 5.4% من النساء و18.3% من الرجال حسابًا، بفارق 12.9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 of women and 18.3% of men aged 15 and over in the survey's coverage had an account, a difference of 12.9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 من النساء و18.3% من الرجال بعمر 15 سنة فأكثر ضمن تغطية المسح حسابًا، بفارق 12.9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approved by the World Bank's Board on 17 June 2025 and effective from 1 September 2025, with components for a Fast Payment System, a real-time gross settlement system with an upgrade of CBY-Aden core banking, and support for access to and use of the payment infrastructure;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أقرّه مجلس البنك الدولي في 17 يونيو 2025 وأصبح نافذًا اعتبارًا من 1 سبتمبر 2025، ويتضمن مكونات لتطوير نظام للدفع السريع ونظام للتسوية الإجمالية الفورية مع تحديث النظام المصرفي الأساسي للبنك المركزي اليمني – عدن، ولدعم الوصول إلى البنية التحتية للمدفوعات واستخدامها؛ وقرار مجلس إدارة البنك المركزي اليمني –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row>
    <x:row r="7">
      <x:c r="A7" s="24" t="str">
        <x:v>YSC-003</x:v>
      </x:c>
      <x:c r="B7" s="24" t="str">
        <x:v>September 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سبتمبر 2016</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row>
    <x:row r="9">
      <x:c r="A9" s="24" t="str">
        <x:v>YSC-005</x:v>
      </x:c>
      <x:c r="B9" s="24" t="str">
        <x:v>January–March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يناير–مارس 2018</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التحويلات.</x:v>
      </x:c>
      <x:c r="F11" s="24" t="str">
        <x:v>SRC-WB-YEM-ECON-2020-04-001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والتحويلات وقدرة الاستيراد في ظل نظم صرف مجزأة.</x:v>
      </x:c>
      <x:c r="J11" s="24" t="str">
        <x:v>Remittances matter as both household flows and part of broader FX/payment conditions.</x:v>
      </x:c>
      <x:c r="K11" s="28" t="str">
        <x:v>تكتسب التحويلات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التحويلات لا تعني حدوث انخفاض فعلي ما لم يُقَس بصورة مستقلة.</x:v>
      </x:c>
      <x:c r="N11" s="24" t="str">
        <x:v>MECHANISM_HYPOTHESIS</x:v>
      </x:c>
      <x:c r="O11" s="24" t="str">
        <x:v>/remittances | /payments | /finance</x:v>
      </x:c>
      <x:c r="P11" s="24"/>
      <x:c r="Q11" t="str">
        <x:v>أوائل 2020</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التحويلات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التحويلات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 | SRC-CBY-UNLICENSED-EWALLET-2024-001 | SRC-CBY-DEC-23-2024-001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التحويلات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التحويلات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التحويلات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row>
    <x:row r="19">
      <x:c r="A19" s="24" t="str">
        <x:v>YSC-014</x:v>
      </x:c>
      <x:c r="B19" s="24" t="str">
        <x:v>2022–April 2025</x:v>
      </x:c>
      <x:c r="C19" s="24" t="str">
        <x:v>BANKING_LIQUIDITY_CAPITAL_STRESS</x:v>
      </x:c>
      <x:c r="D19"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19"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19"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use for essential imports, enhance import transparency and channel FX into the formal banking sector.</x:v>
      </x:c>
      <x:c r="E21"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x:c r="S21"/>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التحويلات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row>
    <x:row r="23">
      <x:c r="A23" s="24" t="str">
        <x:v>YSC-017</x:v>
      </x:c>
      <x:c r="B23" s="24" t="str">
        <x:v>September 2025</x:v>
      </x:c>
      <x:c r="C23" s="24" t="str">
        <x:v>RESERVE_CONSTRAINT</x:v>
      </x:c>
      <x:c r="D23" s="24" t="str">
        <x:v>The IMF reports operational foreign-exchange reserves of US$350 million in September 2025, covering about one month of imports.</x:v>
      </x:c>
      <x:c r="E23" s="28" t="str">
        <x:v>يفيد صندوق النقد بأن الاحتياطيات التشغيلية من النقد الأجنبي بلغت 350 مليون دولار في سبتمبر 2025، بما يغطي نحو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value and its date are from the text of the staff report (paragraph 12). The debt sustainability analysis published in the same country report gives reserves of the same amount as of June 2025.</x:v>
      </x:c>
      <x:c r="S23"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row>
    <x:row r="25">
      <x:c r="A25" t="str">
        <x:v>YSC-021</x:v>
      </x:c>
      <x:c r="B25" t="str">
        <x:v>4 June 2026</x:v>
      </x:c>
      <x:c r="C25" t="str">
        <x:v>COUNTRY_STRATEGY_AND_PORTFOLIO</x:v>
      </x:c>
      <x:c r="D25" t="str">
        <x:v>The World Bank Group endorsed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أقرت مجموعة البنك الدولي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التحويلات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S5" t="str">
        <x:v>NOT_ASSESSED</x:v>
      </x:c>
      <x:c r="V5" t="str">
        <x:v>2026-09-26</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2026-10-03</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2026-10-03</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2026-10-03</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2026-10-03</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2026-10-03</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2026-10-03</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2026-10-03</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2026-10-03</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2026-10-03</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2026-10-03</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2026-10-03</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2026-10-03</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2026-10-03</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2026-10-03</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Y20" t="str">
        <x:v>البنك المركزي اليمني – عدن</x:v>
      </x:c>
      <x:c r="Z20" t="str">
        <x:v>News release</x:v>
      </x:c>
      <x:c r="AA20" t="str">
        <x:v>بيان صحفي</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2026-09-26</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2026-09-26</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2026-10-03</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2026-10-03</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2026-10-03</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2026-10-03</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2026-10-03</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Y39" t="str">
        <x:v>صندوق النقد الدولي</x:v>
      </x:c>
      <x:c r="Z39" t="str">
        <x:v>Staff report</x:v>
      </x:c>
      <x:c r="AA39" t="str">
        <x:v>تقرير خبراء</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Y40" t="str">
        <x:v>صندوق النقد الدولي</x:v>
      </x:c>
      <x:c r="Z40" t="str">
        <x:v>Staff report</x:v>
      </x:c>
      <x:c r="AA40" t="str">
        <x:v>تقرير خبراء</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7 November 2022 to 9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7 نوفمبر 2022 إلى 9 يناير 2023)</x:v>
      </x:c>
      <x:c r="M50" s="168"/>
      <x:c r="N50" s="168"/>
      <x:c r="O50" s="168"/>
      <x:c r="S50" t="str">
        <x:v>NOT_ASSESSED</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51" s="24" t="str">
        <x:v>DS-FINDEX-WAVES, DS-FINDEX-WB-OBS, DS-FINDEX-PANEL-CATALOG, DS-FINDEX-SUBGROUP-MATRIX, DS-FINDEX-ANALYTIC-SURFACES</x:v>
      </x:c>
      <x:c r="E51" s="24" t="n">
        <x:v>247</x:v>
      </x:c>
      <x:c r="F51" s="168" t="str">
        <x:v>Global Findex indicators for Yemen: account ownership, adults 15+, total and by group (World Bank data year 2022)</x:v>
      </x:c>
      <x:c r="G51" s="168" t="str">
        <x:v>World Bank</x:v>
      </x:c>
      <x:c r="H51" s="168"/>
      <x:c r="I51" s="168"/>
      <x:c r="J51" s="168"/>
      <x:c r="K51" s="168" t="str">
        <x:v>CITATION_CARD</x:v>
      </x:c>
      <x:c r="L51" s="168" t="str">
        <x:v>المؤشر العالمي للشمول المالي (Global Findex) — اليمن: امتلاك الحساب لدى البالغين بعمر 15 سنة فأكثر، إجمالًا وحسب الفئة (سنة البيانات لدى البنك الدولي: 2022)</x:v>
      </x:c>
      <x:c r="M51" s="168"/>
      <x:c r="N51" s="168"/>
      <x:c r="O51" s="168"/>
      <x:c r="S51" t="str">
        <x:v>NOT_ASSESSED</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52" t="str">
        <x:v>NOT_ASSESSED</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t="str">
        <x:v>https://www.kfw-entwicklungsbank.de/Service/RMMV-conference-2023/</x:v>
      </x:c>
      <x:c r="C56" s="24" t="str">
        <x:v>["https://www.kfw-entwicklungsbank.de/PDF/Entwicklungsfinanzierung/RMMV/Booklet-of-RMMV-Service-Providers.pdf"]</x:v>
      </x:c>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CITATION_CARD</x:v>
      </x:c>
      <x:c r="L56" s="168" t="str">
        <x:v>المؤتمر التفاعلي حول الإدارة والرصد والتحقق عن بُعد (RMMV) وكتيّب أدوات RMMV ومقدمي خدماتها (8–9 فبراير 2023)</x:v>
      </x:c>
      <x:c r="M56" s="168"/>
      <x:c r="N56" s="168"/>
      <x:c r="O56" s="168"/>
      <x:c r="S56" t="str">
        <x:v>NOT_ASSESSED</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Y57" t="str">
        <x:v>البنك المركزي اليمني – عدن</x:v>
      </x:c>
      <x:c r="Z57" t="str">
        <x:v>News release</x:v>
      </x:c>
      <x:c r="AA57" t="str">
        <x:v>بيان صحفي</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Y58" t="str">
        <x:v>البنك المركزي اليمني – عدن</x:v>
      </x:c>
      <x:c r="Z58" t="str">
        <x:v>News release</x:v>
      </x:c>
      <x:c r="AA58" t="str">
        <x:v>بيان صحفي</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Y59" t="str">
        <x:v>البنك المركزي اليمني – عدن</x:v>
      </x:c>
      <x:c r="Z59" t="str">
        <x:v>News release</x:v>
      </x:c>
      <x:c r="AA59" t="str">
        <x:v>بيان صحفي</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Y60" t="str">
        <x:v>البنك المركزي اليمني – عدن</x:v>
      </x:c>
      <x:c r="Z60" t="str">
        <x:v>News release</x:v>
      </x:c>
      <x:c r="AA60" t="str">
        <x:v>بيان صحفي</x:v>
      </x:c>
    </x:row>
    <x:row r="61">
      <x:c r="A61" s="24" t="str">
        <x:v>SRC-CBY-FCP-INSTR-2023-001</x:v>
      </x:c>
      <x:c r="B61" s="24" t="str">
        <x:v>https://cby-ye.com/news/567</x:v>
      </x:c>
      <x:c r="C61" s="24" t="str">
        <x:v>["https://www.cby-ye.com/files/64e6f1e87e2a1.pdf"]</x:v>
      </x:c>
      <x:c r="D61" s="24" t="str">
        <x:v>DS-PRIMARY-AUTHORITY, DS-EVIDENCE-PASSPORTS, DS-REFORM-EVENTS</x:v>
      </x:c>
      <x:c r="E61" s="24" t="n">
        <x:v>3</x:v>
      </x:c>
      <x:c r="F61" s="168" t="str">
        <x:v>Regulatory Instructions for Financial Consumer Protection (issuance announced 28 August 2023)</x:v>
      </x:c>
      <x:c r="G61" s="168" t="str">
        <x:v>Central Bank of Yemen — Aden</x:v>
      </x:c>
      <x:c r="H61" s="168"/>
      <x:c r="I61" s="168"/>
      <x:c r="J61" s="168"/>
      <x:c r="K61" s="168" t="str">
        <x:v>CITATION_CARD</x:v>
      </x:c>
      <x:c r="L61" s="168" t="str">
        <x:v>التعليمات التنظيمية لحماية المستهلك المالي (أُعلن إصدارها في 28 أغسطس 2023)</x:v>
      </x:c>
      <x:c r="M61" s="168"/>
      <x:c r="N61" s="168"/>
      <x:c r="O61" s="168"/>
      <x:c r="S61" t="str">
        <x:v>NOT_ASSESSED</x:v>
      </x:c>
      <x:c r="W61" t="str">
        <x:v>instruction/circular</x:v>
      </x:c>
      <x:c r="Y61" t="str">
        <x:v>البنك المركزي اليمني – عدن</x:v>
      </x:c>
      <x:c r="Z61" t="str">
        <x:v>Circular or instruction</x:v>
      </x:c>
      <x:c r="AA61" t="str">
        <x:v>تعميم أو تعليمات</x:v>
      </x:c>
      <x:c r="AB61" t="str">
        <x:v>2023-08-28</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Y62" t="str">
        <x:v>البنك المركزي اليمني – عدن</x:v>
      </x:c>
      <x:c r="Z62" t="str">
        <x:v>News release</x:v>
      </x:c>
      <x:c r="AA62" t="str">
        <x:v>بيان صحفي</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Y64" t="str">
        <x:v>البنك المركزي اليمني – عدن</x:v>
      </x:c>
      <x:c r="Z64" t="str">
        <x:v>News release</x:v>
      </x:c>
      <x:c r="AA64" t="str">
        <x:v>بيان صحفي</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W67" t="str">
        <x:v>regulatory decision</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Y68" t="str">
        <x:v>البنك المركزي اليمني – عدن</x:v>
      </x:c>
      <x:c r="Z68" t="str">
        <x:v>News release</x:v>
      </x:c>
      <x:c r="AA68" t="str">
        <x:v>بيان صحفي</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W69" t="str">
        <x:v>instruction/circular</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W70" t="str">
        <x:v>provider-status instrument</x:v>
      </x:c>
      <x:c r="X70" t="str">
        <x:v>primary factual evidence</x:v>
      </x:c>
      <x:c r="Y70" t="str">
        <x:v>البنك المركزي اليمني – عدن</x:v>
      </x:c>
      <x:c r="Z70" t="str">
        <x:v>Official list or roster</x:v>
      </x:c>
      <x:c r="AA70" t="str">
        <x:v>قائمة رسمية</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Y71" t="str">
        <x:v>البنك المركزي اليمني – عدن</x:v>
      </x:c>
      <x:c r="Z71" t="str">
        <x:v>News release</x:v>
      </x:c>
      <x:c r="AA71" t="str">
        <x:v>بيان صحفي</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Y72" t="str">
        <x:v>البنك المركزي اليمني – عدن</x:v>
      </x:c>
      <x:c r="Z72" t="str">
        <x:v>News release</x:v>
      </x:c>
      <x:c r="AA72" t="str">
        <x:v>بيان صحفي</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Y73" t="str">
        <x:v>البنك المركزي اليمني – عدن</x:v>
      </x:c>
      <x:c r="Z73" t="str">
        <x:v>News release</x:v>
      </x:c>
      <x:c r="AA73" t="str">
        <x:v>بيان صحفي</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Y74" t="str">
        <x:v>البنك المركزي اليمني – عدن</x:v>
      </x:c>
      <x:c r="Z74" t="str">
        <x:v>News release</x:v>
      </x:c>
      <x:c r="AA74" t="str">
        <x:v>بيان صحفي</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2026-10-03</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Y79" t="str">
        <x:v>الصندوق الاجتماعي للتنمية</x:v>
      </x:c>
      <x:c r="Z79" t="str">
        <x:v>Newsletter</x:v>
      </x:c>
      <x:c r="AA79" t="str">
        <x:v>نشرة دورية</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Y80" t="str">
        <x:v>الصندوق الاجتماعي للتنمية</x:v>
      </x:c>
      <x:c r="Z80" t="str">
        <x:v>Newsletter</x:v>
      </x:c>
      <x:c r="AA80" t="str">
        <x:v>نشرة دورية</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Y81" t="str">
        <x:v>الصندوق الاجتماعي للتنمية</x:v>
      </x:c>
      <x:c r="Z81" t="str">
        <x:v>Newsletter</x:v>
      </x:c>
      <x:c r="AA81" t="str">
        <x:v>نشرة دورية</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2026-10-03</x:v>
      </x:c>
      <x:c r="Y82" t="str">
        <x:v>الصندوق الاجتماعي للتنمية</x:v>
      </x:c>
      <x:c r="Z82" t="str">
        <x:v>Newsletter</x:v>
      </x:c>
      <x:c r="AA82" t="str">
        <x:v>نشرة دورية</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Y83" t="str">
        <x:v>الصندوق الاجتماعي للتنمية</x:v>
      </x:c>
      <x:c r="Z83" t="str">
        <x:v>Newsletter</x:v>
      </x:c>
      <x:c r="AA83" t="str">
        <x:v>نشرة دورية</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2026-10-03</x:v>
      </x:c>
      <x:c r="Y85" t="str">
        <x:v>الصندوق الاجتماعي للتنمية</x:v>
      </x:c>
      <x:c r="Z85" t="str">
        <x:v>Newsletter</x:v>
      </x:c>
      <x:c r="AA85" t="str">
        <x:v>نشرة دورية</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Y86" t="str">
        <x:v>الصندوق الاجتماعي للتنمية</x:v>
      </x:c>
      <x:c r="Z86" t="str">
        <x:v>Newsletter</x:v>
      </x:c>
      <x:c r="AA86" t="str">
        <x:v>نشرة دورية</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Y87" t="str">
        <x:v>الصندوق الاجتماعي للتنمية</x:v>
      </x:c>
      <x:c r="Z87" t="str">
        <x:v>Newsletter</x:v>
      </x:c>
      <x:c r="AA87" t="str">
        <x:v>نشرة دورية</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Y88" t="str">
        <x:v>الصندوق الاجتماعي للتنمية</x:v>
      </x:c>
      <x:c r="Z88" t="str">
        <x:v>Newsletter</x:v>
      </x:c>
      <x:c r="AA88" t="str">
        <x:v>نشرة دورية</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Y89" t="str">
        <x:v>الصندوق الاجتماعي للتنمية</x:v>
      </x:c>
      <x:c r="Z89" t="str">
        <x:v>Newsletter</x:v>
      </x:c>
      <x:c r="AA89" t="str">
        <x:v>نشرة دورية</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2026-10-03</x:v>
      </x:c>
      <x:c r="Y90" t="str">
        <x:v>الصندوق الاجتماعي للتنمية</x:v>
      </x:c>
      <x:c r="Z90" t="str">
        <x:v>Newsletter</x:v>
      </x:c>
      <x:c r="AA90" t="str">
        <x:v>نشرة دورية</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Y91" t="str">
        <x:v>الصندوق الاجتماعي للتنمية</x:v>
      </x:c>
      <x:c r="Z91" t="str">
        <x:v>Newsletter</x:v>
      </x:c>
      <x:c r="AA91" t="str">
        <x:v>نشرة دورية</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2026-10-03</x:v>
      </x:c>
      <x:c r="Y92" t="str">
        <x:v>الصندوق الاجتماعي للتنمية</x:v>
      </x:c>
      <x:c r="Z92" t="str">
        <x:v>Newsletter</x:v>
      </x:c>
      <x:c r="AA92" t="str">
        <x:v>نشرة دورية</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2026-10-03</x:v>
      </x:c>
      <x:c r="Y93" t="str">
        <x:v>الصندوق الاجتماعي للتنمية</x:v>
      </x:c>
      <x:c r="Z93" t="str">
        <x:v>Newsletter</x:v>
      </x:c>
      <x:c r="AA93" t="str">
        <x:v>نشرة دورية</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Y96" t="str">
        <x:v>البنك الدولي</x:v>
      </x:c>
      <x:c r="Z96" t="str">
        <x:v>Survey dataset or indicator</x:v>
      </x:c>
      <x:c r="AA96" t="str">
        <x:v>مسح أو مؤشر</x:v>
      </x:c>
      <x:c r="AB96" t="str">
        <x:v>2015</x:v>
      </x:c>
    </x:row>
    <x:row r="97">
      <x:c r="A97" s="24" t="str">
        <x:v>SRC-WB-NFID-RFX-2026-001</x:v>
      </x:c>
      <x:c r="B97" s="24" t="str">
        <x:v>https://www.worldbank.org/en/about/corporate-procurement/business-opportunities/administrative-procurement</x:v>
      </x:c>
      <x:c r="C97" s="24"/>
      <x:c r="D97" s="24" t="str">
        <x:v>DS-NFID-EOI-ALIGNMENT</x:v>
      </x:c>
      <x:c r="E97" s="24" t="n">
        <x:v>2</x:v>
      </x:c>
      <x:c r="F97" s="168"/>
      <x:c r="G97" s="168"/>
      <x:c r="H97" s="168"/>
      <x:c r="I97" s="168"/>
      <x:c r="J97" s="168"/>
      <x:c r="K97" s="168" t="str">
        <x:v>LOCATOR_ONLY</x:v>
      </x:c>
      <x:c r="L97" s="168"/>
      <x:c r="M97" s="168"/>
      <x:c r="N97" s="168"/>
      <x:c r="O97" s="168"/>
      <x:c r="S97" t="str">
        <x:v>NOT_ASSESSED</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Issue No. 1 (December 2020)</x:v>
      </x:c>
      <x:c r="G99" s="168" t="str">
        <x:v>Central Bank of Yemen — Aden</x:v>
      </x:c>
      <x:c r="H99" s="168"/>
      <x:c r="I99" s="168"/>
      <x:c r="J99" s="168"/>
      <x:c r="K99" s="168" t="str">
        <x:v>CITATION_CARD</x:v>
      </x:c>
      <x:c r="L99" s="168" t="str">
        <x:v>النشرة الفصلية، العدد 1 (ديسمبر 2020)</x:v>
      </x:c>
      <x:c r="M99" s="168"/>
      <x:c r="N99" s="168"/>
      <x:c r="O99" s="168"/>
      <x:c r="S99" t="str">
        <x:v>NOT_ASSESSED</x:v>
      </x:c>
      <x:c r="V99" t="str">
        <x:v>2026-09-26</x:v>
      </x:c>
      <x:c r="Y99" t="str">
        <x:v>البنك المركزي اليمني – عدن</x:v>
      </x:c>
      <x:c r="Z99" t="str">
        <x:v>Periodic statistical report</x:v>
      </x:c>
      <x:c r="AA99" t="str">
        <x:v>تقرير إحصائي دوري</x:v>
      </x:c>
      <x:c r="AB99" t="str">
        <x:v>2020-12</x:v>
      </x:c>
    </x:row>
    <x:row r="100">
      <x:c r="A100" s="24" t="str">
        <x:v>SRC-CBY-AR2015-HIST-001</x:v>
      </x:c>
      <x:c r="B100" s="24" t="str">
        <x:v>http://centralbank.gov.ye/App_Upload/Ann_rep2015AR.pdf</x:v>
      </x:c>
      <x:c r="C100" s="24" t="str"/>
      <x:c r="D100" s="24" t="str">
        <x:v>DS-K04-CBY-CORPUS, DS-K04-CBY-OBJECTS</x:v>
      </x:c>
      <x:c r="E100" s="24" t="n">
        <x:v>1</x:v>
      </x:c>
      <x:c r="F100" s="168"/>
      <x:c r="G100" s="168"/>
      <x:c r="H100" s="168"/>
      <x:c r="I100" s="168"/>
      <x:c r="J100" s="168"/>
      <x:c r="K100" s="168" t="str">
        <x:v>LOCATOR_ONLY</x:v>
      </x:c>
      <x:c r="L100" s="168"/>
      <x:c r="M100" s="168"/>
      <x:c r="N100" s="168"/>
      <x:c r="O100" s="168"/>
      <x:c r="S100" t="str">
        <x:v>NOT_ASSESSED</x:v>
      </x:c>
    </x:row>
    <x:row r="101">
      <x:c r="A101" s="24" t="str">
        <x:v>SRC-CBY-SANAA-C12-2024</x:v>
      </x:c>
      <x:c r="B101" s="24" t="str">
        <x:v>https://yemeneco.org/wp-content/uploads/2024/03/تعميم-رقم-12-خدمات-البنوك-والمؤسسات-المالية-العاملة-في-خدمات-الحوالات-الخارجية.pdf</x:v>
      </x:c>
      <x:c r="C101" s="24" t="str"/>
      <x:c r="D101" s="24" t="str">
        <x:v>DS-K04-CBY-CORPUS, DS-K04-CBY-OBJECTS</x:v>
      </x:c>
      <x:c r="E101" s="24" t="n">
        <x:v>1</x:v>
      </x:c>
      <x:c r="F101" s="168"/>
      <x:c r="G101" s="168"/>
      <x:c r="H101" s="168"/>
      <x:c r="I101" s="168"/>
      <x:c r="J101" s="168"/>
      <x:c r="K101" s="168" t="str">
        <x:v>LOCATOR_ONLY</x:v>
      </x:c>
      <x:c r="L101" s="168"/>
      <x:c r="M101" s="168"/>
      <x:c r="N101" s="168"/>
      <x:c r="O101" s="168"/>
      <x:c r="S101" t="str">
        <x:v>NOT_ASSESSED</x:v>
      </x:c>
    </x:row>
    <x:row r="102">
      <x:c r="A102" s="24" t="str">
        <x:v>SRC-CBY-SANAA-C14-2024</x:v>
      </x:c>
      <x:c r="B102" s="24" t="str">
        <x:v>https://www.ecoi.net/en/file/local/2117585/n2425953.pdf</x:v>
      </x:c>
      <x:c r="C102" s="24" t="str"/>
      <x:c r="D102" s="24" t="str">
        <x:v>DS-K04-CBY-CORPUS, DS-K04-CBY-OBJECTS</x:v>
      </x:c>
      <x:c r="E102" s="24" t="n">
        <x:v>1</x:v>
      </x:c>
      <x:c r="F102" s="168"/>
      <x:c r="G102" s="168"/>
      <x:c r="H102" s="168"/>
      <x:c r="I102" s="168"/>
      <x:c r="J102" s="168"/>
      <x:c r="K102" s="168" t="str">
        <x:v>LOCATOR_ONLY</x:v>
      </x:c>
      <x:c r="L102" s="168"/>
      <x:c r="M102" s="168"/>
      <x:c r="N102" s="168"/>
      <x:c r="O102" s="168"/>
      <x:c r="S102" t="str">
        <x:v>NOT_ASSESSED</x:v>
      </x:c>
    </x:row>
    <x:row r="103">
      <x:c r="A103" s="24" t="str">
        <x:v>SRC-CBY-SANAA-CURR-2024</x:v>
      </x:c>
      <x:c r="B103" s="24" t="str">
        <x:v>https://www.saba.ye/ar/news3337222.htm</x:v>
      </x:c>
      <x:c r="C103" s="24" t="str">
        <x:v>["https://centralbank.gov.ye/upldImgAndFile/file/urgent.pdf"]</x:v>
      </x:c>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CITATION_CARD</x:v>
      </x:c>
      <x:c r="L103" s="168" t="str">
        <x:v>خبر يتعلق بالبنك المركزي اليمني – صنعاء (2024)</x:v>
      </x:c>
      <x:c r="M103" s="168"/>
      <x:c r="N103" s="168"/>
      <x:c r="O103" s="168"/>
      <x:c r="S103" t="str">
        <x:v>NOT_ASSESSED</x:v>
      </x:c>
      <x:c r="V103" t="str">
        <x:v>2026-09-26</x:v>
      </x:c>
      <x:c r="Y103" t="str">
        <x:v>وكالة الأنباء اليمنية سبأ (saba.ye)</x:v>
      </x:c>
      <x:c r="Z103" t="str">
        <x:v>Web page</x:v>
      </x:c>
      <x:c r="AA103" t="str">
        <x:v>صفحة إلكترونية</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التحويلات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Y104" t="str">
        <x:v>صندوق النقد الدولي</x:v>
      </x:c>
      <x:c r="Z104" t="str">
        <x:v>Staff report</x:v>
      </x:c>
      <x:c r="AA104" t="str">
        <x:v>تقرير خبراء</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التحويلات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التحويلات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W114" t="str">
        <x:v>method/standard</x:v>
      </x:c>
      <x:c r="X114" t="str">
        <x:v>global method reference</x:v>
      </x:c>
      <x:c r="Y114" t="str">
        <x:v>صندوق النقد الدولي</x:v>
      </x:c>
      <x:c r="Z114" t="str">
        <x:v>Method or standard</x:v>
      </x:c>
      <x:c r="AA114" t="str">
        <x:v>منهج أو معيار</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W115" t="str">
        <x:v>method/standard</x:v>
      </x:c>
      <x:c r="X115" t="str">
        <x:v>global method reference</x:v>
      </x:c>
      <x:c r="Y115" t="str">
        <x:v>صندوق النقد الدولي</x:v>
      </x:c>
      <x:c r="Z115" t="str">
        <x:v>Method or standard</x:v>
      </x:c>
      <x:c r="AA115" t="str">
        <x:v>منهج أو معيار</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W116" t="str">
        <x:v>method/standard</x:v>
      </x:c>
      <x:c r="X116" t="str">
        <x:v>global method reference</x:v>
      </x:c>
      <x:c r="Y116" t="str">
        <x:v>صندوق النقد الدولي</x:v>
      </x:c>
      <x:c r="Z116" t="str">
        <x:v>Method or standard</x:v>
      </x:c>
      <x:c r="AA116" t="str">
        <x:v>منهج أو معيار</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x:c r="C119" s="24" t="str"/>
      <x:c r="D119" s="24" t="str">
        <x:v>DS-K04-SOURCE-DEEP-INTAKE,DS-K04-CASH-FIN-TRANSMISSION</x:v>
      </x:c>
      <x:c r="E119" s="24" t="n">
        <x:v>2</x:v>
      </x:c>
      <x:c r="F119" s="168"/>
      <x:c r="G119" s="168"/>
      <x:c r="H119" s="168"/>
      <x:c r="I119" s="168"/>
      <x:c r="J119" s="168"/>
      <x:c r="K119" s="168" t="str">
        <x:v>LOCATOR_ONLY</x:v>
      </x:c>
      <x:c r="L119" s="168"/>
      <x:c r="M119" s="168"/>
      <x:c r="N119" s="168"/>
      <x:c r="O119" s="168"/>
      <x:c r="P119" t="str">
        <x:v>USER_PROVIDED_FILE: SAM_Multiplie Effect of Cash Study.pdf</x:v>
      </x:c>
      <x:c r="S119" t="str">
        <x:v>NOT_ASSESSED</x:v>
      </x:c>
    </x:row>
    <x:row r="120">
      <x:c r="A120" s="24" t="str">
        <x:v>SRC-CCY-CASH-DURATION-2026</x:v>
      </x:c>
      <x:c r="B120" s="24"/>
      <x:c r="C120" s="24" t="str"/>
      <x:c r="D120" s="24" t="str">
        <x:v>DS-K04-SOURCE-DEEP-INTAKE,DS-K04-CASH-FIN-TRANSMISSION</x:v>
      </x:c>
      <x:c r="E120" s="24" t="n">
        <x:v>2</x:v>
      </x:c>
      <x:c r="F120" s="168"/>
      <x:c r="G120" s="168"/>
      <x:c r="H120" s="168"/>
      <x:c r="I120" s="168"/>
      <x:c r="J120" s="168"/>
      <x:c r="K120" s="168" t="str">
        <x:v>LOCATOR_ONLY</x:v>
      </x:c>
      <x:c r="L120" s="168"/>
      <x:c r="M120" s="168"/>
      <x:c r="N120" s="168"/>
      <x:c r="O120" s="168"/>
      <x:c r="P120" t="str">
        <x:v>USER_PROVIDED_FILE: Cash Duration Report_CCY_2026.06.22.pdf</x:v>
      </x:c>
      <x:c r="S120" t="str">
        <x:v>NOT_ASSESSED</x:v>
      </x:c>
    </x:row>
    <x:row r="121">
      <x:c r="A121" s="24" t="str">
        <x:v>SRC-CCY-ISP-2024</x:v>
      </x:c>
      <x:c r="B121" s="24"/>
      <x:c r="C121" s="24" t="str"/>
      <x:c r="D121" s="24" t="str">
        <x:v>DS-K04-SOURCE-DEEP-INTAKE,DS-K04-CASH-FIN-TRANSMISSION</x:v>
      </x:c>
      <x:c r="E121" s="24" t="n">
        <x:v>2</x:v>
      </x:c>
      <x:c r="F121" s="168"/>
      <x:c r="G121" s="168"/>
      <x:c r="H121" s="168"/>
      <x:c r="I121" s="168"/>
      <x:c r="J121" s="168"/>
      <x:c r="K121" s="168" t="str">
        <x:v>LOCATOR_ONLY</x:v>
      </x:c>
      <x:c r="L121" s="168"/>
      <x:c r="M121" s="168"/>
      <x:c r="N121" s="168"/>
      <x:c r="O121" s="168"/>
      <x:c r="P121" t="str">
        <x:v>USER_PROVIDED_FILE: The Unseen Assistance_Measuring Informal Social Protection in Yemen.pdf</x:v>
      </x:c>
      <x:c r="S121" t="str">
        <x:v>NOT_ASSESSED</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x:c r="C123" s="24" t="str"/>
      <x:c r="D123" s="24" t="str">
        <x:v>DS-K04-SOURCE-DEEP-INTAKE,DS-K04-CASH-FIN-TRANSMISSION</x:v>
      </x:c>
      <x:c r="E123" s="24" t="n">
        <x:v>2</x:v>
      </x:c>
      <x:c r="F123" s="168"/>
      <x:c r="G123" s="168"/>
      <x:c r="H123" s="168"/>
      <x:c r="I123" s="168"/>
      <x:c r="J123" s="168"/>
      <x:c r="K123" s="168" t="str">
        <x:v>LOCATOR_ONLY</x:v>
      </x:c>
      <x:c r="L123" s="168"/>
      <x:c r="M123" s="168"/>
      <x:c r="N123" s="168"/>
      <x:c r="O123" s="168"/>
      <x:c r="P123" t="str">
        <x:v>USER_PROVIDED_FILE: Economic Impact of Iran-US War on Yemen_May 2026.pdf</x:v>
      </x:c>
      <x:c r="S123" t="str">
        <x:v>NOT_ASSESSED</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Y124" t="str">
        <x:v>AidData</x:v>
      </x:c>
      <x:c r="Z124" t="str">
        <x:v>Research or policy paper</x:v>
      </x:c>
      <x:c r="AA124" t="str">
        <x:v>ورقة بحثية أو سياساتية</x:v>
      </x:c>
      <x:c r="AB124" t="str">
        <x:v>2015-05-08</x:v>
      </x:c>
    </x:row>
    <x:row r="125">
      <x:c r="A125" s="24" t="str">
        <x:v>SRC-LIT-XIDIAN-YEM-FI-2025</x:v>
      </x:c>
      <x:c r="B125" s="24" t="str">
        <x:v>https://www.researchgate.net/publication/393091523_The_Reality_of_Financial_Inclusion_and_Crucial_Issues_in_Yemen</x:v>
      </x:c>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S125" t="str">
        <x:v>NOT_ASSESSED</x:v>
      </x:c>
    </x:row>
    <x:row r="126">
      <x:c r="A126" s="24" t="str">
        <x:v>SRC-LIT-INVEST-ISLAMIC-FI-2024</x:v>
      </x:c>
      <x:c r="B126" s="24" t="str">
        <x:v>https://jurnal.iainponorogo.ac.id/index.php/invest/article/view/8340</x:v>
      </x:c>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S126" t="str">
        <x:v>NOT_ASSESSED</x:v>
      </x:c>
    </x:row>
    <x:row r="127">
      <x:c r="A127" s="24" t="str">
        <x:v>SRC-LIT-OEB-FX-PRICES-2025</x:v>
      </x:c>
      <x:c r="B127" s="24" t="str">
        <x:v>https://asjp.cerist.dz/en/article/273259</x:v>
      </x:c>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c r="D131" s="24" t="str">
        <x:v>DS-K04-SOURCE-DEEP-INTAKE,DS-K04-LITERATURE-SOURCE-AUDIT,DS-K04-CAUSEWAY-READING-002</x:v>
      </x:c>
      <x:c r="E131" s="24" t="n">
        <x:v>3</x:v>
      </x:c>
      <x:c r="F131" s="168" t="str">
        <x:v>Challenges and Prospects for Electronic Money and Payment Systems in Yemen</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31" t="str">
        <x:v>NOT_ASSESSED</x:v>
      </x:c>
      <x:c r="Y131" t="str">
        <x:v>مركز صنعاء للدراسات الاستراتيجية</x:v>
      </x:c>
      <x:c r="Z131" t="str">
        <x:v>Research or policy paper</x:v>
      </x:c>
      <x:c r="AA131" t="str">
        <x:v>ورقة بحثية أو سياساتية</x:v>
      </x:c>
    </x:row>
    <x:row r="132">
      <x:c r="A132" s="24" t="str">
        <x:v>SRC-SANAA-MFB-2024</x:v>
      </x:c>
      <x:c r="B132" s="24" t="str">
        <x:v>https://sanaacenter.org/publications/policy-research/23418</x:v>
      </x:c>
      <x:c r="C132" s="24" t="str"/>
      <x:c r="D132" s="24" t="str">
        <x:v>DS-K04-SOURCE-DEEP-INTAKE,DS-K04-LITERATURE-SOURCE-AUDIT,DS-K04-CAUSEWAY-READING-002,DS-K04-MFB2023-RECON,DS-K04-MFB-TRANSFORM-LENS,DS-K04-CAUSEWAY-READING-003</x:v>
      </x:c>
      <x:c r="E132" s="24" t="n">
        <x:v>8</x:v>
      </x:c>
      <x:c r="F132" s="168" t="str">
        <x:v>Enhancing the Role of Microfinance Banks for Sustainable Impact in Yemen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S132" t="str">
        <x:v>NOT_ASSESSED</x:v>
      </x:c>
      <x:c r="Y132" t="str">
        <x:v>مركز صنعاء للدراسات الاستراتيجية</x:v>
      </x:c>
      <x:c r="Z132" t="str">
        <x:v>Research or policy paper</x:v>
      </x:c>
      <x:c r="AA132" t="str">
        <x:v>ورقة بحثية أو سياساتية</x:v>
      </x:c>
      <x:c r="AB132" t="str">
        <x:v>2024</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https://search.mandumah.com/Record/932295</x:v>
      </x:c>
      <x:c r="C135" s="24" t="str"/>
      <x:c r="D135" s="24" t="str">
        <x:v>DS-K04-SOURCE-DEEP-INTAKE,DS-K04-LITERATURE-SOURCE-AUDIT</x:v>
      </x:c>
      <x:c r="E135" s="24" t="n">
        <x:v>2</x:v>
      </x:c>
      <x:c r="F135" s="168"/>
      <x:c r="G135" s="168"/>
      <x:c r="H135" s="168"/>
      <x:c r="I135" s="168"/>
      <x:c r="J135" s="168"/>
      <x:c r="K135" s="168" t="str">
        <x:v>LOCATOR_ONLY</x:v>
      </x:c>
      <x:c r="L135" s="168"/>
      <x:c r="M135" s="168"/>
      <x:c r="N135" s="168"/>
      <x:c r="O135" s="168"/>
      <x:c r="S135" t="str">
        <x:v>NOT_ASSESSED</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Y144" t="str">
        <x:v>وكالة الأنباء السعودية</x:v>
      </x:c>
      <x:c r="Z144" t="str">
        <x:v>News release</x:v>
      </x:c>
      <x:c r="AA144" t="str">
        <x:v>بيان صحفي</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Y147" t="str">
        <x:v>وكالة الأنباء السعودية</x:v>
      </x:c>
      <x:c r="Z147" t="str">
        <x:v>News release</x:v>
      </x:c>
      <x:c r="AA147" t="str">
        <x:v>بيان صحفي</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Y148" t="str">
        <x:v>البنك الدولي</x:v>
      </x:c>
      <x:c r="Z148" t="str">
        <x:v>Project document</x:v>
      </x:c>
      <x:c r="AA148" t="str">
        <x:v>وثيقة مشروع</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Y149" t="str">
        <x:v>وكالة الأنباء السعودية</x:v>
      </x:c>
      <x:c r="Z149" t="str">
        <x:v>News release</x:v>
      </x:c>
      <x:c r="AA149" t="str">
        <x:v>بيان صحفي</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Y152" t="str">
        <x:v>البنك الدولي</x:v>
      </x:c>
      <x:c r="Z152" t="str">
        <x:v>Project document</x:v>
      </x:c>
      <x:c r="AA152" t="str">
        <x:v>وثيقة مشروع</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Y153" t="str">
        <x:v>المجموعة الاستشارية لمساعدة الفقراء (CGAP)</x:v>
      </x:c>
      <x:c r="Z153" t="str">
        <x:v>Research or policy paper</x:v>
      </x:c>
      <x:c r="AA153" t="str">
        <x:v>ورقة بحثية أو سياساتية</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2026-10-03</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Y158" t="str">
        <x:v>لجنة المدفوعات والبنى التحتية للأسواق (CPMI)، بنك التسويات الدولية</x:v>
      </x:c>
      <x:c r="Z158" t="str">
        <x:v>Research or policy paper</x:v>
      </x:c>
      <x:c r="AA158" t="str">
        <x:v>ورقة بحثية أو سياساتية</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Y159" t="str">
        <x:v>لجنة المدفوعات والبنى التحتية للأسواق (CPMI) ومجموعة البنك الدولي</x:v>
      </x:c>
      <x:c r="Z159" t="str">
        <x:v>Research or policy paper</x:v>
      </x:c>
      <x:c r="AA159" t="str">
        <x:v>ورقة بحثية أو سياساتية</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Y162" t="str">
        <x:v>مجموعة البنك الدولي</x:v>
      </x:c>
      <x:c r="Z162" t="str">
        <x:v>Research or policy paper</x:v>
      </x:c>
      <x:c r="AA162" t="str">
        <x:v>ورقة بحثية أو سياساتية</x:v>
      </x:c>
    </x:row>
    <x:row r="163">
      <x:c r="A163" t="str">
        <x:v>SRC-WB-YEM-CNL-2026-001</x:v>
      </x:c>
      <x:c r="B163" t="str">
        <x:v>https://www.worldbank.org/en/news/press-release/2026/06/30/improving-human-capital-and-building-livelihoods-for-vulnerable-families-in-yemen</x:v>
      </x:c>
      <x:c r="C163"/>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Y163" t="str">
        <x:v>البنك الدولي</x:v>
      </x:c>
      <x:c r="Z163" t="str">
        <x:v>News release</x:v>
      </x:c>
      <x:c r="AA163" t="str">
        <x:v>بيان صحفي</x:v>
      </x:c>
    </x:row>
    <x:row r="164">
      <x:c r="A164" t="str">
        <x:v>SRC-WB-YEM-ECON-MONITOR-2026-SPRING-001</x:v>
      </x:c>
      <x:c r="B164" t="str">
        <x:v>https://www.worldbank.org/en/news/press-release/2026/05/21/economic-strain-deepens-in-yemen-as-regional-risks-intensify</x:v>
      </x:c>
      <x:c r="C164" t="str">
        <x:v>["https://www.worldbank.org/en/programs/the-yemen-fund"]</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Y164" t="str">
        <x:v>البنك الدولي</x:v>
      </x:c>
      <x:c r="Z164" t="str">
        <x:v>Research or policy paper</x:v>
      </x:c>
      <x:c r="AA164" t="str">
        <x:v>ورقة بحثية أو سياساتية</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Y166" t="str">
        <x:v>البنك الدولي (G2Px)</x:v>
      </x:c>
      <x:c r="Z166" t="str">
        <x:v>Event or programme page</x:v>
      </x:c>
      <x:c r="AA166" t="str">
        <x:v>صفحة فعالية أو برنامج</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2026-10-03</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2026-09-26</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9" t="str">
        <x:v>Al-Amal Microfinance Bank</x:v>
      </x:c>
      <x:c r="R169" t="str">
        <x:v>FinDev Gateway</x:v>
      </x:c>
      <x:c r="S169" t="str">
        <x:v>NOT_ASSESSED</x:v>
      </x:c>
      <x:c r="V169" t="str">
        <x:v>2026-09-26</x:v>
      </x:c>
      <x:c r="Y169" t="str">
        <x:v>بنك الأمل للتمويل الأصغر (منشور على منصة FinDev Gateway)</x:v>
      </x:c>
      <x:c r="Z169" t="str">
        <x:v>Research or policy paper</x:v>
      </x:c>
      <x:c r="AA169" t="str">
        <x:v>ورقة بحثية أو سياساتية</x:v>
      </x:c>
      <x:c r="AB169" t="str">
        <x:v>2026-09</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100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231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111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2026-10-03</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2026-10-03</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2026-10-03</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2026-10-03</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2026-10-03</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2026-10-03</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2026-10-03</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2026-10-03</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2026-10-03</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2026-10-03</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2026-10-03</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2026-10-03</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2026-10-03</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2026-10-03</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2026-10-03</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2026-10-03</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2026-10-03</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2026-10-03</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2026-10-03</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2026-10-03</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2026-10-03</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2026-10-03</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2026-10-03</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2026-10-03</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2026-10-03</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2026-10-03</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1" s="24" t="str">
        <x:v>Names are non-public lineage at every corroboration tier (owner decisions of 3 October 2026, 09:05, point 1).</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2" s="24" t="str">
        <x:v>Names are non-public lineage at every corroboration tier (owner decisions of 3 October 2026, 09:05, point 1).</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3" s="24" t="str">
        <x:v>Names are non-public lineage at every corroboration tier (owner decisions of 3 October 2026, 09:05, point 1).</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4" s="24" t="str">
        <x:v>Names are non-public lineage at every corroboration tier (owner decisions of 3 October 2026, 09:05, point 1).</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5" s="24" t="str">
        <x:v>Names are non-public lineage at every corroboration tier (owner decisions of 3 October 2026, 09:05, point 1).</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6" s="24" t="str">
        <x:v>Names are non-public lineage at every corroboration tier (owner decisions of 3 October 2026, 09:05, point 1).</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7" s="24" t="str">
        <x:v>Names are non-public lineage at every corroboration tier (owner decisions of 3 October 2026, 09:05, point 1).</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8" s="24" t="str">
        <x:v>Names are non-public lineage at every corroboration tier (owner decisions of 3 October 2026, 09:05, point 1).</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9" s="24" t="str">
        <x:v>Names are non-public lineage at every corroboration tier (owner decisions of 3 October 2026, 09:05, point 1).</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0" s="24" t="str">
        <x:v>Names are non-public lineage at every corroboration tier (owner decisions of 3 October 2026, 09:05, point 1).</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1" s="24" t="str">
        <x:v>Names are non-public lineage at every corroboration tier (owner decisions of 3 October 2026, 09:05, point 1).</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2" s="24" t="str">
        <x:v>Names are non-public lineage at every corroboration tier (owner decisions of 3 October 2026, 09:05, point 1).</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3" s="24" t="str">
        <x:v>Names are non-public lineage at every corroboration tier (owner decisions of 3 October 2026, 09:05, point 1).</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4" s="24" t="str">
        <x:v>Names are non-public lineage at every corroboration tier (owner decisions of 3 October 2026, 09:05, point 1).</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5" s="24" t="str">
        <x:v>Names are non-public lineage at every corroboration tier (owner decisions of 3 October 2026, 09:05, point 1).</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6" s="24" t="str">
        <x:v>Names are non-public lineage at every corroboration tier (owner decisions of 3 October 2026, 09:05, point 1).</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7" s="24" t="str">
        <x:v>Names are non-public lineage at every corroboration tier (owner decisions of 3 October 2026, 09:05, point 1).</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8" s="24" t="str">
        <x:v>Names are non-public lineage at every corroboration tier (owner decisions of 3 October 2026, 09:05, point 1).</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9" s="24" t="str">
        <x:v>Names are non-public lineage at every corroboration tier (owner decisions of 3 October 2026, 09:05, point 1).</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0" s="24" t="str">
        <x:v>Names are non-public lineage at every corroboration tier (owner decisions of 3 October 2026, 09:05, point 1).</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1" s="24" t="str">
        <x:v>Names are non-public lineage at every corroboration tier (owner decisions of 3 October 2026, 09:05, point 1).</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2" s="24" t="str">
        <x:v>Names are non-public lineage at every corroboration tier (owner decisions of 3 October 2026, 09:05, point 1).</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3" s="24" t="str">
        <x:v>Names are non-public lineage at every corroboration tier (owner decisions of 3 October 2026, 09:05, point 1).</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4" s="24" t="str">
        <x:v>Names are non-public lineage at every corroboration tier (owner decisions of 3 October 2026, 09:05, point 1).</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5" s="24" t="str">
        <x:v>Names are non-public lineage at every corroboration tier (owner decisions of 3 October 2026, 09:05, point 1).</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6" s="24" t="str">
        <x:v>Names are non-public lineage at every corroboration tier (owner decisions of 3 October 2026, 09:05, point 1).</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7" s="24" t="str">
        <x:v>Names are non-public lineage at every corroboration tier (owner decisions of 3 October 2026, 09:05, point 1).</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8" s="24" t="str">
        <x:v>Names are non-public lineage at every corroboration tier (owner decisions of 3 October 2026, 09:05, point 1).</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9" s="24" t="str">
        <x:v>Names are non-public lineage at every corroboration tier (owner decisions of 3 October 2026, 09:05, point 1).</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NON-PUBLIC LINEAGE ONLY (owner decisions of 3 October 2026, 09:05, point 1): the name is printed on no page, table, search record or social image. The public record shows the dated event, decision number, class and action only.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2026-10-03</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the dated list's source, date and count (12 wallets, entities or services). The names are non-public lineage and are not printed (owner decisions of 3 October 2026, 09:05, point 2).</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event, decision number, class and action. The entity names are non-public lineage and are not printed (owner note of 3 October 2026, 03:10, point 1; owner decisions of 3 October 2026, 09:05, point 1).</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May show the dated event, decision number, class and action. The entity names are non-public lineage and are not printed (owner note of 3 October 2026, 03:10, point 1; owner decisions of 3 October 2026, 09:05, point 1).</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May show the dated event, decision number, class and action. The entity names are non-public lineage and are not printed (owner note of 3 October 2026, 03:10, point 1; owner decisions of 3 October 2026, 09:05, point 1).</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May show the dated event, decision number, class and action. The entity names are non-public lineage and are not printed (owner note of 3 October 2026, 03:10, point 1; owner decisions of 3 October 2026, 09:05, point 1).</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One exchange-company branch (PRV-EXCH-B004A; the name is non-public lineage)</x:v>
      </x:c>
      <x:c r="F82" s="24" t="str">
        <x:v>EXCHANGE_BRANCH</x:v>
      </x:c>
      <x:c r="G82" s="24" t="str">
        <x:v>LICENCE_WITHDRAWAL_EVENT</x:v>
      </x:c>
      <x:c r="H82" s="24" t="str">
        <x:v>Governor Decision No. 2 of 2026 withdraws the licence of a non-compliant exchange-company branch (PRV-EXCH-B004A) based on Banking Supervision field-inspection reporting.</x:v>
      </x:c>
      <x:c r="I82" s="24" t="str">
        <x:v>PRIMARY_BRANCH_SUBJECT_PRESENT_IN_15_PROVIDER_MASTER</x:v>
      </x:c>
      <x:c r="J82" s="24" t="str">
        <x:v>May show the dated branch-level event, decision number, class and action. The entity names are non-public lineage and are not printed (owner note of 3 October 2026, 03:10, point 1; owner decisions of 3 October 2026, 09:05, point 1).</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One exchange-company branch (PRV-EXCH-B005A; the name is non-public lineage)</x:v>
      </x:c>
      <x:c r="F83" s="24" t="str">
        <x:v>EXCHANGE_BRANCH</x:v>
      </x:c>
      <x:c r="G83" s="24" t="str">
        <x:v>LICENCE_WITHDRAWAL_EVENT</x:v>
      </x:c>
      <x:c r="H83" s="24" t="str">
        <x:v>Governor Decision No. 3 of 2026 withdraws the licence of an exchange-company branch (PRV-EXCH-B005A) based on Banking Supervision field-inspection reporting.</x:v>
      </x:c>
      <x:c r="I83" s="24" t="str">
        <x:v>PRIMARY_BRANCH_SUBJECT_PRESENT_IN_15_PROVIDER_MASTER</x:v>
      </x:c>
      <x:c r="J83" s="24" t="str">
        <x:v>May show the dated branch-level event, decision number, class and action. The entity names are non-public lineage and are not printed (owner note of 3 October 2026, 03:10, point 1; owner decisions of 3 October 2026, 09:05, point 1).</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decision number, class and action. The entity names are non-public lineage and are not printed (owner note of 3 October 2026, 03:10, point 1; owner decisions of 3 October 2026, 09:05, point 1).</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decision number, class and action. The entity names are non-public lineage and are not printed (owner note of 3 October 2026, 03:10, point 1; owner decisions of 3 October 2026, 09:05, point 1).</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One exchange-company branch — Al-Mahra (PRV-EXCH-B014A; the name is non-public lineage)</x:v>
      </x:c>
      <x:c r="F86" s="24" t="str">
        <x:v>EXCHANGE_BRANCH</x:v>
      </x:c>
      <x:c r="G86" s="24" t="str">
        <x:v>LICENCE_SUSPENSION_AND_CLOSURE_EVENT</x:v>
      </x:c>
      <x:c r="H86" s="24" t="str">
        <x:v>Governor Decision No. 6 of 2026 suspends the licence of an exchange-company branch in Al-Mahra (PRV-EXCH-B014A) and closes its premises.</x:v>
      </x:c>
      <x:c r="I86" s="24" t="str">
        <x:v>PRIMARY_BRANCH_SUBJECT_PRESENT_IN_15_PROVIDER_MASTER</x:v>
      </x:c>
      <x:c r="J86" s="24" t="str">
        <x:v>May show the dated branch-level event, decision number, class and action. The entity names are non-public lineage and are not printed (owner note of 3 October 2026, 03:10, point 1; owner decisions of 3 October 2026, 09:05, point 1).</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decision number, class, action and the district the decision names;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One remittance agent — Shabwa/Habban (PRV-REM-E002; the name is non-public lineage)</x:v>
      </x:c>
      <x:c r="F88" s="24" t="str">
        <x:v>REMITTANCE_AGENT</x:v>
      </x:c>
      <x:c r="G88" s="24" t="str">
        <x:v>LICENCE_SUSPENSION_AND_CLOSURE_EVENT</x:v>
      </x:c>
      <x:c r="H88" s="24" t="str">
        <x:v>Governor Decision No. 10 of 2026 suspends the licence of a remittance agent in Shabwa/Habban (PRV-REM-E002)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 The entity names are non-public lineage and are not printed (owner note of 3 October 2026, 03:10, point 1; owner decisions of 3 October 2026, 09:05, point 1).</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One remittance agent — Lahj/Yafa Al-Hadd (PRV-REM-E003; the name is non-public lineage)</x:v>
      </x:c>
      <x:c r="F89" s="24" t="str">
        <x:v>REMITTANCE_AGENT</x:v>
      </x:c>
      <x:c r="G89" s="24" t="str">
        <x:v>LICENCE_SUSPENSION_AND_CLOSURE_EVENT</x:v>
      </x:c>
      <x:c r="H89" s="24" t="str">
        <x:v>Governor Decision No. 11 of 2026 suspends the licence of a remittance agent in Lahj/Yafa Al-Hadd (PRV-REM-E003) and closes the premises.</x:v>
      </x:c>
      <x:c r="I89" s="24" t="str">
        <x:v>PRIMARY_OFFICIAL_EVENT_AND_SUBJECT_VERIFIED</x:v>
      </x:c>
      <x:c r="J89" s="24" t="str">
        <x:v>May show the dated event, decision number, class and action. The entity names are non-public lineage and are not printed (owner note of 3 October 2026, 03:10, point 1; owner decisions of 3 October 2026, 09:05, point 1).</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One exchange and transfers company (PRV-EXCH-E022; the name is non-public lineage)</x:v>
      </x:c>
      <x:c r="F90" t="str">
        <x:v>EXCHANGE_COMPANY</x:v>
      </x:c>
      <x:c r="G90" t="str">
        <x:v>LICENCE_SUSPENSION_AND_CLOSURE_EVENT</x:v>
      </x:c>
      <x:c r="H90" t="str">
        <x:v>Governor Decision No. 17 of 2026 suspends the licence granted to an exchange and transfers company (PRV-EXCH-E022) and closes its premises, based on violations recorded in a field-inspection report from Banking Supervision.</x:v>
      </x:c>
      <x:c r="I90" t="str">
        <x:v>PRIMARY_OFFICIAL_EVENT_AND_SUBJECT_VERIFIED</x:v>
      </x:c>
      <x:c r="J90" t="str">
        <x:v>May show the dated event, decision number, class and action. The entity names are non-public lineage and are not printed (owner note of 3 October 2026, 03:10, point 1; owner decisions of 3 October 2026, 09:05, point 1).</x:v>
      </x:c>
      <x:c r="K90" t="str">
        <x:v>Does not establish the complete 2026 provider universe, the status of other entities, or a later status for this company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7.0</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24" t="str">
        <x:v>WB-FINDEX-CTX-2021-LIC</x:v>
      </x:c>
      <x:c r="B14" s="24" t="str">
        <x:v>account_t_d</x:v>
      </x:c>
      <x:c r="C14" s="24" t="str">
        <x:v>Account ownership (same definition as FX.OWN.TOTL.ZS)</x:v>
      </x:c>
      <x:c r="D14" s="24" t="str">
        <x:v>low-income economies (19 economies with a 2021-wave observation, Yemen included)</x:v>
      </x:c>
      <x:c r="E14" s="24" t="str">
        <x:v>2021 wave</x:v>
      </x:c>
      <x:c r="F14" s="24" t="n">
        <x:v>35.2</x:v>
      </x:c>
      <x:c r="G14" s="24" t="str">
        <x:v>percent of population ages 15+</x:v>
      </x:c>
      <x:c r="H14" s="24" t="str">
        <x:v>World Bank Global Findex</x:v>
      </x:c>
      <x:c r="I14" s="24" t="str">
        <x:v>https://thedocs.worldbank.org/en/doc/be6615202d1f08a25855c8ac2d615122-0050012025/related/GlobalFindexDatabase2025.csv</x:v>
      </x:c>
      <x:c r="J14" s="24" t="str">
        <x:v>PUBLIC_PRIMARY_AGGREGATE_CONTEXT</x:v>
      </x:c>
      <x:c r="K14" s="24" t="str">
        <x:v>World Bank aggregate 0.351821646573129 (Global Findex Database 2025, row Low income, 2021, all); reproduced as the adult-population-weighted mean of the 19 economies the file classes Low income with a 2021-wave observation, Yemen's 2022 observation included. Context only: not a benchmark, target or ranking.</x:v>
      </x:c>
    </x:row>
    <x:row r="15">
      <x:c r="A15" s="142" t="str">
        <x:v>WB-FINDEX-CURRENTNESS-2025-001</x:v>
      </x:c>
      <x:c r="B15" s="142" t="str">
        <x:v>FINDEX_EDITION</x:v>
      </x:c>
      <x:c r="C15" s="142" t="str">
        <x:v>Current Global Findex edition and Yemen observation coverage</x:v>
      </x:c>
      <x:c r="D15" s="142" t="str">
        <x:v>Yemen</x:v>
      </x:c>
      <x:c r="E15" s="142" t="str">
        <x:v>2025 publication / latest Yemen observation 2022</x:v>
      </x:c>
      <x:c r="F15" s="142"/>
      <x:c r="G15" s="142" t="str">
        <x:v>coverage / currentness</x:v>
      </x:c>
      <x:c r="H15" s="142" t="str">
        <x:v>World Bank Global Findex</x:v>
      </x:c>
      <x:c r="I15" s="142" t="str">
        <x:v>https://www.worldbank.org/en/publication/globalfindex/download-data</x:v>
      </x:c>
      <x:c r="J15" s="142" t="str">
        <x:v>METHOD_CURRENTNESS</x:v>
      </x:c>
      <x:c r="K15"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HOLD__MICRODATA_PLUS_RURALITY_METHOD_REVIEW</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until exact variable semantics and coverage are reviewed.</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HOLD__MICRODATA_PLUS_RURALITY_METHOD_REVIEW</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until exact variable semantics and coverage are reviewed.</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HOLD__MICRODATA_PLUS_RURALITY_METHOD_REVIEW</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until exact variable semantics and coverage are reviewed.</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HOLD__MICRODATA_PLUS_RURALITY_METHOD_REVIEW</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until exact variable semantics and coverage are reviewed.</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HOLD__MICRODATA_PLUS_RURALITY_METHOD_REVIEW</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until exact variable semantics and coverage are reviewed.</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HOLD__MICRODATA_PLUS_RURALITY_METHOD_REVIEW</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until exact variable semantics and coverage are reviewed.</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HOLD__MICRODATA_PLUS_RURALITY_METHOD_REVIEW</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until exact variable semantics and coverage are reviewed.</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HOLD__MICRODATA_PLUS_RURALITY_METHOD_REVIEW</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until exact variable semantics and coverage are reviewed.</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HOLD__MICRODATA_PLUS_RURALITY_METHOD_REVIEW</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until exact variable semantics and coverage are reviewed.</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HOLD__MICRODATA_PLUS_RURALITY_METHOD_REVIEW</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until exact variable semantics and coverage are reviewed.</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HOLD__MICRODATA_PLUS_RURALITY_METHOD_REVIEW</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until exact variable semantics and coverage are reviewed.</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HOLD__MICRODATA_PLUS_RURALITY_METHOD_REVIEW</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until exact variable semantics and coverage are reviewed.</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HOLD__MICRODATA_PLUS_RURALITY_METHOD_REVIEW</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until exact variable semantics and coverage are reviewed.</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HOLD__MICRODATA_PLUS_RURALITY_METHOD_REVIEW</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until exact variable semantics and coverage are reviewed.</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HOLD__MICRODATA_PLUS_RURALITY_METHOD_REVIEW</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until exact variable semantics and coverage are reviewed.</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HOLD__MICRODATA_PLUS_RURALITY_METHOD_REVIEW</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until exact variable semantics and coverage are reviewed.</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HOLD__MICRODATA_PLUS_RURALITY_METHOD_REVIEW</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until exact variable semantics and coverage are reviewed.</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HOLD__MICRODATA_PLUS_RURALITY_METHOD_REVIEW</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until exact variable semantics and coverage are reviewed.</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HOLD__MICRODATA_PLUS_RURALITY_METHOD_REVIEW</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until exact variable semantics and coverage are reviewed.</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HOLD__MICRODATA_PLUS_RURALITY_METHOD_REVIEW</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until exact variable semantics and coverage are reviewed.</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HOLD__MICRODATA_PLUS_RURALITY_METHOD_REVIEW</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until exact variable semantics and coverage are reviewed.</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HOLD__MICRODATA_PLUS_RURALITY_METHOD_REVIEW</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until exact variable semantics and coverage are reviewed.</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HOLD__MICRODATA_PLUS_RURALITY_METHOD_REVIEW</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until exact variable semantics and coverage are reviewed.</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HOLD__MICRODATA_PLUS_RURALITY_METHOD_REVIEW</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until exact variable semantics and coverage are reviewed.</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HOLD__MICRODATA_PLUS_RURALITY_METHOD_REVIEW</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until exact variable semantics and coverage are reviewed.</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HOLD__MICRODATA_PLUS_RURALITY_METHOD_REVIEW</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until exact variable semantics and coverage are reviewed.</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HOLD__MICRODATA_PLUS_RURALITY_METHOD_REVIEW</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until exact variable semantics and coverage are reviewed.</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HOLD__MICRODATA_PLUS_RURALITY_METHOD_REVIEW</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until exact variable semantics and coverage are reviewed.</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HOLD__MICRODATA_PLUS_RURALITY_METHOD_REVIEW</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until exact variable semantics and coverage are reviewed.</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HOLD__MICRODATA_PLUS_RURALITY_METHOD_REVIEW</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until exact variable semantics and coverage are reviewed.</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HOLD__MICRODATA_PLUS_RURALITY_METHOD_REVIEW</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until exact variable semantics and coverage are reviewed.</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HOLD__MICRODATA_PLUS_RURALITY_METHOD_REVIEW</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until exact variable semantics and coverage are reviewed.</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not yet held in the controlled evidence library.</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NO</x:v>
      </x:c>
      <x:c r="C23" s="24" t="str">
        <x:v>Evidence custody</x:v>
      </x:c>
      <x:c r="D23" s="24" t="str">
        <x:v>Do not claim weighted microdata calculations have been completed.</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Login required for Yemen Findex microdata retrieval at the current catalog page</x:v>
      </x:c>
      <x:c r="C29" s="24" t="str">
        <x:v>World Bank Microdata Library — YEM_2022_FINDEX_v01_M / Get Microdata</x:v>
      </x:c>
      <x:c r="D29" s="24" t="str">
        <x:v>The catalog exposes metadata publicly but requires login to retrieve the respondent-level file. The Production Master records respondent_microdata_controlled=NO; public indicators in this system are therefore not described as re-estimated from controlled respondent microdata.</x:v>
      </x:c>
      <x:c r="E29" s="24" t="str">
        <x:v>If microdata are later acquired, verify the item-specific access category and terms before storage, analysis or redistribution.</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NON_PUBLIC__PROVENANCE_DEFECT</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NON_PUBLIC__PROVENANCE_DEFECT</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NON_PUBLIC__PROVENANCE_DEFECT</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NON_PUBLIC__PROVENANCE_DEFECT</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NON_PUBLIC__PROVENANCE_DEFECT</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NON_PUBLIC__PROVENANCE_DEFECT</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NON_PUBLIC__PROVENANCE_DEFECT</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NON_PUBLIC__PROVENANCE_DEFECT</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NON_PUBLIC__PROVENANCE_DEFECT</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NON_PUBLIC__PROVENANCE_DEFECT</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NON_PUBLIC__PROVENANCE_DEFECT</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NON_PUBLIC__PROVENANCE_DEFECT</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NON_PUBLIC__PROVENANCE_DEFECT</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NON_PUBLIC__PROVENANCE_DEFECT</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NON_PUBLIC__PROVENANCE_DEFECT</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NON_PUBLIC__PROVENANCE_DEFECT</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NON_PUBLIC__PROVENANCE_DEFECT</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NON_PUBLIC__PROVENANCE_DEFECT</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NON_PUBLIC__PROVENANCE_DEFECT</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NON_PUBLIC__PROVENANCE_DEFECT</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NON_PUBLIC__PROVENANCE_DEFECT</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NON_PUBLIC__PROVENANCE_DEFECT</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NON_PUBLIC__PROVENANCE_DEFECT</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NON_PUBLIC__PROVENANCE_DEFECT</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NON_PUBLIC__PROVENANCE_DEFECT</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NOT_VERIFIED_AGAINST_OECD_TEXT</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NOT_VERIFIED_AGAINST_OECD_TEXT</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NOT_VERIFIED_AGAINST_OECD_TEXT</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NOT_VERIFIED_AGAINST_OECD_TEXT</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NOT_VERIFIED_AGAINST_OECD_TEXT</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NOT_VERIFIED_AGAINST_OECD_TEXT</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2025-09-01</x:v>
      </x:c>
      <x:c r="C7" s="24" t="str">
        <x:v>World Bank / UNDP project</x:v>
      </x:c>
      <x:c r="D7" s="24" t="str">
        <x:v>FMIIP effective</x:v>
      </x:c>
      <x:c r="E7" s="24" t="str">
        <x:v>The World Bank-financed Yemen Financial Market Infrastructure and Inclusion Project (P180708), implemented by UNDP with CBY-Aden as primary beneficiary, became effective on 1 September 2025, after Board approval on 17 June 2025 and signing on 26 June 2025 (World Bank ISR for P180708, sequence 2 (8 April 2026), key dates and components). The report gives no separate start date.</x:v>
      </x:c>
      <x:c r="F7" s="24" t="str">
        <x:v>PROJECT_START</x:v>
      </x:c>
      <x:c r="G7" s="24" t="str">
        <x:v>/reforms/projects</x:v>
      </x:c>
      <x:c r="H7" s="24" t="str">
        <x:v>https://documents.worldbank.org/en/publication/documents-reports/documentdetail/099040826144025755</x:v>
      </x:c>
    </x:row>
    <x:row r="8">
      <x:c r="A8" s="24" t="str">
        <x:v>REF-PAY-003</x:v>
      </x:c>
      <x:c r="B8" s="24" t="str">
        <x:v>2025-06-17</x:v>
      </x:c>
      <x:c r="C8" s="24" t="str">
        <x:v>FMIIP component</x:v>
      </x:c>
      <x:c r="D8" s="24" t="str">
        <x:v>Fast Payment System</x:v>
      </x:c>
      <x:c r="E8" s="24" t="str">
        <x:v>Project component 'Development of Fast Payment Systems (FPS)', approved with the project on 17 June 2025 (World Bank ISR for P180708, sequence 2 (8 April 2026), key dates and components).</x:v>
      </x:c>
      <x:c r="F8" s="24" t="str">
        <x:v>PAYMENT_RAIL_COMPONENT</x:v>
      </x:c>
      <x:c r="G8" s="24" t="str">
        <x:v>/reforms/projects</x:v>
      </x:c>
      <x:c r="H8" s="24" t="str">
        <x:v>https://documents.worldbank.org/en/publication/documents-reports/documentdetail/099040826144025755</x:v>
      </x:c>
    </x:row>
    <x:row r="9">
      <x:c r="A9" s="24" t="str">
        <x:v>REF-PAY-004</x:v>
      </x:c>
      <x:c r="B9" s="24" t="str">
        <x:v>2025-06-17</x:v>
      </x:c>
      <x:c r="C9" s="24" t="str">
        <x:v>FMIIP component</x:v>
      </x:c>
      <x:c r="D9" s="24" t="str">
        <x:v>RTGS + CBY core banking</x:v>
      </x:c>
      <x:c r="E9" s="24" t="str">
        <x:v>Project component 'Development of a Real Time Gross Settlement System and upgrading Core Banking for CBY Aden', approved with the project on 17 June 2025 (World Bank ISR for P180708, sequence 2 (8 April 2026), key dates and components).</x:v>
      </x:c>
      <x:c r="F9" s="24" t="str">
        <x:v>PAYMENT_RAIL_COMPONENT</x:v>
      </x:c>
      <x:c r="G9" s="24" t="str">
        <x:v>/reforms/projects</x:v>
      </x:c>
      <x:c r="H9" s="24" t="str">
        <x:v>https://documents.worldbank.org/en/publication/documents-reports/documentdetail/099040826144025755</x:v>
      </x:c>
    </x:row>
    <x:row r="10">
      <x:c r="A10" s="24" t="str">
        <x:v>REF-PAY-005</x:v>
      </x:c>
      <x:c r="B10" s="24" t="str">
        <x:v>2025-06-17</x:v>
      </x:c>
      <x:c r="C10" s="24" t="str">
        <x:v>FMIIP component</x:v>
      </x:c>
      <x:c r="D10" s="24" t="str">
        <x:v>Access-point database and usage support</x:v>
      </x:c>
      <x:c r="E10" s="24" t="str">
        <x:v>Project component 'Supporting access and usage of the payment's infrastructure', approved with the project on 17 June 2025 (World Bank ISR for P180708, sequence 2 (8 April 2026), key dates and components); its results indicators are merchants accepting electronic payments, active bank and e-wallet accounts and agents. The UNDP description of an access-point database is not read here.</x:v>
      </x:c>
      <x:c r="F10" s="24" t="str">
        <x:v>ACCESS_USAGE_COMPONENT</x:v>
      </x:c>
      <x:c r="G10" s="24" t="str">
        <x:v>/access + /reforms/projects</x:v>
      </x:c>
      <x:c r="H10" s="24" t="str">
        <x:v>https://documents.worldbank.org/en/publication/documents-reports/documentdetail/099040826144025755</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التحويلات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CBY lists/hosts the law; Ministry of Justice public registry identifies Law No. 21/2008 while another government legal library identifies Law No. 40/2008.</x:v>
      </x:c>
      <x:c r="E128" s="24" t="str">
        <x:v>CROSS_GOVERNMENT_LEGAL_IDENTITY_CONFLICT</x:v>
      </x:c>
      <x:c r="F128" s="24" t="str">
        <x:v>HOLD_DEFINITIVE_LAW_NUMBER__VERIFY_GAZETTE_OR_AUTHORITATIVE_SCAN</x:v>
      </x:c>
      <x:c r="G128" s="24" t="str">
        <x:v>Existence may be stated; definitive number and operative clauses remain held until source identity is resolved.</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decision number, entity class or branch type, and action, with the annual-roster context and the fact that current operation requires entity-level reconciliation. Entity names are non-public lineage and are not shown.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143</x:v>
      </x:c>
      <x:c r="D5" s="24" t="n">
        <x:f>COUNTA('02_SITE_MAP'!A5:A300)</x:f>
        <x:v>143</x:v>
      </x:c>
      <x:c r="E5" s="24" t="str">
        <x:f>IF(D5=C5,"READY","REVIEW")</x:f>
        <x:v>READY</x:v>
      </x:c>
      <x:c r="F5" s="24" t="str">
        <x:v>02_SITE_MAP</x:v>
      </x:c>
      <x:c r="G5" s="24" t="str">
        <x:v>Every site page instance is represented.</x:v>
      </x:c>
    </x:row>
    <x:row r="6">
      <x:c r="A6" s="24" t="str">
        <x:v>Site</x:v>
      </x:c>
      <x:c r="B6" s="24" t="str">
        <x:v>Bilingual page sections</x:v>
      </x:c>
      <x:c r="C6" s="24" t="n">
        <x:v>574</x:v>
      </x:c>
      <x:c r="D6" s="24" t="n">
        <x:v>574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10</x:v>
      </x:c>
      <x:c r="D10" s="24" t="n">
        <x:f>COUNTA('08_READINGS'!A5:A50)</x:f>
        <x:v>10</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23</x:v>
      </x:c>
      <x:c r="D14" s="24" t="n">
        <x:v>23</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165</x:v>
      </x:c>
      <x:c r="D15" s="24" t="n">
        <x:v>165</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97</x:v>
      </x:c>
      <x:c r="D19" s="24" t="n">
        <x:f>COUNTA('19_PAYMENTS_DATA'!A5:A200)</x:f>
        <x:v>97</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23</x:v>
      </x:c>
      <x:c r="D21" s="24" t="n">
        <x:f>COUNTA('23_REMITTANCES'!A5:A100)</x:f>
        <x:v>23</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