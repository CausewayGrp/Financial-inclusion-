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143</x:v>
      </x:c>
      <x:c r="C14" s="23" t="n">
        <x:v>143</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574</x:v>
      </x:c>
      <x:c r="C15" s="23" t="n">
        <x:v>574</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110</x:v>
      </x:c>
      <x:c r="C17" s="23" t="n">
        <x:v>110</x:v>
      </x:c>
    </x:row>
    <x:row r="18">
      <x:c r="A18" s="23" t="str">
        <x:v>Public claims</x:v>
      </x:c>
      <x:c r="B18" s="23" t="n">
        <x:f>COUNTA('07_PUBLIC_CLAIMS'!A5:A200)</x:f>
        <x:v>60</x:v>
      </x:c>
      <x:c r="C18" s="23" t="n">
        <x:v>60</x:v>
      </x:c>
    </x:row>
    <x:row r="19">
      <x:c r="A19" s="23" t="str">
        <x:v>Readings</x:v>
      </x:c>
      <x:c r="B19" s="23" t="n">
        <x:f>COUNTA('08_READINGS'!A5:A50)</x:f>
        <x:v>10</x:v>
      </x:c>
      <x:c r="C19" s="23" t="n">
        <x:v>10</x:v>
      </x:c>
    </x:row>
    <x:row r="20">
      <x:c r="A20" s="23" t="str">
        <x:v>Measurement priorities</x:v>
      </x:c>
      <x:c r="B20" s="23" t="n">
        <x:f>COUNTA('10_MEASUREMENT_AGENDA'!A5:A50)</x:f>
        <x:v>10</x:v>
      </x:c>
      <x:c r="C20" s="23" t="n">
        <x:v>10</x:v>
      </x:c>
    </x:row>
    <x:row r="21">
      <x:c r="A21" s="23" t="str">
        <x:v>Visual objects</x:v>
      </x:c>
      <x:c r="B21" s="23" t="n">
        <x:f>COUNTA('11_VISUAL_LIBRARY'!A5:A100)</x:f>
        <x:v>36</x:v>
      </x:c>
      <x:c r="C21" s="23" t="n">
        <x:v>36</x:v>
      </x:c>
    </x:row>
    <x:row r="22">
      <x:c r="A22" s="23" t="str">
        <x:v>System relationships</x:v>
      </x:c>
      <x:c r="B22" s="23" t="n">
        <x:f>COUNTA('13_SYSTEM_RELATIONSHIPS'!A5:A100)</x:f>
        <x:v>26</x:v>
      </x:c>
      <x:c r="C22" s="23" t="n">
        <x:v>26</x:v>
      </x:c>
    </x:row>
    <x:row r="23">
      <x:c r="A23" s="23" t="str">
        <x:v>Chronology events</x:v>
      </x:c>
      <x:c r="B23" s="23" t="n">
        <x:v>23</x:v>
      </x:c>
      <x:c r="C23" s="23" t="n">
        <x:v>23</x:v>
      </x:c>
    </x:row>
    <x:row r="24">
      <x:c r="A24" s="23" t="str">
        <x:v>Sources</x:v>
      </x:c>
      <x:c r="B24" s="23" t="n">
        <x:v>165</x:v>
      </x:c>
      <x:c r="C24" s="23" t="n">
        <x:v>165</x:v>
      </x:c>
    </x:row>
    <x:row r="25">
      <x:c r="A25" s="23" t="str">
        <x:v>Datasets</x:v>
      </x:c>
      <x:c r="B25" s="23" t="n">
        <x:f>COUNTA('16_DATASET_CATALOG'!A5:A400)</x:f>
        <x:v>211</x:v>
      </x:c>
      <x:c r="C25" s="23" t="n">
        <x:v>211</x:v>
      </x:c>
    </x:row>
    <x:row r="26">
      <x:c r="A26" s="23" t="str">
        <x:v>Indicators</x:v>
      </x:c>
      <x:c r="B26" s="23" t="n">
        <x:f>COUNTA('17_INDICATOR_LIBRARY'!A5:A400)</x:f>
        <x:v>216</x:v>
      </x:c>
      <x:c r="C26" s="23" t="n">
        <x:v>216</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1651</x:v>
      </x:c>
      <x:c r="C36" s="23" t="str">
        <x:v>count</x:v>
      </x:c>
      <x:c r="D36" s="23" t="str">
        <x:v>Jun-2026</x:v>
      </x:c>
      <x:c r="E36" s="23" t="str">
        <x:v>SRC-CBY-POS-2026-06</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100 exchange companies, 231 exchange establishments, 111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t="str">
        <x:v>EVIDENCE LANDSCAPE / مشهد الأدلة</x:v>
      </x:c>
    </x:row>
    <x:row r="51">
      <x:c r="A51" s="105" t="str">
        <x:v>landscape_id</x:v>
      </x:c>
      <x:c r="B51" s="105" t="str">
        <x:v>domain_route</x:v>
      </x:c>
      <x:c r="C51" s="105" t="str">
        <x:v>dimension_en</x:v>
      </x:c>
      <x:c r="D51" s="95" t="str">
        <x:v>dimension_ar</x:v>
      </x:c>
      <x:c r="E51" s="105" t="str">
        <x:v>evidence_class</x:v>
      </x:c>
      <x:c r="F51" s="105" t="str">
        <x:v>coverage_state</x:v>
      </x:c>
      <x:c r="G51" s="105" t="str">
        <x:v>record_ids</x:v>
      </x:c>
      <x:c r="H51" s="95" t="str">
        <x:v>verify_routes</x:v>
      </x:c>
      <x:c r="I51" s="105" t="str">
        <x:v>measurement_ids</x:v>
      </x:c>
    </x:row>
    <x:row r="52">
      <x:c r="A52" s="105" t="str">
        <x:v>ELS-001</x:v>
      </x:c>
      <x:c r="B52" s="105" t="str">
        <x:v>/people/</x:v>
      </x:c>
      <x:c r="C52" s="105" t="str">
        <x:v>Account ownership</x:v>
      </x:c>
      <x:c r="D52" s="95" t="str">
        <x:v>امتلاك الحساب</x:v>
      </x:c>
      <x:c r="E52" s="105" t="str">
        <x:v>SURVEY</x:v>
      </x:c>
      <x:c r="F52" s="105" t="str">
        <x:v>SUFFICIENT_FOR_QUESTION</x:v>
      </x:c>
      <x:c r="G52" s="105" t="str">
        <x:v>["CLM-001", "CLM-025"]</x:v>
      </x:c>
      <x:c r="H52" s="95" t="str">
        <x:v>["/people/"]</x:v>
      </x:c>
      <x:c r="I52" s="105" t="str">
        <x:v>["MA-001"]</x:v>
      </x:c>
    </x:row>
    <x:row r="53">
      <x:c r="A53" s="105" t="str">
        <x:v>ELS-002</x:v>
      </x:c>
      <x:c r="B53" s="105" t="str">
        <x:v>/people/</x:v>
      </x:c>
      <x:c r="C53" s="105" t="str">
        <x:v>Savings</x:v>
      </x:c>
      <x:c r="D53" s="95" t="str">
        <x:v>الادخار</x:v>
      </x:c>
      <x:c r="E53" s="105" t="str">
        <x:v>SURVEY</x:v>
      </x:c>
      <x:c r="F53" s="105" t="str">
        <x:v>PARTIAL</x:v>
      </x:c>
      <x:c r="G53" s="105" t="str">
        <x:v>["CLM-029", "CLM-031"]</x:v>
      </x:c>
      <x:c r="H53" s="95" t="str">
        <x:v>["/people/"]</x:v>
      </x:c>
      <x:c r="I53" s="105" t="str">
        <x:v>["MA-001"]</x:v>
      </x:c>
    </x:row>
    <x:row r="54">
      <x:c r="A54" s="105" t="str">
        <x:v>ELS-003</x:v>
      </x:c>
      <x:c r="B54" s="105" t="str">
        <x:v>/people/</x:v>
      </x:c>
      <x:c r="C54" s="105" t="str">
        <x:v>Borrowing by people</x:v>
      </x:c>
      <x:c r="D54" s="95" t="str">
        <x:v>اقتراض الأفراد</x:v>
      </x:c>
      <x:c r="E54" s="105" t="str">
        <x:v>SURVEY</x:v>
      </x:c>
      <x:c r="F54" s="105" t="str">
        <x:v>PARTIAL</x:v>
      </x:c>
      <x:c r="G54" s="105" t="str">
        <x:v>["CLM-028"]</x:v>
      </x:c>
      <x:c r="H54" s="95" t="str">
        <x:v>["/people/"]</x:v>
      </x:c>
      <x:c r="I54" s="105" t="str">
        <x:v>["MA-001"]</x:v>
      </x:c>
    </x:row>
    <x:row r="55">
      <x:c r="A55" s="105" t="str">
        <x:v>ELS-004</x:v>
      </x:c>
      <x:c r="B55" s="105" t="str">
        <x:v>/people/</x:v>
      </x:c>
      <x:c r="C55" s="105" t="str">
        <x:v>Digital payments by people</x:v>
      </x:c>
      <x:c r="D55" s="95" t="str">
        <x:v>المدفوعات الرقمية لدى الأفراد</x:v>
      </x:c>
      <x:c r="E55" s="105" t="str">
        <x:v>SURVEY</x:v>
      </x:c>
      <x:c r="F55" s="105" t="str">
        <x:v>MEASUREMENT_GAP</x:v>
      </x:c>
      <x:c r="G55" s="105" t="str">
        <x:v>[]</x:v>
      </x:c>
      <x:c r="H55" s="95" t="str">
        <x:v>[]</x:v>
      </x:c>
      <x:c r="I55" s="105" t="str">
        <x:v>["MA-001", "MA-002"]</x:v>
      </x:c>
    </x:row>
    <x:row r="56">
      <x:c r="A56" s="105" t="str">
        <x:v>ELS-005</x:v>
      </x:c>
      <x:c r="B56" s="105" t="str">
        <x:v>/people/</x:v>
      </x:c>
      <x:c r="C56" s="105" t="str">
        <x:v>Affordability of accounts and services</x:v>
      </x:c>
      <x:c r="D56" s="95" t="str">
        <x:v>القدرة على تحمّل كلفة الحسابات والخدمات</x:v>
      </x:c>
      <x:c r="E56" s="105" t="str">
        <x:v>SURVEY</x:v>
      </x:c>
      <x:c r="F56" s="105" t="str">
        <x:v>MEASUREMENT_GAP</x:v>
      </x:c>
      <x:c r="G56" s="105" t="str">
        <x:v>[]</x:v>
      </x:c>
      <x:c r="H56" s="95" t="str">
        <x:v>[]</x:v>
      </x:c>
      <x:c r="I56" s="105" t="str">
        <x:v>["MA-001"]</x:v>
      </x:c>
    </x:row>
    <x:row r="57">
      <x:c r="A57" s="105" t="str">
        <x:v>ELS-006</x:v>
      </x:c>
      <x:c r="B57" s="105" t="str">
        <x:v>/people/</x:v>
      </x:c>
      <x:c r="C57" s="105" t="str">
        <x:v>Financial literacy and capability</x:v>
      </x:c>
      <x:c r="D57" s="95" t="str">
        <x:v>الثقافة المالية والقدرة المالية</x:v>
      </x:c>
      <x:c r="E57" s="105" t="str">
        <x:v>SURVEY;PROGRAMME</x:v>
      </x:c>
      <x:c r="F57" s="105" t="str">
        <x:v>PARTIAL</x:v>
      </x:c>
      <x:c r="G57" s="105" t="str">
        <x:v>["CLM-013", "VIS-FL-EVIDENCE-LADDER"]</x:v>
      </x:c>
      <x:c r="H57" s="95" t="str">
        <x:v>["/people/"]</x:v>
      </x:c>
      <x:c r="I57" s="105" t="str">
        <x:v>["MA-001"]</x:v>
      </x:c>
    </x:row>
    <x:row r="58">
      <x:c r="A58" s="105" t="str">
        <x:v>ELS-007</x:v>
      </x:c>
      <x:c r="B58" s="105" t="str">
        <x:v>/people/</x:v>
      </x:c>
      <x:c r="C58" s="105" t="str">
        <x:v>Digital capability (phone, internet)</x:v>
      </x:c>
      <x:c r="D58" s="95" t="str">
        <x:v>القدرة الرقمية (الهاتف والإنترنت)</x:v>
      </x:c>
      <x:c r="E58" s="105" t="str">
        <x:v>SURVEY</x:v>
      </x:c>
      <x:c r="F58" s="105" t="str">
        <x:v>MEASUREMENT_GAP</x:v>
      </x:c>
      <x:c r="G58" s="105" t="str">
        <x:v>[]</x:v>
      </x:c>
      <x:c r="H58" s="95" t="str">
        <x:v>[]</x:v>
      </x:c>
      <x:c r="I58" s="105" t="str">
        <x:v>["MA-001", "MA-007"]</x:v>
      </x:c>
    </x:row>
    <x:row r="59">
      <x:c r="A59" s="105" t="str">
        <x:v>ELS-008</x:v>
      </x:c>
      <x:c r="B59" s="105" t="str">
        <x:v>/people/</x:v>
      </x:c>
      <x:c r="C59" s="105" t="str">
        <x:v>Financial health and resilience</x:v>
      </x:c>
      <x:c r="D59" s="95" t="str">
        <x:v>الصحة المالية والقدرة على الصمود</x:v>
      </x:c>
      <x:c r="E59" s="105" t="str">
        <x:v>SURVEY</x:v>
      </x:c>
      <x:c r="F59" s="105" t="str">
        <x:v>MEASUREMENT_GAP</x:v>
      </x:c>
      <x:c r="G59" s="105" t="str">
        <x:v>["VIS-FINDEX-RESILIENCE"]</x:v>
      </x:c>
      <x:c r="H59" s="95" t="str">
        <x:v>[]</x:v>
      </x:c>
      <x:c r="I59" s="105" t="str">
        <x:v>["MA-001"]</x:v>
      </x:c>
    </x:row>
    <x:row r="60">
      <x:c r="A60" s="105" t="str">
        <x:v>ELS-009</x:v>
      </x:c>
      <x:c r="B60" s="105" t="str">
        <x:v>/people/</x:v>
      </x:c>
      <x:c r="C60" s="105" t="str">
        <x:v>Gender</x:v>
      </x:c>
      <x:c r="D60" s="95" t="str">
        <x:v>الجنس</x:v>
      </x:c>
      <x:c r="E60" s="105" t="str">
        <x:v>SURVEY</x:v>
      </x:c>
      <x:c r="F60" s="105" t="str">
        <x:v>SUFFICIENT_FOR_QUESTION</x:v>
      </x:c>
      <x:c r="G60" s="105" t="str">
        <x:v>["CLM-002"]</x:v>
      </x:c>
      <x:c r="H60" s="95" t="str">
        <x:v>["/people/"]</x:v>
      </x:c>
      <x:c r="I60" s="105" t="str">
        <x:v>["MA-003"]</x:v>
      </x:c>
    </x:row>
    <x:row r="61">
      <x:c r="A61" s="105" t="str">
        <x:v>ELS-010</x:v>
      </x:c>
      <x:c r="B61" s="105" t="str">
        <x:v>/people/</x:v>
      </x:c>
      <x:c r="C61" s="105" t="str">
        <x:v>Income</x:v>
      </x:c>
      <x:c r="D61" s="95" t="str">
        <x:v>الدخل</x:v>
      </x:c>
      <x:c r="E61" s="105" t="str">
        <x:v>SURVEY</x:v>
      </x:c>
      <x:c r="F61" s="105" t="str">
        <x:v>SUFFICIENT_FOR_QUESTION</x:v>
      </x:c>
      <x:c r="G61" s="105" t="str">
        <x:v>["VIS-FINDEX-GAPS"]</x:v>
      </x:c>
      <x:c r="H61" s="95" t="str">
        <x:v>["/people/"]</x:v>
      </x:c>
      <x:c r="I61" s="105" t="str">
        <x:v>["MA-003"]</x:v>
      </x:c>
    </x:row>
    <x:row r="62">
      <x:c r="A62" s="105" t="str">
        <x:v>ELS-011</x:v>
      </x:c>
      <x:c r="B62" s="105" t="str">
        <x:v>/people/</x:v>
      </x:c>
      <x:c r="C62" s="105" t="str">
        <x:v>Education</x:v>
      </x:c>
      <x:c r="D62" s="95" t="str">
        <x:v>التعليم</x:v>
      </x:c>
      <x:c r="E62" s="105" t="str">
        <x:v>SURVEY</x:v>
      </x:c>
      <x:c r="F62" s="105" t="str">
        <x:v>SUFFICIENT_FOR_QUESTION</x:v>
      </x:c>
      <x:c r="G62" s="105" t="str">
        <x:v>["VIS-FINDEX-GAPS"]</x:v>
      </x:c>
      <x:c r="H62" s="95" t="str">
        <x:v>["/people/"]</x:v>
      </x:c>
      <x:c r="I62" s="105" t="str">
        <x:v>["MA-003"]</x:v>
      </x:c>
    </x:row>
    <x:row r="63">
      <x:c r="A63" s="105" t="str">
        <x:v>ELS-012</x:v>
      </x:c>
      <x:c r="B63" s="105" t="str">
        <x:v>/people/</x:v>
      </x:c>
      <x:c r="C63" s="105" t="str">
        <x:v>Age</x:v>
      </x:c>
      <x:c r="D63" s="95" t="str">
        <x:v>العمر</x:v>
      </x:c>
      <x:c r="E63" s="105" t="str">
        <x:v>SURVEY</x:v>
      </x:c>
      <x:c r="F63" s="105" t="str">
        <x:v>SUFFICIENT_FOR_QUESTION</x:v>
      </x:c>
      <x:c r="G63" s="105" t="str">
        <x:v>["VIS-FINDEX-GAPS"]</x:v>
      </x:c>
      <x:c r="H63" s="95" t="str">
        <x:v>["/people/"]</x:v>
      </x:c>
      <x:c r="I63" s="105" t="str">
        <x:v>["MA-003"]</x:v>
      </x:c>
    </x:row>
    <x:row r="64">
      <x:c r="A64" s="105" t="str">
        <x:v>ELS-013</x:v>
      </x:c>
      <x:c r="B64" s="105" t="str">
        <x:v>/people/</x:v>
      </x:c>
      <x:c r="C64" s="105" t="str">
        <x:v>Displacement status</x:v>
      </x:c>
      <x:c r="D64" s="95" t="str">
        <x:v>وضع النزوح</x:v>
      </x:c>
      <x:c r="E64" s="105" t="str">
        <x:v>CONTEXT</x:v>
      </x:c>
      <x:c r="F64" s="105" t="str">
        <x:v>MEASUREMENT_GAP</x:v>
      </x:c>
      <x:c r="G64" s="105" t="str">
        <x:v>[]</x:v>
      </x:c>
      <x:c r="H64" s="95" t="str">
        <x:v>[]</x:v>
      </x:c>
      <x:c r="I64" s="105" t="str">
        <x:v>["MA-003"]</x:v>
      </x:c>
    </x:row>
    <x:row r="65">
      <x:c r="A65" s="105" t="str">
        <x:v>ELS-014</x:v>
      </x:c>
      <x:c r="B65" s="105" t="str">
        <x:v>/people/</x:v>
      </x:c>
      <x:c r="C65" s="105" t="str">
        <x:v>Disability</x:v>
      </x:c>
      <x:c r="D65" s="95" t="str">
        <x:v>الإعاقة</x:v>
      </x:c>
      <x:c r="E65" s="105"/>
      <x:c r="F65" s="105" t="str">
        <x:v>NO_EVIDENCE</x:v>
      </x:c>
      <x:c r="G65" s="105" t="str">
        <x:v>[]</x:v>
      </x:c>
      <x:c r="H65" s="95" t="str">
        <x:v>[]</x:v>
      </x:c>
      <x:c r="I65" s="105" t="str">
        <x:v>["MA-003"]</x:v>
      </x:c>
    </x:row>
    <x:row r="66">
      <x:c r="A66" s="105" t="str">
        <x:v>ELS-015</x:v>
      </x:c>
      <x:c r="B66" s="105" t="str">
        <x:v>/access/</x:v>
      </x:c>
      <x:c r="C66" s="105" t="str">
        <x:v>Access points and where services operate</x:v>
      </x:c>
      <x:c r="D66" s="95" t="str">
        <x:v>نقاط الوصول وأماكن عمل الخدمات</x:v>
      </x:c>
      <x:c r="E66" s="105" t="str">
        <x:v>PROGRAMME</x:v>
      </x:c>
      <x:c r="F66" s="105" t="str">
        <x:v>MEASUREMENT_GAP</x:v>
      </x:c>
      <x:c r="G66" s="105" t="str">
        <x:v>["XW-FMIIP-005"]</x:v>
      </x:c>
      <x:c r="H66" s="95" t="str">
        <x:v>["/access/"]</x:v>
      </x:c>
      <x:c r="I66" s="105" t="str">
        <x:v>["MA-005"]</x:v>
      </x:c>
    </x:row>
    <x:row r="67">
      <x:c r="A67" s="105" t="str">
        <x:v>ELS-016</x:v>
      </x:c>
      <x:c r="B67" s="105" t="str">
        <x:v>/access/</x:v>
      </x:c>
      <x:c r="C67" s="105" t="str">
        <x:v>Rural and urban differences</x:v>
      </x:c>
      <x:c r="D67" s="95" t="str">
        <x:v>الفروق بين الريف والحضر</x:v>
      </x:c>
      <x:c r="E67" s="105" t="str">
        <x:v>ANALYTICAL</x:v>
      </x:c>
      <x:c r="F67" s="105" t="str">
        <x:v>MEASUREMENT_GAP</x:v>
      </x:c>
      <x:c r="G67" s="105" t="str">
        <x:v>["CLM-052"]</x:v>
      </x:c>
      <x:c r="H67" s="95" t="str">
        <x:v>["/access/"]</x:v>
      </x:c>
      <x:c r="I67" s="105" t="str">
        <x:v>["MA-001", "MA-005"]</x:v>
      </x:c>
    </x:row>
    <x:row r="68">
      <x:c r="A68" s="105" t="str">
        <x:v>ELS-017</x:v>
      </x:c>
      <x:c r="B68" s="105" t="str">
        <x:v>/access/</x:v>
      </x:c>
      <x:c r="C68" s="105" t="str">
        <x:v>Service reliability and quality</x:v>
      </x:c>
      <x:c r="D68" s="95" t="str">
        <x:v>موثوقية الخدمة وجودتها</x:v>
      </x:c>
      <x:c r="E68" s="105"/>
      <x:c r="F68" s="105" t="str">
        <x:v>NO_EVIDENCE</x:v>
      </x:c>
      <x:c r="G68" s="105" t="str">
        <x:v>[]</x:v>
      </x:c>
      <x:c r="H68" s="95" t="str">
        <x:v>[]</x:v>
      </x:c>
      <x:c r="I68" s="105" t="str">
        <x:v>["MA-010"]</x:v>
      </x:c>
    </x:row>
    <x:row r="69">
      <x:c r="A69" s="105" t="str">
        <x:v>ELS-018</x:v>
      </x:c>
      <x:c r="B69" s="105" t="str">
        <x:v>/payments/</x:v>
      </x:c>
      <x:c r="C69" s="105" t="str">
        <x:v>Active use and how often</x:v>
      </x:c>
      <x:c r="D69" s="95" t="str">
        <x:v>الاستخدام النشط ومدى تكراره</x:v>
      </x:c>
      <x:c r="E69" s="105" t="str">
        <x:v>ANALYTICAL;PROGRAMME</x:v>
      </x:c>
      <x:c r="F69" s="105" t="str">
        <x:v>PARTIAL</x:v>
      </x:c>
      <x:c r="G69" s="105" t="str">
        <x:v>["CLM-050", "FMIIP-BASELINE-2025-01"]</x:v>
      </x:c>
      <x:c r="H69" s="95" t="str">
        <x:v>["/payments/"]</x:v>
      </x:c>
      <x:c r="I69" s="105" t="str">
        <x:v>["MA-002"]</x:v>
      </x:c>
    </x:row>
    <x:row r="70">
      <x:c r="A70" s="105" t="str">
        <x:v>ELS-019</x:v>
      </x:c>
      <x:c r="B70" s="105" t="str">
        <x:v>/payments/</x:v>
      </x:c>
      <x:c r="C70" s="105" t="str">
        <x:v>Payment infrastructure (POS, CBY-Aden reporting scope)</x:v>
      </x:c>
      <x:c r="D70" s="95" t="str">
        <x:v>البنية التحتية للمدفوعات (نقاط البيع، ضمن نطاق إبلاغ البنك المركزي اليمني – عدن)</x:v>
      </x:c>
      <x:c r="E70" s="105" t="str">
        <x:v>ADMINISTRATIVE</x:v>
      </x:c>
      <x:c r="F70" s="105" t="str">
        <x:v>SUFFICIENT_FOR_QUESTION</x:v>
      </x:c>
      <x:c r="G70" s="105" t="str">
        <x:v>["CLM-003", "CLM-017"]</x:v>
      </x:c>
      <x:c r="H70" s="95" t="str">
        <x:v>["/payments/"]</x:v>
      </x:c>
      <x:c r="I70" s="105" t="str">
        <x:v>["MA-002", "MA-010"]</x:v>
      </x:c>
    </x:row>
    <x:row r="71">
      <x:c r="A71" s="105" t="str">
        <x:v>ELS-020</x:v>
      </x:c>
      <x:c r="B71" s="105" t="str">
        <x:v>/payments/</x:v>
      </x:c>
      <x:c r="C71" s="105" t="str">
        <x:v>Identity checks and account opening</x:v>
      </x:c>
      <x:c r="D71" s="95" t="str">
        <x:v>التحقق من الهوية وفتح الحسابات</x:v>
      </x:c>
      <x:c r="E71" s="105" t="str">
        <x:v>REGULATORY</x:v>
      </x:c>
      <x:c r="F71" s="105" t="str">
        <x:v>PARTIAL</x:v>
      </x:c>
      <x:c r="G71" s="105" t="str">
        <x:v>["CLM-012"]</x:v>
      </x:c>
      <x:c r="H71" s="95" t="str">
        <x:v>["/payments/"]</x:v>
      </x:c>
      <x:c r="I71" s="105" t="str">
        <x:v>["MA-007"]</x:v>
      </x:c>
    </x:row>
    <x:row r="72">
      <x:c r="A72" s="105" t="str">
        <x:v>ELS-021</x:v>
      </x:c>
      <x:c r="B72" s="105" t="str">
        <x:v>/payments/</x:v>
      </x:c>
      <x:c r="C72" s="105" t="str">
        <x:v>Humanitarian and government transfers: use afterwards</x:v>
      </x:c>
      <x:c r="D72" s="95" t="str">
        <x:v>التحويلات الإنسانية والحكومية: الاستخدام بعدها</x:v>
      </x:c>
      <x:c r="E72" s="105" t="str">
        <x:v>PROGRAMME</x:v>
      </x:c>
      <x:c r="F72" s="105" t="str">
        <x:v>MEASUREMENT_GAP</x:v>
      </x:c>
      <x:c r="G72" s="105" t="str">
        <x:v>["CLM-045"]</x:v>
      </x:c>
      <x:c r="H72" s="95" t="str">
        <x:v>["/payments/"]</x:v>
      </x:c>
      <x:c r="I72" s="105" t="str">
        <x:v>["MA-009"]</x:v>
      </x:c>
    </x:row>
    <x:row r="73">
      <x:c r="A73" s="105" t="str">
        <x:v>ELS-022</x:v>
      </x:c>
      <x:c r="B73" s="105" t="str">
        <x:v>/remittances/</x:v>
      </x:c>
      <x:c r="C73" s="105" t="str">
        <x:v>Remittances received by people</x:v>
      </x:c>
      <x:c r="D73" s="95" t="str">
        <x:v>التحويلات التي يتلقاها الأفراد</x:v>
      </x:c>
      <x:c r="E73" s="105" t="str">
        <x:v>SURVEY</x:v>
      </x:c>
      <x:c r="F73" s="105" t="str">
        <x:v>PARTIAL</x:v>
      </x:c>
      <x:c r="G73" s="105" t="str">
        <x:v>["CLM-030"]</x:v>
      </x:c>
      <x:c r="H73" s="95" t="str">
        <x:v>["/remittances/"]</x:v>
      </x:c>
      <x:c r="I73" s="105" t="str">
        <x:v>["MA-001"]</x:v>
      </x:c>
    </x:row>
    <x:row r="74">
      <x:c r="A74" s="105" t="str">
        <x:v>ELS-023</x:v>
      </x:c>
      <x:c r="B74" s="105" t="str">
        <x:v>/remittances/</x:v>
      </x:c>
      <x:c r="C74" s="105" t="str">
        <x:v>Remittance flows to the country</x:v>
      </x:c>
      <x:c r="D74" s="95" t="str">
        <x:v>تدفقات التحويلات إلى البلد</x:v>
      </x:c>
      <x:c r="E74" s="105" t="str">
        <x:v>ADMINISTRATIVE;ANALYTICAL</x:v>
      </x:c>
      <x:c r="F74" s="105" t="str">
        <x:v>PARTIAL</x:v>
      </x:c>
      <x:c r="G74" s="105" t="str">
        <x:v>["CLM-007", "CLM-032"]</x:v>
      </x:c>
      <x:c r="H74" s="95" t="str">
        <x:v>["/remittances/"]</x:v>
      </x:c>
      <x:c r="I74" s="105" t="str">
        <x:v>[]</x:v>
      </x:c>
    </x:row>
    <x:row r="75">
      <x:c r="A75" s="105" t="str">
        <x:v>ELS-024</x:v>
      </x:c>
      <x:c r="B75" s="105" t="str">
        <x:v>/remittances/</x:v>
      </x:c>
      <x:c r="C75" s="105" t="str">
        <x:v>Remittance cost</x:v>
      </x:c>
      <x:c r="D75" s="95" t="str">
        <x:v>كلفة التحويلات</x:v>
      </x:c>
      <x:c r="E75" s="105" t="str">
        <x:v>OTHER</x:v>
      </x:c>
      <x:c r="F75" s="105" t="str">
        <x:v>PARTIAL</x:v>
      </x:c>
      <x:c r="G75" s="105" t="str">
        <x:v>["VIS-REMITTANCE-COST"]</x:v>
      </x:c>
      <x:c r="H75" s="95" t="str">
        <x:v>["/remittances/"]</x:v>
      </x:c>
      <x:c r="I75" s="105" t="str">
        <x:v>[]</x:v>
      </x:c>
    </x:row>
    <x:row r="76">
      <x:c r="A76" s="105" t="str">
        <x:v>ELS-025</x:v>
      </x:c>
      <x:c r="B76" s="105" t="str">
        <x:v>/providers/</x:v>
      </x:c>
      <x:c r="C76" s="105" t="str">
        <x:v>Provider presence (formal status)</x:v>
      </x:c>
      <x:c r="D76" s="95" t="str">
        <x:v>وجود مقدمي الخدمات (الوضع الرسمي)</x:v>
      </x:c>
      <x:c r="E76" s="105" t="str">
        <x:v>REGULATORY</x:v>
      </x:c>
      <x:c r="F76" s="105" t="str">
        <x:v>SUFFICIENT_FOR_QUESTION</x:v>
      </x:c>
      <x:c r="G76" s="105" t="str">
        <x:v>["CLM-008", "CLM-009", "CLM-019"]</x:v>
      </x:c>
      <x:c r="H76" s="95" t="str">
        <x:v>["/providers/"]</x:v>
      </x:c>
      <x:c r="I76" s="105" t="str">
        <x:v>["MA-005"]</x:v>
      </x:c>
    </x:row>
    <x:row r="77">
      <x:c r="A77" s="105" t="str">
        <x:v>ELS-026</x:v>
      </x:c>
      <x:c r="B77" s="105" t="str">
        <x:v>/providers/</x:v>
      </x:c>
      <x:c r="C77" s="105" t="str">
        <x:v>Digital safety and fraud</x:v>
      </x:c>
      <x:c r="D77" s="95" t="str">
        <x:v>الأمان الرقمي والاحتيال</x:v>
      </x:c>
      <x:c r="E77" s="105" t="str">
        <x:v>REGULATORY</x:v>
      </x:c>
      <x:c r="F77" s="105" t="str">
        <x:v>MEASUREMENT_GAP</x:v>
      </x:c>
      <x:c r="G77" s="105" t="str">
        <x:v>["CLM-015"]</x:v>
      </x:c>
      <x:c r="H77" s="95" t="str">
        <x:v>["/providers/"]</x:v>
      </x:c>
      <x:c r="I77" s="105" t="str">
        <x:v>["MA-006"]</x:v>
      </x:c>
    </x:row>
    <x:row r="78">
      <x:c r="A78" s="105" t="str">
        <x:v>ELS-027</x:v>
      </x:c>
      <x:c r="B78" s="105" t="str">
        <x:v>/finance/</x:v>
      </x:c>
      <x:c r="C78" s="105" t="str">
        <x:v>Microfinance outreach</x:v>
      </x:c>
      <x:c r="D78" s="95" t="str">
        <x:v>انتشار التمويل الأصغر</x:v>
      </x:c>
      <x:c r="E78" s="105" t="str">
        <x:v>ADMINISTRATIVE;ANALYTICAL</x:v>
      </x:c>
      <x:c r="F78" s="105" t="str">
        <x:v>PARTIAL</x:v>
      </x:c>
      <x:c r="G78" s="105" t="str">
        <x:v>["CLM-053", "CLM-054"]</x:v>
      </x:c>
      <x:c r="H78" s="95" t="str">
        <x:v>["/finance/"]</x:v>
      </x:c>
      <x:c r="I78" s="105" t="str">
        <x:v>["MA-004"]</x:v>
      </x:c>
    </x:row>
    <x:row r="79">
      <x:c r="A79" s="105" t="str">
        <x:v>ELS-028</x:v>
      </x:c>
      <x:c r="B79" s="105" t="str">
        <x:v>/finance/</x:v>
      </x:c>
      <x:c r="C79" s="105" t="str">
        <x:v>Banking system (credit, deposits)</x:v>
      </x:c>
      <x:c r="D79" s="95" t="str">
        <x:v>القطاع المصرفي (الائتمان والودائع)</x:v>
      </x:c>
      <x:c r="E79" s="105" t="str">
        <x:v>ADMINISTRATIVE</x:v>
      </x:c>
      <x:c r="F79" s="105" t="str">
        <x:v>PARTIAL</x:v>
      </x:c>
      <x:c r="G79" s="105" t="str">
        <x:v>["CLM-033", "CLM-038"]</x:v>
      </x:c>
      <x:c r="H79" s="95" t="str">
        <x:v>["/finance/"]</x:v>
      </x:c>
      <x:c r="I79" s="105" t="str">
        <x:v>["MA-008"]</x:v>
      </x:c>
    </x:row>
    <x:row r="80">
      <x:c r="A80" s="105" t="str">
        <x:v>ELS-029</x:v>
      </x:c>
      <x:c r="B80" s="105" t="str">
        <x:v>/finance/</x:v>
      </x:c>
      <x:c r="C80" s="105" t="str">
        <x:v>Insurance</x:v>
      </x:c>
      <x:c r="D80" s="95" t="str">
        <x:v>التأمين</x:v>
      </x:c>
      <x:c r="E80" s="105"/>
      <x:c r="F80" s="105" t="str">
        <x:v>NO_EVIDENCE</x:v>
      </x:c>
      <x:c r="G80" s="105" t="str">
        <x:v>[]</x:v>
      </x:c>
      <x:c r="H80" s="95" t="str">
        <x:v>[]</x:v>
      </x:c>
      <x:c r="I80" s="105" t="str">
        <x:v>[]</x:v>
      </x:c>
    </x:row>
    <x:row r="81">
      <x:c r="A81" s="105" t="str">
        <x:v>ELS-030</x:v>
      </x:c>
      <x:c r="B81" s="105" t="str">
        <x:v>/finance/</x:v>
      </x:c>
      <x:c r="C81" s="105" t="str">
        <x:v>Pensions</x:v>
      </x:c>
      <x:c r="D81" s="95" t="str">
        <x:v>المعاشات التقاعدية</x:v>
      </x:c>
      <x:c r="E81" s="105"/>
      <x:c r="F81" s="105" t="str">
        <x:v>NO_EVIDENCE</x:v>
      </x:c>
      <x:c r="G81" s="105" t="str">
        <x:v>[]</x:v>
      </x:c>
      <x:c r="H81" s="95" t="str">
        <x:v>[]</x:v>
      </x:c>
      <x:c r="I81" s="105" t="str">
        <x:v>[]</x:v>
      </x:c>
    </x:row>
    <x:row r="82">
      <x:c r="A82" s="105" t="str">
        <x:v>ELS-031</x:v>
      </x:c>
      <x:c r="B82" s="105" t="str">
        <x:v>/firms/</x:v>
      </x:c>
      <x:c r="C82" s="105" t="str">
        <x:v>Firm finance</x:v>
      </x:c>
      <x:c r="D82" s="95" t="str">
        <x:v>تمويل المنشآت</x:v>
      </x:c>
      <x:c r="E82" s="105" t="str">
        <x:v>SURVEY</x:v>
      </x:c>
      <x:c r="F82" s="105" t="str">
        <x:v>PARTIAL</x:v>
      </x:c>
      <x:c r="G82" s="105" t="str">
        <x:v>["CLM-005", "CLM-006"]</x:v>
      </x:c>
      <x:c r="H82" s="95" t="str">
        <x:v>["/firms/"]</x:v>
      </x:c>
      <x:c r="I82" s="105" t="str">
        <x:v>["MA-004"]</x:v>
      </x:c>
    </x:row>
    <x:row r="83">
      <x:c r="A83" s="105" t="str">
        <x:v>ELS-032</x:v>
      </x:c>
      <x:c r="B83" s="105" t="str">
        <x:v>/firms/</x:v>
      </x:c>
      <x:c r="C83" s="105" t="str">
        <x:v>Reach of programmes for MSMEs</x:v>
      </x:c>
      <x:c r="D83" s="95" t="str">
        <x:v>وصول البرامج إلى المنشآت الأصغر والصغيرة والمتوسطة</x:v>
      </x:c>
      <x:c r="E83" s="105" t="str">
        <x:v>PROGRAMME</x:v>
      </x:c>
      <x:c r="F83" s="105" t="str">
        <x:v>PARTIAL</x:v>
      </x:c>
      <x:c r="G83" s="105" t="str">
        <x:v>["CLM-059", "CLM-060"]</x:v>
      </x:c>
      <x:c r="H83" s="95" t="str">
        <x:v>["/firms/"]</x:v>
      </x:c>
      <x:c r="I83" s="105" t="str">
        <x:v>["MA-004"]</x:v>
      </x:c>
    </x:row>
    <x:row r="84">
      <x:c r="A84" s="105" t="str">
        <x:v>ELS-033</x:v>
      </x:c>
      <x:c r="B84" s="105" t="str">
        <x:v>/reforms/</x:v>
      </x:c>
      <x:c r="C84" s="105" t="str">
        <x:v>Consumer protection and redress</x:v>
      </x:c>
      <x:c r="D84" s="95" t="str">
        <x:v>حماية المستهلك ومعالجة الشكاوى</x:v>
      </x:c>
      <x:c r="E84" s="105" t="str">
        <x:v>REGULATORY</x:v>
      </x:c>
      <x:c r="F84" s="105" t="str">
        <x:v>PARTIAL</x:v>
      </x:c>
      <x:c r="G84" s="105" t="str">
        <x:v>["CLM-011", "DS-FCP-ARCH"]</x:v>
      </x:c>
      <x:c r="H84" s="95" t="str">
        <x:v>["/reforms/"]</x:v>
      </x:c>
      <x:c r="I84" s="105" t="str">
        <x:v>["MA-006"]</x:v>
      </x:c>
    </x:row>
    <x:row r="85">
      <x:c r="A85" s="105" t="str">
        <x:v>ELS-034</x:v>
      </x:c>
      <x:c r="B85" s="105" t="str">
        <x:v>/reforms/</x:v>
      </x:c>
      <x:c r="C85" s="105" t="str">
        <x:v>Regulatory implementation</x:v>
      </x:c>
      <x:c r="D85" s="95" t="str">
        <x:v>تطبيق الإطار التنظيمي</x:v>
      </x:c>
      <x:c r="E85" s="105" t="str">
        <x:v>REGULATORY</x:v>
      </x:c>
      <x:c r="F85" s="105" t="str">
        <x:v>PARTIAL</x:v>
      </x:c>
      <x:c r="G85" s="105" t="str">
        <x:v>["CLM-012", "CLM-018"]</x:v>
      </x:c>
      <x:c r="H85" s="95" t="str">
        <x:v>["/reforms/"]</x:v>
      </x:c>
      <x:c r="I85" s="105" t="str">
        <x:v>["MA-010"]</x:v>
      </x:c>
    </x:row>
    <x:row r="86">
      <x:c r="A86" s="105"/>
      <x:c r="B86" s="105"/>
      <x:c r="C86" s="105"/>
      <x:c r="E86" s="105"/>
      <x:c r="F86" s="105"/>
      <x:c r="G86" s="105"/>
      <x:c r="I86" s="105"/>
      <x:c r="J86" s="105"/>
      <x:c r="K86" s="105"/>
    </x:row>
  </x:sheetData>
  <x:mergeCells>
    <x:mergeCell ref="A1:D1"/>
    <x:mergeCell ref="A2:D2"/>
    <x:mergeCell ref="A1:N1"/>
    <x:mergeCell ref="A2:N4"/>
    <x:mergeCell ref="E14:N14"/>
    <x:mergeCell ref="A39:N39"/>
    <x:mergeCell ref="A41:C44"/>
    <x:mergeCell ref="E41:G44"/>
    <x:mergeCell ref="I41:K44"/>
    <x:mergeCell ref="A47:C86"/>
    <x:mergeCell ref="E47:G86"/>
    <x:mergeCell ref="I47:K86"/>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نعرف أجزاءً من شبكة الوصول إلى الخدمات المالية،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إتاحة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إتاحة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As checked on 3 October 2026, the most recent representative observation of account ownership in Yemen published by the World Bank was 11.9% (Global Findex 2021; fieldwork 2022–23).</x:v>
      </x:c>
      <x:c r="H11" s="28" t="str">
        <x:v>عند الاطلاع في 3 أكتوبر 2026، كانت أحدث مشاهدة ممثلة نشرها البنك الدولي لامتلاك الحساب في اليمن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 of men and 5.4% of women aged 15+ in the areas surveyed had an account.</x:v>
      </x:c>
      <x:c r="H12" s="28" t="str">
        <x:v>في موجة 2021 من Global Findex لليمن (العمل الميداني 2022–2023)، كان لدى 18.3% من الرجال و5.4%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June 2026, within its reporting scope.</x:v>
      </x:c>
      <x:c r="H13" s="28" t="str">
        <x:v>ارتفعت إجماليات أجهزة نقاط البيع التي يُبلغ عنها البنك المركزي اليمني – عدن بين مارس 2025 ويونيو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reported history, the 2025 estimate and 2026–2030 projections separate; they are not a whole-of-Yemen figure.</x:v>
      </x:c>
      <x:c r="H17" s="28" t="str">
        <x:v>تفصل أرقام صندوق النقد الدولي للتحويلات الواردة بين القيم التاريخية المنشورة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3 October 2026, establishes listing or licensing, not operation.</x:v>
      </x:c>
      <x:c r="H18" s="28" t="str">
        <x:v>تثبت قائمة البنوك المرخصة الصادرة عن البنك المركزي اليمني – عدن، كما اطُّلع عليها في 3 أكتوبر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3 October 2026, the latest monthly point-of-sale (POS) release on the Arabic payments page of the Central Bank of Yemen – Aden was June 2026.</x:v>
      </x:c>
      <x:c r="H27" s="28" t="str">
        <x:v>عند الاطلاع في 3 أكتوبر 2026، كان يونيو 2026 أحدث إصدار شهري لنقاط البيع في صفحة المدفوعات بالعربية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7 November 2022 to 9 January 2023; all population estimates require survey weights.</x:v>
      </x:c>
      <x:c r="H33" s="28" t="str">
        <x:v>يصف هذا السجل ملف دراسة اليمن ضمن موجة Findex 2021، المنفذة ميدانيًا من 7 نوفمبر 2022 إلى 9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Global Findex 2021 wave for Yemen excludes Al Baydaa, Al Jawf, Mareb, Sadah, Socotra and several districts elsewhere: areas with about 23% of the population.</x:v>
      </x:c>
      <x:c r="H35" s="28" t="str">
        <x:v>تستبعد موجة Findex 2021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Demand-side measures are specified across access, barriers, digital use, saving, borrowing and resilience; custom weighted estimates are not yet published.</x:v>
      </x:c>
      <x:c r="H36" s="28" t="str">
        <x:v>حُدِّدت مقاييس جانب الطلب للوصول والعوائق والاستخدام الرقمي والادخار والاقتراض والصمود؛ ولم تُنشر التقديرات الموزونة المخصصة بعد.</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weighted profile, 65.9% of adults reported borrowing any money; 51.7% from family or friends, 0.4% from a financial institution.</x:v>
      </x:c>
      <x:c r="H38" s="28" t="str">
        <x:v>في الملف القطري الموزون للبنك الدولي لعام 2014، أفاد 65.9% من البالغين بأنهم اقترضوا أي مبلغ، و51.7% اقترضوا من الأسرة أو الأصدقاء، و0.4% من مؤسسة مالية.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account ownership is measured for 2022; use, saving, borrowing and domestic remittances centre on 2014.</x:v>
      </x:c>
      <x:c r="H41" s="28" t="str">
        <x:v>لا توجد سنة حديثة واحدة لأدلة الأفراد: أحدث قياس لامتلاك الحساب يعود إلى 2022، بينما تتركز أدلة الاستخدام والادخار والاقتراض والحوالات المحلية في 2014.</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للتحويلات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التحويلات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للتحويلات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التحويلات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التحويلات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التحويلات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التحويلات بإسناد فرق متبقٍّ مفترض إليها؛ وهو نموذج بديل، لا خط الأساس المعتمد للتحويلات.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16 July 2026 IMF staff and the Yemeni authorities announced staff-level agreement on a proposed Staff-Monitored Program, subject to Management approval.</x:v>
      </x:c>
      <x:c r="H59" s="28" t="str">
        <x:v>في 16 يوليو 2026 أعلن خبراء صندوق النقد الدولي والسلطات اليمنية اتفاقًا على مستوى الخبراء بشأن برنامج مقترح يراقبه الخبراء، رهنًا بموافقة الإدارة.</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Al-Kuraimi; the figure is not a verified 2023 depositor stock share.</x:v>
      </x:c>
      <x:c r="H66" s="28" t="str">
        <x:v>تنسب ورقة مركز صنعاء لعام 2024 إلى الكريمي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Support and disbursement figures reported by the Small and Micro Enterprise Promotion Service (SMEPS) describe the programme, not all MSMEs in Yemen.</x:v>
      </x:c>
      <x:c r="H69" s="28" t="str">
        <x:v>أرقام الدعم والصرف التي تفيد بها وكالة تنمية المنشآت الصغيرة والأصغر (SMEPS) تصف البرنامج،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2021 wave, keeping publishable values apart from pending ones.</x:v>
      </x:c>
      <x:c r="H73" s="28" t="str">
        <x:v>تربط خريطة قابلية المقارنة هذه مقاييس Findex التاريخية لليمن بمقاييس موجة 2021، مع الفصل بين القيم القابلة للنشر والمقاييس التي لم تُستكمل حساباتها.</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/evidence/PSE-011/</x:v>
      </x:c>
      <x:c r="B78" s="24" t="str">
        <x:v>evidence_detail</x:v>
      </x:c>
      <x:c r="C78" s="24" t="str">
        <x:v>/evidence/[id]</x:v>
      </x:c>
      <x:c r="D78" s="24" t="str">
        <x:v>PSE-011</x:v>
      </x:c>
      <x:c r="E78" s="24"/>
      <x:c r="F78" s="28"/>
      <x:c r="G78" s="24" t="str">
        <x:v>Decision No. 9 of 2026 of the Central Bank of Yemen – Aden, dated 21 May 2026, suspends a remittance agent's licence in Tuban, Lahj, and closes its office.</x:v>
      </x:c>
      <x:c r="H78" s="28" t="str">
        <x:v>يعلّق قرار البنك المركزي اليمني – عدن رقم 9 لسنة 2026، المؤرخ في 21 مايو 2026، ترخيص وكيل حوالات في تُبن، لحج، ويقضي بإغلاق مقره.</x:v>
      </x:c>
    </x:row>
    <x:row r="79">
      <x:c r="A79" s="24" t="str">
        <x:v>/evidence/QUAL-001/</x:v>
      </x:c>
      <x:c r="B79" s="24" t="str">
        <x:v>evidence_detail</x:v>
      </x:c>
      <x:c r="C79" s="24" t="str">
        <x:v>/evidence/[id]</x:v>
      </x:c>
      <x:c r="D79" s="24" t="str">
        <x:v>QUAL-001</x:v>
      </x:c>
      <x:c r="E79" s="24"/>
      <x:c r="F79" s="28"/>
      <x:c r="G79" s="24" t="str">
        <x:v>The OECD links fragmented institutions, supervisory gaps and weak formal access to financial-sector fragility and low trust: a qualitative interpretation.</x:v>
      </x:c>
      <x:c r="H79" s="28" t="str">
        <x:v>تربط منظمة التعاون الاقتصادي والتنمية (OECD) تفتت المؤسسات وفجوات الرقابة وضعف الوصول الرسمي بهشاشة القطاع المالي وانخفاض الثقة: تفسير نوعي.</x:v>
      </x:c>
    </x:row>
    <x:row r="80">
      <x:c r="A80" s="24" t="str">
        <x:v>/evidence/VIS-BORROWING-SOURCES-2014/</x:v>
      </x:c>
      <x:c r="B80" s="24" t="str">
        <x:v>evidence_detail</x:v>
      </x:c>
      <x:c r="C80" s="24" t="str">
        <x:v>/evidence/[id]</x:v>
      </x:c>
      <x:c r="D80" s="24" t="str">
        <x:v>VIS-BORROWING-SOURCES-2014</x:v>
      </x:c>
      <x:c r="E80" s="24"/>
      <x:c r="F80" s="28"/>
      <x:c r="G80" s="24" t="str">
        <x:v>In 2014, 65.9% of adults reported borrowing any money; the sources overlap, so shares by source cannot be added up or read as shares of borrowers.</x:v>
      </x:c>
      <x:c r="H80" s="28" t="str">
        <x:v>في 2014 أفاد 65.9% من البالغين بأنهم اقترضوا أي مبلغ؛ والمصادر متداخلة، فلا تُجمع حصصها ولا تُقرأ حصصًا من المقترضين.</x:v>
      </x:c>
    </x:row>
    <x:row r="81">
      <x:c r="A81" s="24" t="str">
        <x:v>/evidence/VIS-CAPITAL-CONTEXT/</x:v>
      </x:c>
      <x:c r="B81" s="24" t="str">
        <x:v>evidence_detail</x:v>
      </x:c>
      <x:c r="C81" s="24" t="str">
        <x:v>/evidence/[id]</x:v>
      </x:c>
      <x:c r="D81" s="24" t="str">
        <x:v>VIS-CAPITAL-CONTEXT</x:v>
      </x:c>
      <x:c r="E81" s="24"/>
      <x:c r="F81" s="28"/>
      <x:c r="G81" s="24" t="str">
        <x:v>Humanitarian, development, project and financial-institution finance are kept as separate pathways; this record reports no amounts and no inclusion total.</x:v>
      </x:c>
      <x:c r="H81"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2">
      <x:c r="A82" s="24" t="str">
        <x:v>/evidence/VIS-DEMAND-VINTAGE-LADDER/</x:v>
      </x:c>
      <x:c r="B82" s="24" t="str">
        <x:v>evidence_detail</x:v>
      </x:c>
      <x:c r="C82" s="24" t="str">
        <x:v>/evidence/[id]</x:v>
      </x:c>
      <x:c r="D82" s="24" t="str">
        <x:v>VIS-DEMAND-VINTAGE-LADDER</x:v>
      </x:c>
      <x:c r="E82" s="24"/>
      <x:c r="F82" s="28"/>
      <x:c r="G82" s="24" t="str">
        <x:v>As checked on 3 October 2026, the latest weighted evidence on people differs by function: account ownership from the 2021 Findex wave; saving, borrowing and domestic remittances from 2014.</x:v>
      </x:c>
      <x:c r="H82" s="28" t="str">
        <x:v>عند الاطلاع في 3 أكتوبر 2026، كان أحدث دليل موزون عن الأفراد يختلف بحسب الوظيفة: امتلاك الحساب من موجة Findex 2021، والادخار والاقتراض والحوالات المحلية من 2014.</x:v>
      </x:c>
    </x:row>
    <x:row r="83">
      <x:c r="A83" s="24" t="str">
        <x:v>/evidence/VIS-DOMESTIC-REMITTANCE-PATH-2014/</x:v>
      </x:c>
      <x:c r="B83" s="24" t="str">
        <x:v>evidence_detail</x:v>
      </x:c>
      <x:c r="C83" s="24" t="str">
        <x:v>/evidence/[id]</x:v>
      </x:c>
      <x:c r="D83" s="24" t="str">
        <x:v>VIS-DOMESTIC-REMITTANCE-PATH-2014</x:v>
      </x:c>
      <x:c r="E83" s="24"/>
      <x:c r="F83" s="28"/>
      <x:c r="G83" s="24"/>
      <x:c r="H83" s="28"/>
    </x:row>
    <x:row r="84">
      <x:c r="A84" s="24" t="str">
        <x:v>/evidence/VIS-E-MONEY-RULE-STACK/</x:v>
      </x:c>
      <x:c r="B84" s="24" t="str">
        <x:v>evidence_detail</x:v>
      </x:c>
      <x:c r="C84" s="24" t="str">
        <x:v>/evidence/[id]</x:v>
      </x:c>
      <x:c r="D84" s="24" t="str">
        <x:v>VIS-E-MONEY-RULE-STACK</x:v>
      </x:c>
      <x:c r="E84" s="24"/>
      <x:c r="F84" s="28"/>
      <x:c r="G84" s="24" t="str">
        <x:v>Mobile e-money rules of the Central Bank of Yemen – Aden come in layers: August 2023 instructions and a July 2025 amendment on currencies and ceilings.</x:v>
      </x:c>
      <x:c r="H84" s="28" t="str">
        <x:v>تتكون قواعد النقود الإلكترونية لدى البنك المركزي اليمني – عدن من طبقات: تعليمات أغسطس 2023، وتعديل يوليو 2025 بشأن العملات والسقوف.</x:v>
      </x:c>
    </x:row>
    <x:row r="85">
      <x:c r="A85" s="24" t="str">
        <x:v>/evidence/VIS-EVIDENCE-CLASS-LADDER/</x:v>
      </x:c>
      <x:c r="B85" s="24" t="str">
        <x:v>evidence_detail</x:v>
      </x:c>
      <x:c r="C85" s="24" t="str">
        <x:v>/evidence/[id]</x:v>
      </x:c>
      <x:c r="D85" s="24" t="str">
        <x:v>VIS-EVIDENCE-CLASS-LADDER</x:v>
      </x:c>
      <x:c r="E85" s="24"/>
      <x:c r="F85" s="28"/>
      <x:c r="G85" s="24" t="str">
        <x:v>Evidence falls into types, from weighted population measures to reform stages, each supporting different conclusions; the types are not a ranking of truth.</x:v>
      </x:c>
      <x:c r="H85"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6">
      <x:c r="A86" s="24" t="str">
        <x:v>/evidence/VIS-EVIDENCE-FRESHNESS/</x:v>
      </x:c>
      <x:c r="B86" s="24" t="str">
        <x:v>evidence_detail</x:v>
      </x:c>
      <x:c r="C86" s="24" t="str">
        <x:v>/evidence/[id]</x:v>
      </x:c>
      <x:c r="D86" s="24" t="str">
        <x:v>VIS-EVIDENCE-FRESHNESS</x:v>
      </x:c>
      <x:c r="E86" s="24"/>
      <x:c r="F86" s="28"/>
      <x:c r="G86" s="24" t="str">
        <x:v>Evidence dates differ by domain: several payments and regulatory observations date from 2025–2026, while key representative evidence about people is older.</x:v>
      </x:c>
      <x:c r="H86" s="28" t="str">
        <x:v>تختلف تواريخ الأدلة بحسب المجال: فعدد من مشاهدات المدفوعات والتنظيم يعود إلى 2025–2026، بينما تعود أدلة أساسية ممثلة للسكان إلى فترات أقدم.</x:v>
      </x:c>
    </x:row>
    <x:row r="87">
      <x:c r="A87" s="24" t="str">
        <x:v>/evidence/VIS-EVIDENCE-GAPS/</x:v>
      </x:c>
      <x:c r="B87" s="24" t="str">
        <x:v>evidence_detail</x:v>
      </x:c>
      <x:c r="C87" s="24" t="str">
        <x:v>/evidence/[id]</x:v>
      </x:c>
      <x:c r="D87" s="24" t="str">
        <x:v>VIS-EVIDENCE-GAPS</x:v>
      </x:c>
      <x:c r="E87" s="24"/>
      <x:c r="F87" s="28"/>
      <x:c r="G87" s="24" t="str">
        <x:v>This record lists evidence gaps: missing periods, calculation bases or primary files, map layers not yet buildable, and unresolved source scope.</x:v>
      </x:c>
      <x:c r="H87" s="28" t="str">
        <x:v>يسرد هذا السجل فجوات الأدلة: فترات أو قواعد احتساب أو ملفات أصلية مفقودة، وطبقات مكانية لا يمكن بناؤها بعد، ونطاق مصدر غير محسوم.</x:v>
      </x:c>
    </x:row>
    <x:row r="88">
      <x:c r="A88" s="24" t="str">
        <x:v>/evidence/VIS-FCP-REDRESS-PATH/</x:v>
      </x:c>
      <x:c r="B88" s="24" t="str">
        <x:v>evidence_detail</x:v>
      </x:c>
      <x:c r="C88" s="24" t="str">
        <x:v>/evidence/[id]</x:v>
      </x:c>
      <x:c r="D88" s="24" t="str">
        <x:v>VIS-FCP-REDRESS-PATH</x:v>
      </x:c>
      <x:c r="E88" s="24"/>
      <x:c r="F88" s="28"/>
      <x:c r="G88" s="24" t="str">
        <x:v>A 2024 brochure of the Central Bank of Yemen – Aden sets a provider complaint stage, then escalation to the bank; the time limits come from the brochure.</x:v>
      </x:c>
      <x:c r="H88" s="28" t="str">
        <x:v>يصف كتيّب للبنك المركزي اليمني – عدن صادر في 2024 مرحلة لتسوية الشكوى لدى مقدم الخدمة ثم التصعيد إلى البنك؛ والمدد مأخوذة من الكتيّب.</x:v>
      </x:c>
    </x:row>
    <x:row r="89">
      <x:c r="A89" s="24" t="str">
        <x:v>/evidence/VIS-FINDEX-ACCESS-USE/</x:v>
      </x:c>
      <x:c r="B89" s="24" t="str">
        <x:v>evidence_detail</x:v>
      </x:c>
      <x:c r="C89" s="24" t="str">
        <x:v>/evidence/[id]</x:v>
      </x:c>
      <x:c r="D89" s="24" t="str">
        <x:v>VIS-FINDEX-ACCESS-USE</x:v>
      </x:c>
      <x:c r="E89" s="24"/>
      <x:c r="F89" s="28"/>
      <x:c r="G89" s="24" t="str">
        <x:v>In the 2021 Findex wave for Yemen, 11.9% of adults in surveyed areas had an account; weighted estimates of account and digital use are not yet produced.</x:v>
      </x:c>
      <x:c r="H89" s="28" t="str">
        <x:v>في موجة Findex 2021 لليمن، كان لدى 11.9% من البالغين في المناطق المشمولة حساب؛ ولم تُنتج بعد تقديرات موزونة لاستخدام الحساب أو الاستخدام الرقمي.</x:v>
      </x:c>
    </x:row>
    <x:row r="90">
      <x:c r="A90" s="24" t="str">
        <x:v>/evidence/VIS-FINDEX-BARRIERS/</x:v>
      </x:c>
      <x:c r="B90" s="24" t="str">
        <x:v>evidence_detail</x:v>
      </x:c>
      <x:c r="C90" s="24" t="str">
        <x:v>/evidence/[id]</x:v>
      </x:c>
      <x:c r="D90" s="24" t="str">
        <x:v>VIS-FINDEX-BARRIERS</x:v>
      </x:c>
      <x:c r="E90" s="24"/>
      <x:c r="F90" s="28"/>
      <x:c r="G90" s="24" t="str">
        <x:v>Weighted estimates of why adults without an account do not have one are not yet produced for the 2021 wave, so no values are shown.</x:v>
      </x:c>
      <x:c r="H90" s="28" t="str">
        <x:v>لم تُنتج بعد تقديرات موزونة للأسباب التي يذكرها البالغون الذين لا يملكون حسابًا في موجة 2021، لذلك لا تُعرض أي قيم.</x:v>
      </x:c>
    </x:row>
    <x:row r="91">
      <x:c r="A91" s="24" t="str">
        <x:v>/evidence/VIS-FINDEX-FLOW-CHANNELS/</x:v>
      </x:c>
      <x:c r="B91" s="24" t="str">
        <x:v>evidence_detail</x:v>
      </x:c>
      <x:c r="C91" s="24" t="str">
        <x:v>/evidence/[id]</x:v>
      </x:c>
      <x:c r="D91" s="24" t="str">
        <x:v>VIS-FINDEX-FLOW-CHANNELS</x:v>
      </x:c>
      <x:c r="E91" s="24"/>
      <x:c r="F91" s="28"/>
      <x:c r="G91" s="24" t="str">
        <x:v>Weighted 2021-wave estimates of how adults received wages, government transfers, agricultural payments and domestic remittances are not yet produced.</x:v>
      </x:c>
      <x:c r="H91" s="28" t="str">
        <x:v>لم تُنتج بعد تقديرات موزونة لموجة 2021 لكيفية تلقي البالغين الأجور والتحويلات الحكومية والمدفوعات الزراعية والحوالات المحلية.</x:v>
      </x:c>
    </x:row>
    <x:row r="92">
      <x:c r="A92" s="24" t="str">
        <x:v>/evidence/VIS-FINDEX-GAPS/</x:v>
      </x:c>
      <x:c r="B92" s="24" t="str">
        <x:v>evidence_detail</x:v>
      </x:c>
      <x:c r="C92" s="24" t="str">
        <x:v>/evidence/[id]</x:v>
      </x:c>
      <x:c r="D92" s="24" t="str">
        <x:v>VIS-FINDEX-GAPS</x:v>
      </x:c>
      <x:c r="E92" s="24"/>
      <x:c r="F92" s="28"/>
      <x:c r="G92" s="24" t="str">
        <x:v>This view shows account ownership in Yemen from the 2021 Global Findex wave (fieldwork 2022–23), with measured gaps by sex, income, education and age.</x:v>
      </x:c>
      <x:c r="H92" s="28" t="str">
        <x:v>يعرض هذا الرسم امتلاك الحساب في اليمن من موجة Global Findex 2021 (العمل الميداني 2022–2023)، مع الفجوات المقاسة بحسب الجنس والدخل والتعليم والعمر.</x:v>
      </x:c>
    </x:row>
    <x:row r="93">
      <x:c r="A93" s="24" t="str">
        <x:v>/evidence/VIS-FINDEX-OBSERVED-WAVES/</x:v>
      </x:c>
      <x:c r="B93" s="24" t="str">
        <x:v>evidence_detail</x:v>
      </x:c>
      <x:c r="C93" s="24" t="str">
        <x:v>/evidence/[id]</x:v>
      </x:c>
      <x:c r="D93" s="24" t="str">
        <x:v>VIS-FINDEX-OBSERVED-WAVES</x:v>
      </x:c>
      <x:c r="E93" s="24"/>
      <x:c r="F93" s="28"/>
      <x:c r="G93" s="24" t="str">
        <x:v>The World Bank observed account ownership in Yemen in 2011, 2014 and the 2021 Findex wave; the years between these waves were not observed.</x:v>
      </x:c>
      <x:c r="H93" s="28" t="str">
        <x:v>رصد البنك الدولي امتلاك الحساب في اليمن في 2011 و2014 وموجة Findex 2021؛ ولم تُرصد السنوات الواقعة بين هذه الموجات.</x:v>
      </x:c>
    </x:row>
    <x:row r="94">
      <x:c r="A94" s="24" t="str">
        <x:v>/evidence/VIS-FINDEX-RESILIENCE/</x:v>
      </x:c>
      <x:c r="B94" s="24" t="str">
        <x:v>evidence_detail</x:v>
      </x:c>
      <x:c r="C94" s="24" t="str">
        <x:v>/evidence/[id]</x:v>
      </x:c>
      <x:c r="D94" s="24" t="str">
        <x:v>VIS-FINDEX-RESILIENCE</x:v>
      </x:c>
      <x:c r="E94" s="24"/>
      <x:c r="F94" s="28"/>
      <x:c r="G94" s="24" t="str">
        <x:v>Weighted estimates of whether adults could raise emergency funds within 7 or 30 days are not yet produced for the 2021 wave, so no values are shown.</x:v>
      </x:c>
      <x:c r="H94" s="28" t="str">
        <x:v>لم تُنتج بعد تقديرات موزونة لقدرة البالغين على تدبير أموال للطوارئ خلال 7 أيام أو خلال 30 يومًا في موجة 2021، لذلك لا تُعرض أي قيم.</x:v>
      </x:c>
    </x:row>
    <x:row r="95">
      <x:c r="A95" s="24" t="str">
        <x:v>/evidence/VIS-FINDEX-SAMPLE-SUPPORT/</x:v>
      </x:c>
      <x:c r="B95" s="24" t="str">
        <x:v>evidence_detail</x:v>
      </x:c>
      <x:c r="C95" s="24" t="str">
        <x:v>/evidence/[id]</x:v>
      </x:c>
      <x:c r="D95" s="24" t="str">
        <x:v>VIS-FINDEX-SAMPLE-SUPPORT</x:v>
      </x:c>
      <x:c r="E95" s="24"/>
      <x:c r="F95" s="28"/>
      <x:c r="G95" s="24"/>
      <x:c r="H95" s="28"/>
    </x:row>
    <x:row r="96">
      <x:c r="A96" s="24" t="str">
        <x:v>/evidence/VIS-FIRM-CONSTRAINTS/</x:v>
      </x:c>
      <x:c r="B96" s="24" t="str">
        <x:v>evidence_detail</x:v>
      </x:c>
      <x:c r="C96" s="24" t="str">
        <x:v>/evidence/[id]</x:v>
      </x:c>
      <x:c r="D96" s="24" t="str">
        <x:v>VIS-FIRM-CONSTRAINTS</x:v>
      </x:c>
      <x:c r="E96" s="24"/>
      <x:c r="F96" s="28"/>
      <x:c r="G96" s="24" t="str">
        <x:v>Formal firms in a 2022 survey of seven governorates named electricity and fuel shortages more often than access to finance; each could name several.</x:v>
      </x:c>
      <x:c r="H96" s="28" t="str">
        <x:v>ذكرت المنشآت الرسمية في مسح عام 2022 لسبع محافظات الكهرباء ونقص الوقود أكثر من الوصول إلى التمويل؛ وكان بإمكان كل منها ذكر أكثر من تحدٍّ.</x:v>
      </x:c>
    </x:row>
    <x:row r="97">
      <x:c r="A97" s="24" t="str">
        <x:v>/evidence/VIS-FIRM-FINANCE-PATH/</x:v>
      </x:c>
      <x:c r="B97" s="24" t="str">
        <x:v>evidence_detail</x:v>
      </x:c>
      <x:c r="C97" s="24" t="str">
        <x:v>/evidence/[id]</x:v>
      </x:c>
      <x:c r="D97" s="24" t="str">
        <x:v>VIS-FIRM-FINANCE-PATH</x:v>
      </x:c>
      <x:c r="E97" s="24"/>
      <x:c r="F97" s="28"/>
      <x:c r="G97" s="24" t="str">
        <x:v>Formal firms surveyed in seven governorates in 2022 named their loan sources; the counts come from the valid responses to the loan-source question.</x:v>
      </x:c>
      <x:c r="H97" s="28" t="str">
        <x:v>ذكرت المنشآت الرسمية المشمولة بمسح عام 2022 في سبع محافظات مصادر قروضها، والأعداد محسوبة من الاستجابات الصالحة لسؤال مصدر القرض.</x:v>
      </x:c>
    </x:row>
    <x:row r="98">
      <x:c r="A98" s="24" t="str">
        <x:v>/evidence/VIS-FIRM-FINANCE-SEVERITY/</x:v>
      </x:c>
      <x:c r="B98" s="24" t="str">
        <x:v>evidence_detail</x:v>
      </x:c>
      <x:c r="C98" s="24" t="str">
        <x:v>/evidence/[id]</x:v>
      </x:c>
      <x:c r="D98" s="24" t="str">
        <x:v>VIS-FIRM-FINANCE-SEVERITY</x:v>
      </x:c>
      <x:c r="E98" s="24"/>
      <x:c r="F98" s="28"/>
      <x:c r="G98" s="24" t="str">
        <x:v>Among formal firms in the 2022 survey's finance-obstacle tabulation, excluding those needing no loan, 91.84% rated finance a major or moderate obstacle.</x:v>
      </x:c>
      <x:c r="H98" s="28" t="str">
        <x:v>بين المنشآت الرسمية في جدول عوائق التمويل لمسح 2022، باستثناء غير المحتاجة إلى قرض، صنّفت 91.84% منها عوائق التمويل كبيرة أو متوسطة.</x:v>
      </x:c>
    </x:row>
    <x:row r="99">
      <x:c r="A99" s="24" t="str">
        <x:v>/evidence/VIS-FL-EVIDENCE-LADDER/</x:v>
      </x:c>
      <x:c r="B99" s="24" t="str">
        <x:v>evidence_detail</x:v>
      </x:c>
      <x:c r="C99" s="24" t="str">
        <x:v>/evidence/[id]</x:v>
      </x:c>
      <x:c r="D99" s="24" t="str">
        <x:v>VIS-FL-EVIDENCE-LADDER</x:v>
      </x:c>
      <x:c r="E99" s="24"/>
      <x:c r="F99" s="28"/>
      <x:c r="G99" s="24" t="str">
        <x:v>Global Money Week records of the Central Bank of Yemen – Aden document financial-literacy activities, March 2023 to March 2025; activity is not outcome.</x:v>
      </x:c>
      <x:c r="H99" s="28" t="str">
        <x:v>توثق سجلات الأسبوع العالمي للمال لدى البنك المركزي اليمني – عدن أنشطة للثقافة المالية من مارس 2023 إلى مارس 2025؛ والنشاط لا يساوي نتيجة.</x:v>
      </x:c>
    </x:row>
    <x:row r="100">
      <x:c r="A100" s="24" t="str">
        <x:v>/evidence/VIS-INCLUSION-TRANSMISSION/</x:v>
      </x:c>
      <x:c r="B100" s="24" t="str">
        <x:v>evidence_detail</x:v>
      </x:c>
      <x:c r="C100" s="24" t="str">
        <x:v>/evidence/[id]</x:v>
      </x:c>
      <x:c r="D100" s="24" t="str">
        <x:v>VIS-INCLUSION-TRANSMISSION</x:v>
      </x:c>
      <x:c r="E100" s="24"/>
      <x:c r="F100" s="28"/>
      <x:c r="G100" s="24" t="str">
        <x:v>Financial inclusion in Yemen is shown as connected parts, from people and firms to payment systems, flows and rules, with no causal links or single score.</x:v>
      </x:c>
      <x:c r="H100"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1">
      <x:c r="A101" s="24" t="str">
        <x:v>/evidence/VIS-MECHANISM-METRIC-BRIDGE/</x:v>
      </x:c>
      <x:c r="B101" s="24" t="str">
        <x:v>evidence_detail</x:v>
      </x:c>
      <x:c r="C101" s="24" t="str">
        <x:v>/evidence/[id]</x:v>
      </x:c>
      <x:c r="D101" s="24" t="str">
        <x:v>VIS-MECHANISM-METRIC-BRIDGE</x:v>
      </x:c>
      <x:c r="E101" s="24"/>
      <x:c r="F101" s="28"/>
      <x:c r="G101" s="24" t="str">
        <x:v>This record links a quantitative measure to documented mechanisms, policy propositions or research priorities; these aid interpretation, not causal proof.</x:v>
      </x:c>
      <x:c r="H101"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2">
      <x:c r="A102" s="24" t="str">
        <x:v>/evidence/VIS-MFI-2014-PANEL/</x:v>
      </x:c>
      <x:c r="B102" s="24" t="str">
        <x:v>evidence_detail</x:v>
      </x:c>
      <x:c r="C102" s="24" t="str">
        <x:v>/evidence/[id]</x:v>
      </x:c>
      <x:c r="D102" s="24" t="str">
        <x:v>VIS-MFI-2014-PANEL</x:v>
      </x:c>
      <x:c r="E102" s="24"/>
      <x:c r="F102" s="28"/>
      <x:c r="G102" s="24" t="str">
        <x:v>For the same nine providers reporting to the Yemen Microfinance Network, the first two quarters of 2014 are comparable; they are not a long trend.</x:v>
      </x:c>
      <x:c r="H102"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3">
      <x:c r="A103" s="24" t="str">
        <x:v>/evidence/VIS-MFI-RUPTURE-LENS/</x:v>
      </x:c>
      <x:c r="B103" s="24" t="str">
        <x:v>evidence_detail</x:v>
      </x:c>
      <x:c r="C103" s="24" t="str">
        <x:v>/evidence/[id]</x:v>
      </x:c>
      <x:c r="D103" s="24" t="str">
        <x:v>VIS-MFI-RUPTURE-LENS</x:v>
      </x:c>
      <x:c r="E103" s="24"/>
      <x:c r="F103" s="28"/>
      <x:c r="G103" s="24" t="str">
        <x:v>Active borrowers of microfinance programmes supported by the Social Fund for Development fell sharply during 2015, from end-March to end-December.</x:v>
      </x:c>
      <x:c r="H103"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4">
      <x:c r="A104" s="24" t="str">
        <x:v>/evidence/VIS-MFI-SPINE/</x:v>
      </x:c>
      <x:c r="B104" s="24" t="str">
        <x:v>evidence_detail</x:v>
      </x:c>
      <x:c r="C104" s="24" t="str">
        <x:v>/evidence/[id]</x:v>
      </x:c>
      <x:c r="D104" s="24" t="str">
        <x:v>VIS-MFI-SPINE</x:v>
      </x:c>
      <x:c r="E104" s="24"/>
      <x:c r="F104" s="28"/>
      <x:c r="G104" s="24" t="str">
        <x:v>Microfinance figures linked to the Social Fund for Development exist at dated points from 2010 to 2020, not every year-end; gaps and breaks are shown.</x:v>
      </x:c>
      <x:c r="H104"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5">
      <x:c r="A105" s="24" t="str">
        <x:v>/evidence/VIS-OECD-FCP-TIMELINE/</x:v>
      </x:c>
      <x:c r="B105" s="24" t="str">
        <x:v>evidence_detail</x:v>
      </x:c>
      <x:c r="C105" s="24" t="str">
        <x:v>/evidence/[id]</x:v>
      </x:c>
      <x:c r="D105" s="24" t="str">
        <x:v>VIS-OECD-FCP-TIMELINE</x:v>
      </x:c>
      <x:c r="E105" s="24"/>
      <x:c r="F105" s="28"/>
      <x:c r="G105" s="24" t="str">
        <x:v>Of the steps from framework to outcome, the evidence covers 2023 consumer-protection instructions of the Central Bank of Yemen – Aden and a 2024 brochure.</x:v>
      </x:c>
      <x:c r="H105" s="28" t="str">
        <x:v>من المراحل الممتدة من الإطار إلى النتيجة، تغطي الأدلة تعليمات البنك المركزي اليمني – عدن لحماية المستهلك لعام 2023 وكتيّب 2024.</x:v>
      </x:c>
    </x:row>
    <x:row r="106">
      <x:c r="A106" s="24" t="str">
        <x:v>/evidence/VIS-PAYMENT-ANATOMY/</x:v>
      </x:c>
      <x:c r="B106" s="24" t="str">
        <x:v>evidence_detail</x:v>
      </x:c>
      <x:c r="C106" s="24" t="str">
        <x:v>/evidence/[id]</x:v>
      </x:c>
      <x:c r="D106" s="24" t="str">
        <x:v>VIS-PAYMENT-ANATOMY</x:v>
      </x:c>
      <x:c r="E106" s="24"/>
      <x:c r="F106" s="28"/>
      <x:c r="G106" s="24" t="str">
        <x:v>The first-half 2025 payment report of the Central Bank of Yemen – Aden counts cards, ATMs, point-of-sale terminals, transactions, e-wallets and accounts.</x:v>
      </x:c>
      <x:c r="H106" s="28" t="str">
        <x:v>يعدّ تقرير المدفوعات للنصف الأول من 2025 لدى البنك المركزي اليمني – عدن البطاقات وأجهزة الصراف الآلي وأجهزة نقاط البيع والمعاملات والمحافظ والحسابات.</x:v>
      </x:c>
    </x:row>
    <x:row r="107">
      <x:c r="A107" s="24" t="str">
        <x:v>/evidence/VIS-PAYMENT-RAILS/</x:v>
      </x:c>
      <x:c r="B107" s="24" t="str">
        <x:v>evidence_detail</x:v>
      </x:c>
      <x:c r="C107" s="24" t="str">
        <x:v>/evidence/[id]</x:v>
      </x:c>
      <x:c r="D107" s="24" t="str">
        <x:v>VIS-PAYMENT-RAILS</x:v>
      </x:c>
      <x:c r="E107" s="24"/>
      <x:c r="F107" s="28"/>
      <x:c r="G107" s="24"/>
      <x:c r="H107" s="28"/>
    </x:row>
    <x:row r="108">
      <x:c r="A108" s="24" t="str">
        <x:v>/evidence/VIS-POS-TERMINALS/</x:v>
      </x:c>
      <x:c r="B108" s="24" t="str">
        <x:v>evidence_detail</x:v>
      </x:c>
      <x:c r="C108" s="24" t="str">
        <x:v>/evidence/[id]</x:v>
      </x:c>
      <x:c r="D108" s="24" t="str">
        <x:v>VIS-POS-TERMINALS</x:v>
      </x:c>
      <x:c r="E108" s="24"/>
      <x:c r="F108" s="28"/>
      <x:c r="G108" s="24" t="str">
        <x:v>The Central Bank of Yemen – Aden reports monthly point-of-sale (POS) terminal totals, March 2025 to June 2026, within its reporting scope.</x:v>
      </x:c>
      <x:c r="H108" s="28" t="str">
        <x:v>يُبلغ البنك المركزي اليمني – عدن عن الإجماليات الشهرية لأجهزة نقاط البيع من مارس 2025 إلى يونيو 2026، ضمن نطاق إبلاغه.</x:v>
      </x:c>
    </x:row>
    <x:row r="109">
      <x:c r="A109" s="24" t="str">
        <x:v>/evidence/VIS-POS-TRANSACTIONS/</x:v>
      </x:c>
      <x:c r="B109" s="24" t="str">
        <x:v>evidence_detail</x:v>
      </x:c>
      <x:c r="C109" s="24" t="str">
        <x:v>/evidence/[id]</x:v>
      </x:c>
      <x:c r="D109" s="24" t="str">
        <x:v>VIS-POS-TRANSACTIONS</x:v>
      </x:c>
      <x:c r="E109" s="24"/>
      <x:c r="F109" s="28"/>
      <x:c r="G109" s="24" t="str">
        <x:v>Monthly point-of-sale (POS) transactions reported by the Central Bank of Yemen – Aden rose from March 2025 to June 2026, but not steadily.</x:v>
      </x:c>
      <x:c r="H109" s="28" t="str">
        <x:v>ارتفعت معاملات نقاط البيع الشهرية التي يُبلغ عنها البنك المركزي اليمني – عدن بين مارس 2025 ويونيو 2026، ولكن ليس بصورة مطردة.</x:v>
      </x:c>
    </x:row>
    <x:row r="110">
      <x:c r="A110" s="24" t="str">
        <x:v>/evidence/VIS-POS-VALUE/</x:v>
      </x:c>
      <x:c r="B110" s="24" t="str">
        <x:v>evidence_detail</x:v>
      </x:c>
      <x:c r="C110" s="24" t="str">
        <x:v>/evidence/[id]</x:v>
      </x:c>
      <x:c r="D110" s="24" t="str">
        <x:v>VIS-POS-VALUE</x:v>
      </x:c>
      <x:c r="E110" s="24"/>
      <x:c r="F110" s="28"/>
      <x:c r="G110" s="24" t="str">
        <x:v>The Central Bank of Yemen – Aden reports the nominal value of point-of-sale (POS) transactions monthly from March 2025; September 2025 is missing.</x:v>
      </x:c>
      <x:c r="H110" s="28" t="str">
        <x:v>يُبلغ البنك المركزي اليمني – عدن شهريًا منذ مارس 2025 عن القيمة الاسمية لمعاملات نقاط البيع؛ وقيمة سبتمبر 2025 مفقودة.</x:v>
      </x:c>
    </x:row>
    <x:row r="111">
      <x:c r="A111" s="24" t="str">
        <x:v>/evidence/VIS-PROVIDER-OBSERVABILITY/</x:v>
      </x:c>
      <x:c r="B111" s="24" t="str">
        <x:v>evidence_detail</x:v>
      </x:c>
      <x:c r="C111" s="24" t="str">
        <x:v>/evidence/[id]</x:v>
      </x:c>
      <x:c r="D111" s="24" t="str">
        <x:v>VIS-PROVIDER-OBSERVABILITY</x:v>
      </x:c>
      <x:c r="E111" s="24"/>
      <x:c r="F111" s="28"/>
      <x:c r="G111" s="24" t="str">
        <x:v>For each provider class the evidence separates the issuing authority, the dated list or count, dated status decisions and evidence of operation.</x:v>
      </x:c>
      <x:c r="H111" s="28" t="str">
        <x:v>تفصل الأدلة لكل فئة من مقدمي الخدمات بين الجهة المصدرة والقائمة أو العدد المؤرخ وقرارات الوضع المؤرخة وأدلة التشغيل.</x:v>
      </x:c>
    </x:row>
    <x:row r="112">
      <x:c r="A112" s="24" t="str">
        <x:v>/evidence/VIS-PROVIDER-TIME/</x:v>
      </x:c>
      <x:c r="B112" s="24" t="str">
        <x:v>evidence_detail</x:v>
      </x:c>
      <x:c r="C112" s="24" t="str">
        <x:v>/evidence/[id]</x:v>
      </x:c>
      <x:c r="D112" s="24" t="str">
        <x:v>VIS-PROVIDER-TIME</x:v>
      </x:c>
      <x:c r="E112" s="24"/>
      <x:c r="F112" s="28"/>
      <x:c r="G112" s="24" t="str">
        <x:v>The 2026 exchange and remittance roster of the Central Bank of Yemen – Aden is kept apart from dated 2026 Governor's decisions, which have not yet been matched to it entity by entity.</x:v>
      </x:c>
      <x:c r="H112" s="28" t="str">
        <x:v>تبقى القائمة الرسمية للصرافة والحوالات لعام 2026 لدى البنك المركزي اليمني – عدن منفصلة عن قرارات المحافظ المؤرخة في 2026، ولم تُطابَق معها جهةً جهة بعد.</x:v>
      </x:c>
    </x:row>
    <x:row r="113">
      <x:c r="A113" s="24" t="str">
        <x:v>/evidence/VIS-REMITTANCE-COST/</x:v>
      </x:c>
      <x:c r="B113" s="24" t="str">
        <x:v>evidence_detail</x:v>
      </x:c>
      <x:c r="C113" s="24" t="str">
        <x:v>/evidence/[id]</x:v>
      </x:c>
      <x:c r="D113" s="24" t="str">
        <x:v>VIS-REMITTANCE-COST</x:v>
      </x:c>
      <x:c r="E113" s="24"/>
      <x:c r="F113" s="28"/>
      <x:c r="G113" s="24" t="str">
        <x:v>This view shows average quoted costs of sending US$200 and US$500 to Yemen from Saudi Arabia and the UAE in 2025 Q3, not a national average.</x:v>
      </x:c>
      <x:c r="H113" s="28" t="str">
        <x:v>يعرض هذا الرسم متوسط التكلفة المعلنة لإرسال 200 و500 دولار أمريكي إلى اليمن من السعودية والإمارات في الربع الثالث من 2025، لا متوسطًا وطنيًا.</x:v>
      </x:c>
    </x:row>
    <x:row r="114">
      <x:c r="A114" s="24" t="str">
        <x:v>/evidence/VIS-REMITTANCE-MACRO/</x:v>
      </x:c>
      <x:c r="B114" s="24" t="str">
        <x:v>evidence_detail</x:v>
      </x:c>
      <x:c r="C114" s="24" t="str">
        <x:v>/evidence/[id]</x:v>
      </x:c>
      <x:c r="D114" s="24" t="str">
        <x:v>VIS-REMITTANCE-MACRO</x:v>
      </x:c>
      <x:c r="E114" s="24"/>
      <x:c r="F114" s="28"/>
      <x:c r="G114" s="24" t="str">
        <x:v>IMF remittance figures for Yemen's external sector keep reported history for 2018–2024, a 2025 estimate and 2026–2030 projections apart.</x:v>
      </x:c>
      <x:c r="H114" s="28" t="str">
        <x:v>تفصل أرقام صندوق النقد الدولي للتحويلات في القطاع الخارجي لليمن بين القيم التاريخية للفترة 2018–2024 وتقدير 2025 وتوقعات 2026–2030.</x:v>
      </x:c>
    </x:row>
    <x:row r="115">
      <x:c r="A115" s="24" t="str">
        <x:v>/evidence/VIS-SOURCE-COMPARISON/</x:v>
      </x:c>
      <x:c r="B115" s="24" t="str">
        <x:v>evidence_detail</x:v>
      </x:c>
      <x:c r="C115" s="24" t="str">
        <x:v>/evidence/[id]</x:v>
      </x:c>
      <x:c r="D115" s="24" t="str">
        <x:v>VIS-SOURCE-COMPARISON</x:v>
      </x:c>
      <x:c r="E115" s="24"/>
      <x:c r="F115" s="28"/>
      <x:c r="G115" s="24" t="str">
        <x:v>The comparison table sets the selected records side by side on definition, population or calculation base, period, method, source and currentness.</x:v>
      </x:c>
      <x:c r="H115" s="28" t="str">
        <x:v>يضع جدول المقارنة السجلات المختارة جنبًا إلى جنب من حيث التعريف والمجتمع أو قاعدة الاحتساب والفترة والطريقة والمصدر ومدى الحداثة.</x:v>
      </x:c>
    </x:row>
    <x:row r="116">
      <x:c r="A116" s="24" t="str">
        <x:v>/evidence/VIS-TARGET-RESULT-STATE/</x:v>
      </x:c>
      <x:c r="B116" s="24" t="str">
        <x:v>evidence_detail</x:v>
      </x:c>
      <x:c r="C116" s="24" t="str">
        <x:v>/evidence/[id]</x:v>
      </x:c>
      <x:c r="D116" s="24" t="str">
        <x:v>VIS-TARGET-RESULT-STATE</x:v>
      </x:c>
      <x:c r="E116" s="24"/>
      <x:c r="F116" s="28"/>
      <x:c r="G116" s="24" t="str">
        <x:v>The FMIIP results framework sets a January 2025 baseline and a June 2030 target for financial access points; no observed result is recorded.</x:v>
      </x:c>
      <x:c r="H116" s="28" t="str">
        <x:v>يحدد إطار نتائج مشروع FMIIP خط أساس في يناير 2025 ومستهدفًا في يونيو 2030 لنقاط الوصول المالي؛ ولا تُسجَّل أي نتيجة مرصودة.</x:v>
      </x:c>
    </x:row>
    <x:row r="117">
      <x:c r="A117" s="24" t="str">
        <x:v>/evidence/XW-FMIIP-005/</x:v>
      </x:c>
      <x:c r="B117" s="24" t="str">
        <x:v>evidence_detail</x:v>
      </x:c>
      <x:c r="C117" s="24" t="str">
        <x:v>/evidence/[id]</x:v>
      </x:c>
      <x:c r="D117" s="24" t="str">
        <x:v>XW-FMIIP-005</x:v>
      </x:c>
      <x:c r="E117" s="24"/>
      <x:c r="F117" s="28"/>
      <x:c r="G117" s="24" t="str">
        <x:v>The FMIIP access-point target, under the project's own definition, cannot be added to or compared with ATM, point-of-sale or agent counts.</x:v>
      </x:c>
      <x:c r="H117" s="28" t="str">
        <x:v>مستهدف نقاط الوصول في مشروع FMIIP، وفق تعريف المشروع نفسه، لا يُجمع إلى أعداد أجهزة الصراف الآلي أو نقاط البيع أو الوكلاء ولا يُقارن بها.</x:v>
      </x:c>
    </x:row>
    <x:row r="118">
      <x:c r="A118" s="24" t="str">
        <x:v>/evidence/compare/</x:v>
      </x:c>
      <x:c r="B118" s="24" t="str">
        <x:v>static</x:v>
      </x:c>
      <x:c r="C118" s="24" t="str">
        <x:v>/evidence/compare</x:v>
      </x:c>
      <x:c r="D118" s="24"/>
      <x:c r="E118" s="24" t="str">
        <x:v>Compare evidence without forcing unlike measures onto one scale</x:v>
      </x:c>
      <x:c r="F118" s="28" t="str">
        <x:v>قارن الأدلة من دون وضع ما لا يتماثل على مقياس واحد</x:v>
      </x:c>
      <x:c r="G118" s="24" t="str">
        <x:v>Records are set side by side on definition, population, period, method, source and currentness; when they do not match, “not comparable” is a valid result.</x:v>
      </x:c>
      <x:c r="H118" s="28" t="str">
        <x:v>تُعرض السجلات جنبًا إلى جنب من حيث التعريف والمجتمع والفترة والطريقة والمصدر وحداثة الدليل؛ وحين لا تتطابق يكون الحكم «غير قابلة للمقارنة» نتيجة صحيحة.</x:v>
      </x:c>
    </x:row>
    <x:row r="119">
      <x:c r="A119" s="24" t="str">
        <x:v>/evidence/</x:v>
      </x:c>
      <x:c r="B119" s="24" t="str">
        <x:v>static</x:v>
      </x:c>
      <x:c r="C119" s="24" t="str">
        <x:v>/evidence</x:v>
      </x:c>
      <x:c r="D119" s="24"/>
      <x:c r="E119" s="24" t="str">
        <x:v>Inspect the evidence behind the answer</x:v>
      </x:c>
      <x:c r="F119" s="28" t="str">
        <x:v>افحص الدليل الذي تستند إليه الإجابة</x:v>
      </x:c>
      <x:c r="G119" s="24" t="str">
        <x:v>The evidence hub lists claims, indicators, visuals and source-backed records, each with its definition, period, method, limitations and source.</x:v>
      </x:c>
      <x:c r="H119" s="28" t="str">
        <x:v>يضم مركز الأدلة خلاصات ومؤشرات ورسومًا وسجلات تستند إلى مصادر، لكل منها تعريفه وفترته وطريقته وحدوده ومصدره.</x:v>
      </x:c>
    </x:row>
    <x:row r="120">
      <x:c r="A120" s="24" t="str">
        <x:v>/explore/</x:v>
      </x:c>
      <x:c r="B120" s="24" t="str">
        <x:v>static</x:v>
      </x:c>
      <x:c r="C120" s="24" t="str">
        <x:v>/explore</x:v>
      </x:c>
      <x:c r="D120" s="24"/>
      <x:c r="E120" s="24" t="str">
        <x:v>Start with the question, not the dataset.</x:v>
      </x:c>
      <x:c r="F120" s="28" t="str">
        <x:v>ابدأ بالسؤال، لا بالبيانات.</x:v>
      </x:c>
      <x:c r="G120" s="24"/>
      <x:c r="H120" s="28"/>
    </x:row>
    <x:row r="121">
      <x:c r="A121" s="24" t="str">
        <x:v>/finance/</x:v>
      </x:c>
      <x:c r="B121" s="24" t="str">
        <x:v>static</x:v>
      </x:c>
      <x:c r="C121" s="24" t="str">
        <x:v>/finance</x:v>
      </x:c>
      <x:c r="D121" s="24"/>
      <x:c r="E121" s="24" t="str">
        <x:v>Finance: borrower, saver and balance figures measure different things</x:v>
      </x:c>
      <x:c r="F121" s="28" t="str">
        <x:v>التمويل: أرقام المقترضين والمدخرين والأرصدة تقيس أشياء مختلفة</x:v>
      </x:c>
      <x:c r="G121" s="24" t="str">
        <x:v>Microfinance borrower, saver and portfolio figures and bank balances come from different sources and definitions, so they are kept separate, not one trend.</x:v>
      </x:c>
      <x:c r="H121"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2">
      <x:c r="A122" s="24" t="str">
        <x:v>/firms/</x:v>
      </x:c>
      <x:c r="B122" s="24" t="str">
        <x:v>static</x:v>
      </x:c>
      <x:c r="C122" s="24" t="str">
        <x:v>/firms</x:v>
      </x:c>
      <x:c r="D122" s="24"/>
      <x:c r="E122" s="24" t="str">
        <x:v>Firms: how much finance matters depends on the question and the firms asked</x:v>
      </x:c>
      <x:c r="F122" s="28" t="str">
        <x:v>المنشآت: مدى أهمية التمويل يتوقف على السؤال وعلى المنشآت التي سُئلت</x:v>
      </x:c>
      <x:c r="G122" s="24" t="str">
        <x:v>In a 2022 survey of formal firms in seven governorates, 22% named access to finance as a challenge, against 50% for electricity and 46% for fuel shortages.</x:v>
      </x:c>
      <x:c r="H122" s="28" t="str">
        <x:v>في مسح عام 2022 للمنشآت الرسمية في سبع محافظات، ذكرت 22% منها الوصول إلى التمويل تحديًا، مقابل 50% للكهرباء و46% لنقص الوقود.</x:v>
      </x:c>
    </x:row>
    <x:row r="123">
      <x:c r="A123" s="24" t="str">
        <x:v>/</x:v>
      </x:c>
      <x:c r="B123" s="24" t="str">
        <x:v>static</x:v>
      </x:c>
      <x:c r="C123" s="24" t="str">
        <x:v>/</x:v>
      </x:c>
      <x:c r="D123" s="24"/>
      <x:c r="E123" s="24" t="str">
        <x:v>Financial inclusion in Yemen is not one number.</x:v>
      </x:c>
      <x:c r="F123" s="28" t="str">
        <x:v>الشمول المالي في اليمن ليس رقمًا واحدًا.</x:v>
      </x:c>
      <x:c r="G123" s="24" t="str">
        <x:v>This bilingual resource helps you understand, compare and verify evidence on financial inclusion in Yemen: what it shows, what it does not, and its source.</x:v>
      </x:c>
      <x:c r="H123" s="28" t="str">
        <x:v>يساعدك هذا المورد العام ثنائي اللغة على فهم أدلة الشمول المالي في اليمن ومقارنتها والتحقق منها: ما تسنده الأدلة، وما لا تثبته، ومصدرها.</x:v>
      </x:c>
    </x:row>
    <x:row r="124">
      <x:c r="A124" s="24" t="str">
        <x:v>/measurement/</x:v>
      </x:c>
      <x:c r="B124" s="24" t="str">
        <x:v>static</x:v>
      </x:c>
      <x:c r="C124" s="24" t="str">
        <x:v>/measurement</x:v>
      </x:c>
      <x:c r="D124" s="24"/>
      <x:c r="E124" s="24" t="str">
        <x:v>Missing evidence matters when it could change a decision.</x:v>
      </x:c>
      <x:c r="F124" s="28" t="str">
        <x:v>تكتسب فجوة الدليل أهميتها عندما يمكن أن تغيّر قرارًا.</x:v>
      </x:c>
      <x:c r="G124" s="24" t="str">
        <x:v>This agenda links evidence gaps to specific decision questions; it does not rank national priorities or use a hidden score.</x:v>
      </x:c>
      <x:c r="H124" s="28" t="str">
        <x:v>تربط هذه الأولويات فجوات الأدلة بأسئلة قرار محددة، ولا تمثل ترتيبًا للأولويات الوطنية، ولا تستند إلى درجة خفية.</x:v>
      </x:c>
    </x:row>
    <x:row r="125">
      <x:c r="A125" s="24" t="str">
        <x:v>/methodology/</x:v>
      </x:c>
      <x:c r="B125" s="24" t="str">
        <x:v>static</x:v>
      </x:c>
      <x:c r="C125" s="24" t="str">
        <x:v>/methodology</x:v>
      </x:c>
      <x:c r="D125" s="24"/>
      <x:c r="E125" s="24" t="str">
        <x:v>Preserve the meaning of the evidence before comparing the numbers.</x:v>
      </x:c>
      <x:c r="F125" s="28" t="str">
        <x:v>حافظ على معنى الدليل قبل أن تقارن الأرقام.</x:v>
      </x:c>
      <x:c r="G125" s="24" t="str">
        <x:v>Every figure is checked against its source and exceptions are marked; unverified figures are withheld and secondary ones are labelled.</x:v>
      </x:c>
      <x:c r="H125" s="28" t="str">
        <x:v>يُراجَع كل رقم مقابل مصدره ويُشار إلى الاستثناءات؛ ويُحجب الرقم غير المتحقق منه ويوسم الرقم الثانوي.</x:v>
      </x:c>
    </x:row>
    <x:row r="126">
      <x:c r="A126" s="24" t="str">
        <x:v>/payments/</x:v>
      </x:c>
      <x:c r="B126" s="24" t="str">
        <x:v>static</x:v>
      </x:c>
      <x:c r="C126" s="24" t="str">
        <x:v>/payments</x:v>
      </x:c>
      <x:c r="D126" s="24"/>
      <x:c r="E126" s="24" t="str">
        <x:v>Payments: reported POS terminals rose between March 2025 and June 2026; how many people use them is not measured</x:v>
      </x:c>
      <x:c r="F126" s="28" t="str">
        <x:v>المدفوعات: ارتفع عدد أجهزة نقاط البيع المُبلَّغ عنها بين مارس 2025 ويونيو 2026، أما عدد مستخدميها فغير مقيس</x:v>
      </x:c>
      <x:c r="G126" s="24" t="str">
        <x:v>Administrative payment data show devices, accounts, transactions and values at high frequency; none is a number of people or an inclusion outcome.</x:v>
      </x:c>
      <x:c r="H126" s="28" t="str">
        <x:v>تُظهر البيانات الإدارية للمدفوعات الأجهزة والحسابات والمعاملات والقيم بوتيرة عالية؛ ولا يمثل أي منها عدد أشخاص أو نتيجة للشمول المالي.</x:v>
      </x:c>
    </x:row>
    <x:row r="127">
      <x:c r="A127" s="24" t="str">
        <x:v>/people/</x:v>
      </x:c>
      <x:c r="B127" s="24" t="str">
        <x:v>static</x:v>
      </x:c>
      <x:c r="C127" s="24" t="str">
        <x:v>/people</x:v>
      </x:c>
      <x:c r="D127" s="24"/>
      <x:c r="E127" s="24" t="str">
        <x:v>People: one population, evidence from different dates</x:v>
      </x:c>
      <x:c r="F127" s="28" t="str">
        <x:v>الأفراد: مجتمع سكاني واحد، وأدلة من تواريخ مختلفة</x:v>
      </x:c>
      <x:c r="G127" s="24" t="str">
        <x:v>The Global Findex 2021 wave, a representative survey (fieldwork 2022–23), found that 11.9% of adults in surveyed areas had an account; not a 2026 rate.</x:v>
      </x:c>
      <x:c r="H127" s="28" t="str">
        <x:v>وجدت موجة Global Findex 2021، وهي مسح ممثل (العمل الميداني 2022–2023)، أن 11.9% من البالغين في المناطق المشمولة يملكون حسابًا؛ وليس هذا معدلًا لعام 2026.</x:v>
      </x:c>
    </x:row>
    <x:row r="128">
      <x:c r="A128" s="24" t="str">
        <x:v>/privacy/</x:v>
      </x:c>
      <x:c r="B128" s="24" t="str">
        <x:v>operational</x:v>
      </x:c>
      <x:c r="C128" s="24" t="str">
        <x:v>/privacy</x:v>
      </x:c>
      <x:c r="D128" s="24"/>
      <x:c r="E128" s="24" t="str">
        <x:v>Privacy</x:v>
      </x:c>
      <x:c r="F128" s="28" t="str">
        <x:v>الخصوصية</x:v>
      </x:c>
      <x:c r="G128" s="24"/>
      <x:c r="H128" s="28"/>
    </x:row>
    <x:row r="129">
      <x:c r="A129" s="24" t="str">
        <x:v>/providers/</x:v>
      </x:c>
      <x:c r="B129" s="24" t="str">
        <x:v>static</x:v>
      </x:c>
      <x:c r="C129" s="24" t="str">
        <x:v>/providers</x:v>
      </x:c>
      <x:c r="D129" s="24"/>
      <x:c r="E129" s="24" t="str">
        <x:v>Providers: official lists show formal status on a date; operation needs other evidence</x:v>
      </x:c>
      <x:c r="F129" s="28" t="str">
        <x:v>قائمة مقدمي الخدمات تثبت وضعًا رسميًا في تاريخ محدد، لكنها لا تثبت التشغيل بذاتها.</x:v>
      </x:c>
      <x:c r="G129" s="24" t="str">
        <x:v>Official lists of the Central Bank of Yemen – Aden show which banks and exchange and remittance providers hold formal status on a date, not which operate.</x:v>
      </x:c>
      <x:c r="H129"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0">
      <x:c r="A130" s="24" t="str">
        <x:v>/readings/after-transfer-persistence/</x:v>
      </x:c>
      <x:c r="B130" s="24" t="str">
        <x:v>reading_detail</x:v>
      </x:c>
      <x:c r="C130" s="24" t="str">
        <x:v>/readings/[reading_id]</x:v>
      </x:c>
      <x:c r="D130" s="24" t="str">
        <x:v>after-transfer-persistence</x:v>
      </x:c>
      <x:c r="E130" s="24"/>
      <x:c r="F130" s="28"/>
      <x:c r="G130" s="24"/>
      <x:c r="H130" s="28"/>
    </x:row>
    <x:row r="131">
      <x:c r="A131" s="24" t="str">
        <x:v>/readings/banking-jump-measurement-basis/</x:v>
      </x:c>
      <x:c r="B131" s="24" t="str">
        <x:v>reading_detail</x:v>
      </x:c>
      <x:c r="C131" s="24" t="str">
        <x:v>/readings/[reading_id]</x:v>
      </x:c>
      <x:c r="D131" s="24" t="str">
        <x:v>banking-jump-measurement-basis</x:v>
      </x:c>
      <x:c r="E131" s="24"/>
      <x:c r="F131" s="28"/>
      <x:c r="G131" s="24" t="str">
        <x:v>A number can rise because the economy changed, or because the way an existing position is valued, classified or reported changed.</x:v>
      </x:c>
      <x:c r="H131" s="28" t="str">
        <x:v>قد يرتفع الرقم لأن الاقتصاد تغيّر، وقد يرتفع لأن طريقة تقييم مركز قائم أو تصنيفه أو الإبلاغ عنه تغيّرت.</x:v>
      </x:c>
    </x:row>
    <x:row r="132">
      <x:c r="A132" s="24" t="str">
        <x:v>/readings/define-what-you-count/</x:v>
      </x:c>
      <x:c r="B132" s="24" t="str">
        <x:v>reading_detail</x:v>
      </x:c>
      <x:c r="C132" s="24" t="str">
        <x:v>/readings/[reading_id]</x:v>
      </x:c>
      <x:c r="D132" s="24" t="str">
        <x:v>define-what-you-count</x:v>
      </x:c>
      <x:c r="E132" s="24"/>
      <x:c r="F132" s="28"/>
      <x:c r="G132" s="24"/>
      <x:c r="H132" s="28"/>
    </x:row>
    <x:row r="133">
      <x:c r="A133" s="24" t="str">
        <x:v>/readings/digital-workaround-not-yet-durable-inclusion/</x:v>
      </x:c>
      <x:c r="B133" s="24" t="str">
        <x:v>reading_detail</x:v>
      </x:c>
      <x:c r="C133" s="24" t="str">
        <x:v>/readings/[reading_id]</x:v>
      </x:c>
      <x:c r="D133" s="24" t="str">
        <x:v>digital-workaround-not-yet-durable-inclusion</x:v>
      </x:c>
      <x:c r="E133" s="24"/>
      <x:c r="F133" s="28"/>
      <x:c r="G133" s="24" t="str">
        <x:v>A study of e-money accounts to December 2019 found dormant accounts and one-time use. When does digital growth in Yemen become durable financial use?</x:v>
      </x:c>
      <x:c r="H133"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4">
      <x:c r="A134" s="24" t="str">
        <x:v>/readings/finance-constraint-different-questions/</x:v>
      </x:c>
      <x:c r="B134" s="24" t="str">
        <x:v>reading_detail</x:v>
      </x:c>
      <x:c r="C134" s="24" t="str">
        <x:v>/readings/[reading_id]</x:v>
      </x:c>
      <x:c r="D134" s="24" t="str">
        <x:v>finance-constraint-different-questions</x:v>
      </x:c>
      <x:c r="E134" s="24"/>
      <x:c r="F134" s="28"/>
      <x:c r="G134" s="24" t="str">
        <x:v>In a 2022 survey of formal firms, 22% named finance as a challenge, yet 91.84% of a narrower group rated it a major or moderate obstacle.</x:v>
      </x:c>
      <x:c r="H134" s="28" t="str">
        <x:v>في مسح عام 2022 للمنشآت الرسمية، ذكرت 22% التمويل تحديًا، بينما صنّفت 91.84% من مجموعة أضيق عائق التمويل كبيرًا أو متوسطًا.</x:v>
      </x:c>
    </x:row>
    <x:row r="135">
      <x:c r="A135" s="24" t="str">
        <x:v>/readings/from-rail-to-result-missing-middle/</x:v>
      </x:c>
      <x:c r="B135" s="24" t="str">
        <x:v>reading_detail</x:v>
      </x:c>
      <x:c r="C135" s="24" t="str">
        <x:v>/readings/[reading_id]</x:v>
      </x:c>
      <x:c r="D135" s="24" t="str">
        <x:v>from-rail-to-result-missing-middle</x:v>
      </x:c>
      <x:c r="E135" s="24"/>
      <x:c r="F135" s="28"/>
      <x:c r="G135" s="24"/>
      <x:c r="H135" s="28"/>
    </x:row>
    <x:row r="136">
      <x:c r="A136" s="24" t="str">
        <x:v>/readings/gender-gap-measured-causes-open/</x:v>
      </x:c>
      <x:c r="B136" s="24" t="str">
        <x:v>reading_detail</x:v>
      </x:c>
      <x:c r="C136" s="24" t="str">
        <x:v>/readings/[reading_id]</x:v>
      </x:c>
      <x:c r="D136" s="24" t="str">
        <x:v>gender-gap-measured-causes-open</x:v>
      </x:c>
      <x:c r="E136" s="24"/>
      <x:c r="F136" s="28"/>
      <x:c r="G136" s="24" t="str">
        <x:v>In the Global Findex 2021 wave for Yemen, 18.3% of men and 5.4% of women in surveyed areas had an account: a measured gap whose explanation is open.</x:v>
      </x:c>
      <x:c r="H136" s="28" t="str">
        <x:v>في موجة Global Findex 2021 الخاصة باليمن، كان لدى 18.3% من الرجال و5.4% من النساء في المناطق المشمولة حساب؛ وهي فجوة مقاسة ما يزال تفسيرها مفتوحًا.</x:v>
      </x:c>
    </x:row>
    <x:row r="137">
      <x:c r="A137" s="24" t="str">
        <x:v>/readings/</x:v>
      </x:c>
      <x:c r="B137" s="24" t="str">
        <x:v>static</x:v>
      </x:c>
      <x:c r="C137" s="24" t="str">
        <x:v>/readings</x:v>
      </x:c>
      <x:c r="D137" s="24"/>
      <x:c r="E137" s="24" t="str">
        <x:v>Evidence Readings</x:v>
      </x:c>
      <x:c r="F137" s="28" t="str">
        <x:v>قراءات الأدلة</x:v>
      </x:c>
      <x:c r="G137" s="24"/>
      <x:c r="H137" s="28"/>
    </x:row>
    <x:row r="138">
      <x:c r="A138" s="24" t="str">
        <x:v>/readings/microfinance-structural-divergence/</x:v>
      </x:c>
      <x:c r="B138" s="24" t="str">
        <x:v>reading_detail</x:v>
      </x:c>
      <x:c r="C138" s="24" t="str">
        <x:v>/readings/[reading_id]</x:v>
      </x:c>
      <x:c r="D138" s="24" t="str">
        <x:v>microfinance-structural-divergence</x:v>
      </x:c>
      <x:c r="E138" s="24"/>
      <x:c r="F138" s="28"/>
      <x:c r="G138" s="24" t="str">
        <x:v>“Microfinance growth” sounds like one result. The evidence describes several.</x:v>
      </x:c>
      <x:c r="H138" s="28" t="str">
        <x:v>تبدو عبارة «نمو التمويل الأصغر» كأنها نتيجة واحدة، لكن الأدلة تصف أكثر من نتيجة.</x:v>
      </x:c>
    </x:row>
    <x:row r="139">
      <x:c r="A139" s="24" t="str">
        <x:v>/readings/reforms-newer-than-people-evidence/</x:v>
      </x:c>
      <x:c r="B139" s="24" t="str">
        <x:v>reading_detail</x:v>
      </x:c>
      <x:c r="C139" s="24" t="str">
        <x:v>/readings/[reading_id]</x:v>
      </x:c>
      <x:c r="D139" s="24" t="str">
        <x:v>reforms-newer-than-people-evidence</x:v>
      </x:c>
      <x:c r="E139" s="24"/>
      <x:c r="F139" s="28"/>
      <x:c r="G139" s="24" t="str">
        <x:v>As checked on 3 October 2026, the most recent representative measure of account ownership in Yemen is 11.9% of adults in surveyed areas (Findex 2021; fieldwork 2022–23); the system has moved since.</x:v>
      </x:c>
      <x:c r="H139" s="28" t="str">
        <x:v>عند الاطلاع في 3 أكتوبر 2026، كانت أحدث نسبة ممثلة لامتلاك الحساب في اليمن 11.9% من البالغين في المناطق المشمولة (Findex 2021؛ العمل الميداني 2022–2023)؛ والمنظومة تغيّرت منذ ذلك الحين.</x:v>
      </x:c>
    </x:row>
    <x:row r="140">
      <x:c r="A140" s="24" t="str">
        <x:v>/readings/same-year-different-number/</x:v>
      </x:c>
      <x:c r="B140" s="24" t="str">
        <x:v>reading_detail</x:v>
      </x:c>
      <x:c r="C140" s="24" t="str">
        <x:v>/readings/[reading_id]</x:v>
      </x:c>
      <x:c r="D140" s="24" t="str">
        <x:v>same-year-different-number</x:v>
      </x:c>
      <x:c r="E140" s="24"/>
      <x:c r="F140" s="28"/>
      <x:c r="G140" s="24" t="str">
        <x:v>Two annual reports of the Central Bank of Yemen – Aden (CBY-Aden) give markedly different remittance values for the same reference year.</x:v>
      </x:c>
      <x:c r="H140" s="28" t="str">
        <x:v>يورد تقريران سنويان للبنك المركزي اليمني – عدن قيمتين متباينتين تباينًا واضحًا للتحويلات في السنة المرجعية نفسها.</x:v>
      </x:c>
    </x:row>
    <x:row r="141">
      <x:c r="A141" s="24" t="str">
        <x:v>/reforms/</x:v>
      </x:c>
      <x:c r="B141" s="24" t="str">
        <x:v>static</x:v>
      </x:c>
      <x:c r="C141" s="24" t="str">
        <x:v>/reforms</x:v>
      </x:c>
      <x:c r="D141" s="24"/>
      <x:c r="E141" s="24" t="str">
        <x:v>A reform can be real before its outcome is known.</x:v>
      </x:c>
      <x:c r="F141" s="28" t="str">
        <x:v>قد يقع الإصلاح فعلًا وتبقى نتيجته مجهولة.</x:v>
      </x:c>
      <x:c r="G141" s="24" t="str">
        <x:v>Recent reforms are documented at the rule, funding and institution stages; there is no evidence yet that they changed access, use, quality or outcomes.</x:v>
      </x:c>
      <x:c r="H141"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2">
      <x:c r="A142" s="24" t="str">
        <x:v>/remittances/</x:v>
      </x:c>
      <x:c r="B142" s="24" t="str">
        <x:v>static</x:v>
      </x:c>
      <x:c r="C142" s="24" t="str">
        <x:v>/remittances</x:v>
      </x:c>
      <x:c r="D142" s="24"/>
      <x:c r="E142" s="24" t="str">
        <x:v>Remittances: each figure depends on its source, concept and edition</x:v>
      </x:c>
      <x:c r="F142" s="28" t="str">
        <x:v>التحويلات: كل رقم يتوقف على مصدره ومفهومه والإصدار الذي نُشر فيه</x:v>
      </x:c>
      <x:c r="G142" s="24" t="str">
        <x:v>Remittance figures depend on source, concept and edition: the 2025 annual report of the Central Bank of Yemen – Aden revised 2024, which is not a fall.</x:v>
      </x:c>
      <x:c r="H142" s="28" t="str">
        <x:v>يتوقف رقم التحويلات على مصدره ومفهومه وإصداره: فقد راجع التقرير السنوي 2025 للبنك المركزي اليمني – عدن قيمة عام 2024، وهذه مراجعة لا هبوط.</x:v>
      </x:c>
    </x:row>
    <x:row r="143">
      <x:c r="A143" s="24" t="str">
        <x:v>/rights/</x:v>
      </x:c>
      <x:c r="B143" s="24" t="str">
        <x:v>operational</x:v>
      </x:c>
      <x:c r="C143" s="24" t="str">
        <x:v>/rights</x:v>
      </x:c>
      <x:c r="D143" s="24"/>
      <x:c r="E143" s="24" t="str">
        <x:v>Source and data rights</x:v>
      </x:c>
      <x:c r="F143" s="28" t="str">
        <x:v>حقوق المصادر والبيانات</x:v>
      </x:c>
      <x:c r="G143" s="24"/>
      <x:c r="H143" s="28"/>
    </x:row>
    <x:row r="144">
      <x:c r="A144" s="24" t="str">
        <x:v>/terms/</x:v>
      </x:c>
      <x:c r="B144" s="24" t="str">
        <x:v>operational</x:v>
      </x:c>
      <x:c r="C144" s="24" t="str">
        <x:v>/terms</x:v>
      </x:c>
      <x:c r="D144" s="24"/>
      <x:c r="E144" s="24" t="str">
        <x:v>Terms and responsible reuse</x:v>
      </x:c>
      <x:c r="F144" s="28" t="str">
        <x:v>الشروط وإعادة الاستخدام المسؤول</x:v>
      </x:c>
      <x:c r="G144" s="24"/>
      <x:c r="H144" s="28"/>
    </x:row>
    <x:row r="145">
      <x:c r="A145" s="24" t="str">
        <x:v>/evidence/CLM-062/</x:v>
      </x:c>
      <x:c r="B145" s="24" t="str">
        <x:v>evidence_detail</x:v>
      </x:c>
      <x:c r="C145" s="24" t="str">
        <x:v>/evidence/[id]</x:v>
      </x:c>
      <x:c r="D145" s="24" t="str">
        <x:v>CLM-062</x:v>
      </x:c>
      <x:c r="E145" s="24"/>
      <x:c r="F145" s="28"/>
      <x:c r="G145" s="24" t="str">
        <x:v>In the 2022 seven-governorate survey, 58.2% of formal firms reported a bank account, but their working capital came mainly from internal sources.</x:v>
      </x:c>
      <x:c r="H145" s="28" t="str">
        <x:v>في مسح عام 2022 لسبع محافظات، أفادت 58.2% من المنشآت الرسمية بامتلاك حساب مصرفي، لكن رأس مالها العامل جاء أساسًا من مصادر داخلية.</x:v>
      </x:c>
    </x:row>
    <x:row r="146">
      <x:c r="A146" s="24" t="str">
        <x:v>/evidence/FMIIP-BASELINE-2025-01/</x:v>
      </x:c>
      <x:c r="B146" s="24" t="str">
        <x:v>evidence_detail</x:v>
      </x:c>
      <x:c r="C146" s="24" t="str">
        <x:v>/evidence/[id]</x:v>
      </x:c>
      <x:c r="D146" s="24" t="str">
        <x:v>FMIIP-BASELINE-2025-01</x:v>
      </x:c>
      <x:c r="E146" s="24"/>
      <x:c r="F146" s="28"/>
      <x:c r="G146" s="24" t="str">
        <x:v>January 2025 baselines in the World Bank-financed FMIIP results framework count accounts, access points, merchants and agents, not people.</x:v>
      </x:c>
      <x:c r="H146" s="28" t="str">
        <x:v>تعدّ خطوط الأساس لشهر يناير 2025 في إطار نتائج مشروع FMIIP الممول من البنك الدولي الحسابات ونقاط الوصول والتجار والوكلاء، لا الأشخاص.</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resource on financial inclusion in Yemen. For each figure, it shows what the evidence establishes and what it does not, when and for whom the figure applies, and where it comes from.</x:v>
      </x:c>
      <x:c r="F5" s="28"/>
      <x:c r="G5" s="28" t="str">
        <x:v>«أدلة الشمول المالي في اليمن» مورد عام ثنائي اللغة عن الشمول المالي في اليمن. ويبيّن لكل رقم ما الذي تثبته الأدلة وما الذي لا تثبته، ومتى ولمن ينطبق، ومن أين جاء.</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11.9% of adults aged 15 and over in the areas surveyed had an account at a financial institution or with a mobile-money provider, according to the latest representative population measure: the World Bank’s Global Findex 2021 survey of Yemen (fieldwork 7 November 2022 to 9 January 2023; World Bank data year 2022). Areas holding about 23% of the population were not surveyed. In the same survey, 18.3% of men and 5.4% of women had an account, a gap of 12.9 percentage points. Separately, point-of-sale (POS) terminals reported by the Central Bank of Yemen – Aden (CBY-Aden) rose from 561 in March 2025 to 1,651 in June 2026, within CBY-Aden’s reporting scope. These are different measures: people, a disparity within one survey, and infrastructure. None substitutes for another.</x:v>
      </x:c>
      <x:c r="F8" s="28"/>
      <x:c r="G8" s="28"/>
    </x:row>
    <x:row r="9">
      <x:c r="A9" s="24" t="str">
        <x:v>/</x:v>
      </x:c>
      <x:c r="B9" s="24" t="n">
        <x:v>3</x:v>
      </x:c>
      <x:c r="C9" s="24" t="str">
        <x:v>الدليل</x:v>
      </x:c>
      <x:c r="D9" s="24"/>
      <x:c r="E9" s="24"/>
      <x:c r="F9" s="28" t="str">
        <x:v>ثلاثة أرقام تقيس ثلاثة أشياء مختلفة</x:v>
      </x:c>
      <x:c r="G9" s="28" t="str">
        <x:v>كان لدى 11.9% من البالغين بعمر 15 سنة فأكثر في المناطق التي شملها المسح حساب لدى مؤسسة مالية أو لدى مقدم خدمة أموال عبر الهاتف المحمول، وفق أحدث قياس ممثل للسكان: مسح المؤشر العالمي للشمول المالي (Global Findex) لعام 2021 في اليمن، الصادر عن البنك الدولي (نُفذ العمل الميداني من 7 نوفمبر 2022 إلى 9 يناير 2023؛ وسنة البيانات لدى البنك الدولي 2022). ولم يشمل المسح مناطق يسكنها نحو 23% من السكان. وفي المسح نفسه، كان لدى 18.3% من الرجال و5.4% من النساء حساب، بفارق 12.9 نقطة مئوية. وبصورة منفصلة، ارتفع عدد أجهزة نقاط البيع التي يُبلغ عنها البنك المركزي اليمني – عدن من 561 في مارس 2025 إلى 1,651 في يونيو 2026، ضمن نطاق إبلاغه. هذه مقاييس مختلفة: أشخاص، وفجوة داخل مسح واحد، وبنية تحتية؛ ولا يحل أي منها محل الآخر.</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التحويلات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in front of you.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اختر السؤال الأقرب إلى القرار أو المسألة التي أمامك.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does not claim, who remains authoritative for the data, and how to check, challenge and reuse what you find here. The resource does not make decisions for users or simulate policy outcomes.</x:v>
      </x:c>
      <x:c r="F22" s="28"/>
      <x:c r="G22" s="28" t="str">
        <x:v>توضح هذه الصفحة سبب وجود هذا المورد، وما تضيفه CauseWay وما لا تدّعيه، ومن يبقى المرجع للبيانات، وكيف تتحقق مما تجده هنا وتعترض عليه وتعيد استخدامه.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CauseWay is a Yemeni institutional advisory firm based in Aden (Commercial Registration No. 26666). It works with financial institutions, public institutions and development partners where finance, governance, regulation and implementation meet. Some of those institutions publish evidence used in this resource. That evidence is selected and presented by the method published here, and every record can be checked against the sources it names and corrected through the published route.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CauseWay شركة استشارات مؤسسية يمنية مقرّها عدن (سجل تجاري رقم 26666)، تعمل مع المؤسسات المالية والمؤسسات العامة وشركاء التنمية حيث تلتقي المالية والحوكمة والتنظيم والتنفيذ. وتنشر بعض هذه المؤسسات أدلةً يستخدمها هذا المورد؛ وتُختار هذه الأدلة وتُعرض وفق المنهج المنشور هنا، ويمكن التحقق من كل سجل بالرجوع إلى المصادر التي يسمّيها وتصحيحه عبر المسار المنشور.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1,651 point-of-sale (POS) terminals in June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1,651 جهاز نقاط بيع أبلغ عنه في يونيو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1,651 in June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1,651 جهازًا في يونيو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إتاحة الوصول</x:v>
      </x:c>
      <x:c r="G54" s="28" t="str">
        <x:v>يمكن الإبلاغ عن مشكلات إتاحة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لإتاحة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إتاحة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إتاحة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 Institutions whose documents or data are used in this resource can request a correction to any record through the same route as any reader: write to office@causewaygrp.com with the record or source reference.</x:v>
      </x:c>
      <x:c r="F61" s="28"/>
      <x:c r="G61" s="28" t="str">
        <x:v>التصحيحات الجوهرية للأدلة المنشورة والسجلات المستبدلة، وكيف تُسجَّل. ويمكن للمؤسسات التي تُستخدم وثائقها أو بياناتها في هذا المورد أن تطلب تصحيح أي سجل عبر المسار نفسه المتاح لأي قارئ: بالكتابة إلى office@causewaygrp.com مع مرجع السجل أو المصدر.</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3 October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3 أكتوبر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keeps its public link and, where recorded, its title, publisher and date; reuse terms have not yet been assessed for any source. The figures themselves are recorded in the evidence records that cite the source.</x:v>
      </x:c>
      <x:c r="F66" s="28"/>
      <x:c r="G66" s="28" t="str">
        <x:v>ابحث عن مصدر أصلي بعنوانه أو بمرجعه، أو تصفح التقارير والمراجع المنهجية المختارة، أو افتح السجل الكامل للمصادر. ويحتفظ كل سجل مصدر برابطه العام، وبعنوانه وجهته الناشرة وتاريخه حيثما سُجّلت؛ ولم تُقيَّم بعدُ شروط إعادة الاستخدام لأي مصدر. أما الأرقام نفسها فتحملها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يكتسب الرقم معنى مختلفًا إذا أُعيد استخدامه من دون وحدته، أو المجتمع أو قاعدة الاحتساب، أو الفترة، أو الجغرافيا،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كون السجل متاحًا للعامة لا يعني تلقائيًا أنه ممثل وطنيًا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any source in this library, so no source record states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لأي مصدر في هذه المكتبة، ولذلك لا يذكرها أي سجل مصدر.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Evidence Readings: {{n:readings}}
Measurement Agenda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قراءات الأدلة: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kinds of evidence.</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برامج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The table compares definition, population or calculation base, period, method, source and currentness; read each record for its geography and unit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يقارن الجدول التعريف ومجتمع القياس أو قاعدة الاحتساب والفترة والطريقة والمصدر وحداثة الدليل؛ واقرأ كل سجل لمعرفة نطاقه الجغرافي ووحدته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in front of you.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أمامك.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current evidence base does not yet contain a harmonized, publication-ready set of non-performing-loan, capital-adequacy and liquidity ratios with common definitions and vintages.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ولا تتضمن قاعدة الأدلة بعدُ مجموعة منسجمة وجاهزة للنشر لمؤشرات القروض المتعثرة وكفاية رأس المال والسيولة بتعريفات ونسخ زمنية قابلة للمقارنة.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التحويلات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أُجري عام 2022 على المنشآت الرسمية في سبع محافظات، ذكرت 22% منها الوصول إلى التمويل بوصفه تحديًا للأعمال، مقابل 50% للكهرباء و46% لنقص الوقود. وبين المنشآت التي شملها جدول عوائق التمويل في التقرير، بعد استبعاد المنشآت التي قالت إنها لا تحتاج إلى قرض، صنّفت 91.84% عوائق التمويل بأنها كبيرة أو متوسطة. وتجيب هذه النتائج، ومسارات الائتمان لدى المنشآت القليلة التي لديها خط ائتمان، وما يورده أحد البرامج عن المنشآت التي دعمها، عن أسئلة مختلفة، ولا يمكن دمجها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يُعرف مصدرها إلا لدى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the evidence base does not specify whether this total is funding committed or funding disbursed. The 2021–2024 total is not established as a count of unique firms. These are programme-delivery measures for the firms the programme supported; they are not a count of Yemen’s MSME population, a measure of financial-sector lending, or proof of causal impact.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ولا تحدد قاعدة الأدلة ما إذا كان هذا الإجمالي تمويلًا ملتزمًا به أم مصروفًا.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This agenda links evidence gaps to specific decision questions. It does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تستند إلى درجة خفية. يوضح كل بند القرار المتأثر، والدليل المفقود، وقيود إمكانية التنفيذ والحساسية، وما الذي يمكن معرفته إذا توفر ذلك الدليل. وتصف تسميات الأولوية ترتيب فجوات الأدلة داخل هذا المورد فقط؛ فهي ليست ترتيبًا حكوميًا أو تمويليًا أو للسياسات.</x:v>
      </x:c>
    </x:row>
    <x:row r="137">
      <x:c r="A137" s="24" t="str">
        <x:v>/measurement/</x:v>
      </x:c>
      <x:c r="B137" s="24" t="n">
        <x:v>2</x:v>
      </x:c>
      <x:c r="C137" s="24" t="str">
        <x:v>What it means</x:v>
      </x:c>
      <x:c r="D137" s="24" t="str">
        <x:v>How to read the agenda</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evidence agenda,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وليس توصية للحكومة أو قائمة أمنيات.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agenda itself</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agenda changes</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agenda</x:v>
      </x:c>
      <x:c r="D153" s="24" t="str">
        <x:v>Measurements that would change decisions</x:v>
      </x:c>
      <x:c r="E153" s="24" t="str">
        <x:v>Each agenda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يبقى عدم التوافق الجوهري ظاهرًا وقد يمنع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Point-of-sale (POS) terminals reported by the Central Bank of Yemen – Aden rose from 561 to 1,651 between March 2025 and June 2026, within its reporting scope; how many people use them is not measured. 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ارتفع عدد أجهزة نقاط البيع التي يُبلغ عنها البنك المركزي اليمني – عدن من 561 إلى 1,651 بين مارس 2025 ويونيو 2026، ضمن نطاق إبلاغه؛ أما عدد من يستخدمونها فغير مقيس. وتستطيع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1,651 between March 2025 and June 2026, transaction counts from 8,015 to 27,504 (after a high of 36,201 in May 2026) and nominal transaction value from YER 320 million to YER 1,045 million (after a high of YER 1,579 million in May 2026). This page keeps these three measures separate. A terminal is infrastructure, a transaction is an event and transaction value is a nominal monetary amount; none equals a person. The transaction series supports only a narrower reading: the totals CBY-Aden reports are higher in June 2026 than in March 2025, but they did not rise steadily and fell in several months; whether the reporting scope stayed the same, including across the change of release format in July 2025, has not been verified.</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ويونيو 2026 العدد المنشور لأجهزة نقاط البيع من 561 إلى 1,651 جهازًا، وعدد المعاملات من 8,015 إلى 27,504 (بعد ذروة بلغت 36,201 معاملة في مايو 2026)، والقيمة الاسمية للمعاملات من 320 مليون ريال إلى 1,045 مليون ريال (بعد ذروة بلغت 1,579 مليون ريال في مايو 2026). وتُبقي هذه الصفحة المقاييس الثلاثة منفصلة: الجهاز بنية تحتية، والمعاملة حدث، وقيمة المعاملة مبلغ مالي اسمي؛ ولا يساوي أي منها شخصًا. ولا تدعم سلسلة المعاملات إلا قراءة أضيق: فالإجماليات التي يُبلغ عنها البنك المركزي في عدن أعلى في يونيو 2026 منها في مارس 2025، لكنها لم ترتفع باطراد وانخفضت في عدة أشهر؛ ولم يُتحقق من استمرارية نطاق الإبلاغ، بما في ذلك عند تغيّر شكل الإصدار في يوليو 2025.</x:v>
      </x:c>
    </x:row>
    <x:row r="177">
      <x:c r="A177" s="24" t="str">
        <x:v>/payments/</x:v>
      </x:c>
      <x:c r="B177" s="24" t="n">
        <x:v>3</x:v>
      </x:c>
      <x:c r="C177" s="24" t="str">
        <x:v>Evidence</x:v>
      </x:c>
      <x:c r="D177" s="24" t="str">
        <x:v>June 2026 was the latest monthly POS release on CBY-Aden's Arabic payments page as checked on 3 October 2026; its English payments page still ends at January 2026</x:v>
      </x:c>
      <x:c r="E177" s="24" t="str">
        <x:v>The Arabic payments page of the Central Bank of Yemen – Aden (CBY-Aden), as checked on 3 October 2026, publishes monthly POS releases from March 2025 through June 2026; the English payments page, checked the same day, still ends at January 2026. This resource therefore stops the monthly series at June 2026. That does not mean activity stopped; it means no later monthly release had been published on the Arabic page when it was checked.</x:v>
      </x:c>
      <x:c r="F177" s="28"/>
      <x:c r="G177" s="28"/>
    </x:row>
    <x:row r="178">
      <x:c r="A178" s="24" t="str">
        <x:v>/payments/</x:v>
      </x:c>
      <x:c r="B178" s="24" t="n">
        <x:v>3</x:v>
      </x:c>
      <x:c r="C178" s="24" t="str">
        <x:v>الدليل</x:v>
      </x:c>
      <x:c r="D178" s="24"/>
      <x:c r="E178" s="24"/>
      <x:c r="F178" s="28" t="str">
        <x:v>يونيو 2026 هو أحدث إصدار شهري لنقاط البيع في صفحة المدفوعات بالعربية لدى البنك المركزي اليمني – عدن، كما اطُّلع عليها في 3 أكتوبر 2026؛ ولا تزال صفحة المدفوعات بالإنجليزية تنتهي عند يناير 2026</x:v>
      </x:c>
      <x:c r="G178" s="28" t="str">
        <x:v>تعرض صفحة المدفوعات بالعربية لدى البنك المركزي اليمني – عدن، كما اطُّلع عليها في 3 أكتوبر 2026، إصدارات شهرية لنقاط البيع من مارس 2025 حتى يونيو 2026، بينما لا تزال صفحة المدفوعات بالإنجليزية، التي اطُّلع عليها في اليوم نفسه، تنتهي عند يناير 2026. لذلك تنتهي السلسلة الشهرية عند يونيو 2026. ولا يعني ذلك أن النشاط توقف؛ بل يعني أن الصفحة بالعربية،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
Why the numbers differ: the 807,919 e-money accounts of December 2019 and CBY-Aden's 414,631 to 581,075 e-wallet subscribers in the first three quarters of 2024 (record CLM-010) cannot be read as a fall. The first counts accounts at the five providers one study of the Institute of Banking Studies (IBS) covered; the second counts subscribers under CBY-Aden's own definition and reporting scope. The two have not been reconciled, and neither counts people.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
لماذا تختلف الأرقام: لا يُقرأ الفرق بين 807,919 حساب نقود إلكترونية في ديسمبر 2019 وما بين 414,631 و581,075 مشتركًا في المحافظ الإلكترونية يورده البنك المركزي اليمني – عدن للأرباع الثلاثة الأولى من 2024 (السجل CLM-010) تراجعًا. فالأول يحصي حسابات لدى خمسة مقدمي خدمات شملتهم دراسة واحدة لمعهد الدراسات المصرفية، والثاني يحصي مشتركين وفق تعريف البنك المركزي ونطاق إبلاغه. ولم يُطابَق بين الرقمين، ولا يحصي أيٌّ منهما أشخاصًا.</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7 November 2022 to 9 January 2023), found that 11.9% of adults aged 15 and over in the areas surveyed had an account: 5.4% of women and 18.3%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7 نوفمبر 2022 إلى 9 يناير 2023 — أن 11.9% من البالغين بعمر 15 سنة فأكثر في المناطق التي شملها المسح يملكون حسابًا، بواقع 5.4% بين النساء و18.3%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Account ownership: the representative measure from the Global Findex 2021 wave</x:v>
      </x:c>
      <x:c r="E190" s="24" t="str">
        <x:v>Global Findex 2021 reports 11.9% account ownership for Yemen; the Yemen fieldwork was carried out in 2022–23. The value is a survey measure for that wave and fieldwork period, not a 2026 population rate. For context only, the World Bank's figure for the same wave across the 19 low-income economies surveyed in it, Yemen among them, is 35.2%; it averages very different economies and is not a benchmark or a ranking.</x:v>
      </x:c>
      <x:c r="F190" s="28"/>
      <x:c r="G190" s="28"/>
    </x:row>
    <x:row r="191">
      <x:c r="A191" s="24" t="str">
        <x:v>/people/</x:v>
      </x:c>
      <x:c r="B191" s="24" t="n">
        <x:v>2</x:v>
      </x:c>
      <x:c r="C191" s="24" t="str">
        <x:v>الدليل</x:v>
      </x:c>
      <x:c r="D191" s="24"/>
      <x:c r="E191" s="24"/>
      <x:c r="F191" s="28" t="str">
        <x:v>امتلاك الحساب: القياس الممثل من موجة Global Findex 2021</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 وللسياق فقط، يبلغ رقم البنك الدولي للموجة نفسها في الاقتصادات منخفضة الدخل الـ19 التي شملتها، ومنها اليمن، 35.2%؛ وهو متوسط لاقتصادات متباينة جدًا، وليس معيارًا ولا ترتيبًا.</x:v>
      </x:c>
    </x:row>
    <x:row r="192">
      <x:c r="A192" s="24" t="str">
        <x:v>/people/</x:v>
      </x:c>
      <x:c r="B192" s="24" t="n">
        <x:v>3</x:v>
      </x:c>
      <x:c r="C192" s="24" t="str">
        <x:v>Evidence</x:v>
      </x:c>
      <x:c r="D192" s="24" t="str">
        <x:v>Measured gaps by sex, income, education and age — not yet explanations</x:v>
      </x:c>
      <x:c r="E192" s="24" t="str">
        <x:v>In the same wave, 5.4% of women and 18.3% of men have an account — a difference of 12.9 percentage points. Adults in the richest 60% by household income (15.5%) and in the poorest 40% (6.5%) differ by 9.0 percentage points. Among adults with primary education or less, 7.0% have an account, compared with 19.5% of adults with secondary education or more: a gap of 12.5 percentage points. Adults aged 15–24 (5.0%) and adults aged 25 and over (16.1%) differ by 11.1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 من النساء و18.3% من الرجال حسابًا، بفارق 12.9 نقطة مئوية. ويبلغ الفارق بين البالغين في أغنى 60% بحسب دخل الأسرة (15.5%) وفي أفقر 40% (6.5%) 9.0 نقطة مئوية. وتبلغ نسبة امتلاك الحساب 7.0% بين البالغين الذين لم يتجاوز تعليمهم المرحلة الابتدائية، مقابل 19.5% بين الحاصلين على تعليم ثانوي فأعلى، أي بفارق 12.5 نقطة مئوية. ويبلغ الفارق بين الشباب بعمر 15–24 سنة (5.0%) والبالغين بعمر 25 سنة فأكثر (16.1%) 11.1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12.9-point gender difference, the 9.0-point income difference, the 12.5-point education difference and the 11.1-point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 نقطة بين الرجال والنساء وفارق 9.0 نقطة بين فئتي الدخل وفارق 12.5 نقطة بين فئتي التعليم وفارق 11.1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and borrowing tell a different — older — story</x:v>
      </x:c>
      <x:c r="E198" s="24" t="str">
        <x:v>In the 2014 World Bank weighted country profile, 65.9% of adults reported borrowing any money, including 51.7% from family or friends, 15.0% from a private informal lender and 0.4% from a financial institution. Separately, 20.6% reported saving any money, including 0.9% at a financial institution and 4.5% through a savings club or a person outside the family. The categories are not additive, and each percentage applies to the all-adult base used by that question.</x:v>
      </x:c>
      <x:c r="F198" s="28"/>
      <x:c r="G198" s="28"/>
    </x:row>
    <x:row r="199">
      <x:c r="A199" s="24" t="str">
        <x:v>/people/</x:v>
      </x:c>
      <x:c r="B199" s="24" t="n">
        <x:v>6</x:v>
      </x:c>
      <x:c r="C199" s="24" t="str">
        <x:v>التحليل</x:v>
      </x:c>
      <x:c r="D199" s="24"/>
      <x:c r="E199" s="24"/>
      <x:c r="F199" s="28" t="str">
        <x:v>الاقتراض والادخار يقدمان صورة أخرى — لكنها أقدم</x:v>
      </x:c>
      <x:c r="G199" s="28" t="str">
        <x:v>في الملف القطري الموزون للبنك الدولي لعام 2014، أفاد 65.9% من البالغين بأنهم اقترضوا أي مبلغ، واقترض 51.7% من جميع البالغين من الأسرة أو الأصدقاء، و15.0% من مقرض خاص غير رسمي، و0.4% من مؤسسة مالية. وبشكل منفصل، أفاد 20.6% بأنهم ادخروا أي مبلغ، وادخر 0.9% من جميع البالغين لدى مؤسسة مالية و4.5% عبر جمعية ادخار أو شخص من خارج الأسرة. وهذه الفئات غير قابلة للجمع، وكل نسبة تنطبق على قاعدة جميع البالغين المستخدمة في السؤال المعني.</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x:v>
      </x:c>
    </x:row>
    <x:row r="202">
      <x:c r="A202" s="24" t="str">
        <x:v>/people/</x:v>
      </x:c>
      <x:c r="B202" s="24" t="n">
        <x:v>8</x:v>
      </x:c>
      <x:c r="C202" s="24" t="str">
        <x:v>Method</x:v>
      </x:c>
      <x:c r="D202" s="24" t="str">
        <x:v>The 2021 wave does not cover all of Yemen</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7 November 2022 to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لموجة 2021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7 نوفمبر 2022 إلى 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كيف يتعامل هذا المورد مع معلومات الزوار.</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This resource is hosted on DigitalOcean App Platform. Readers reach it through causewaygrp.com, CauseWay's own website, which passes each request for these pages on to it. The causewaygrp.com website therefore receives the technical details that come with every request, such as the page address, the time of the request, the IP address and the browser type; if the browser holds the cookie that the causewaygrp.com website sets, that cookie is sent to the website with each request. App Platform, including the content-delivery network it serves through, receives each request as it is passed on. Either may keep such details in logs. Which details are kept, for what purpose, for how long and by which provider has not yet been confirmed; it will be stated here once it is.</x:v>
      </x:c>
      <x:c r="F212" s="28" t="str">
        <x:v>سجلات الاستضافة والأمن</x:v>
      </x:c>
      <x:c r="G212" s="28" t="str">
        <x:v>يُستضاف هذا المورد على خدمة App Platform من DigitalOcean، ويصل إليه القرّاء عبر causewaygrp.com، وهو موقع CauseWay الإلكتروني الذي يمرّر إليه كل طلب لهذه الصفحات. ولذلك يتلقى موقع causewaygrp.com البيانات التقنية المصاحبة لكل طلب، مثل رابط الصفحة ووقت الطلب وعنوان IP ونوع المتصفح؛ وإذا كان المتصفح يحتفظ بملف تعريف الارتباط الذي يضعه موقع causewaygrp.com، فإنه يرسله إلى ذلك الموقع مع كل طلب. وتتلقى App Platform، بما فيها شبكة توصيل المحتوى التي تقدّم الصفحات عبرها، كل طلب كما يُمرَّر إليها. وقد يحتفظ أيٌّ منهما بهذه البيانات في سجلات. ولم يُؤكَّد بعدُ أيّ البيانات تُحفظ، ولا الغرض من حفظها، ولا مدة حفظها، ولا الجهة التي تحفظها؛ وسيُذكر ذلك هنا عند تأكيده.</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 This resource sets no cookies; at its public address on causewaygrp.com, browsers may also send a cookie that the causewaygrp.com website sets for all its pages, and this resource does not read it.</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 ولا يضع هذا المورد أي ملف ارتباط؛ وفي عنوانه العام على causewaygrp.com قد ترسل المتصفحات أيضًا ملف ارتباط يضعه موقع causewaygrp.com لجميع صفحاته، ولا يقرؤه هذا المورد.</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3 October 2026, names 26 banks, and its 2026 exchange and remittance roster lists 100 exchange companies, 231 individual exchange establishments and 111 remittance agents. These sources show who holds which formal status under that authority on a stated date. Operation, activity, reach and service quality require additional evidence.</x:v>
      </x:c>
      <x:c r="F216" s="28"/>
      <x:c r="G216" s="28" t="str">
        <x:v>تضم قائمة البنوك المرخصة الصادرة عن البنك المركزي اليمني – عدن، كما اطُّلع عليها في 3 أكتوبر 2026، 26 بنكًا، وتضم قائمته لعام 2026 لشركات الصرافة والحوالات 100 شركة صرافة و231 منشأة صرافة فردية و111 وكيلًا للحوالات. وتبين هذه المصادر من يحمل أي صفة رسمية لدى تلك السلطة في تاريخ محدد.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3 October 2026, names 26 banks; 12 of them are classified as microfinance banks on the basis of their names in the source. These are facts about formal listing and classification. They do not establish whether every institution is operating, which branches are active, what products are available, market share, participation in payment systems or underserved-client reach.</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هذه أوضاع رسمية للإدراج والتصنيف؛ ولا تثبت أن كل مؤسسة تعمل حاليًا، أو أي الفروع نشطة، أو المنتجات المتاحة، أو الحصة السوقية، أو المشاركة في أنظمة الدفع، أو الوصول إلى الفئات الأقل خدمة.</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100 exchange companies, 231 individual exchange establishments and 111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
Why the numbers differ: the official 2025 roster (record CLM-016) listed 79 exchange companies, 195 exchange establishments and 108 remittance agents in its three classes. The higher 2026 entries cannot be read as new providers entering the market: both rosters count entries by class rather than unique firms, this evidence base has not compared the two rosters entry by entry, and the 2026 roster states no issue date.</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100 شركة صرافة و231 منشأة صرافة فردية و111 وكيلًا للحوالات.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
لماذا تختلف الأرقام: أدرجت القائمة الرسمية لعام 2025 (السجل CLM-016) في فئاتها الثلاث 79 شركة صرافة و195 منشأة صرافة و108 وكلاء للحوالات.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specific entities. For the decisions it shows, which are a selection rather than a complete list, this resource records the date, decision number, entity class and action; the entity names stay in its internal source records.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بعينها. وللقرارات التي يعرضها، وهي مختارة وليست قائمة كاملة، يسجّل هذا المورد التاريخ ورقم القرار وفئة الجهة والإجراء، وتبقى أسماء الجهات في سجل المصادر الداخلي لهذا المورد.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تنطلق من الأدلة عند النقاط التي تغيّر فيها بيانات الشمول المالي في اليمن السؤال نفسه، لا الإجابة فقط. ويمكن تتبّع كل قراءة إلى الأدلة التي قامت عليها.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قد تنجح عملية التحويل قبل أن تبدأ علاقة مالية. فيمكن تحديد المستفيد المقصود، واعتماد الدفعة، وإيصال الأموال، وتمكين المستفيد من الوصول إليها، وفتح حساب صالح للاستخدام، وتوسيع قناة صرف جديدة إلى أماكن يصعب فيها توزيع النقد. وهذه نتائج حقيقية ينبغي قياسها والاعتراف بها كما هي. أما الشمول المالي فيطرح سؤالًا آخر: ماذا يحدث بعد وصول المال؟
تصف مواد البنك الدولي ومبادرة G2Px الصادرة في مايو 2024 تجربة للدفع الرقمي ضمن برنامج التحويلات النقدية غير المشروطة في اليمن، نُفذت في ثماني مديريات، وأفاد شركاء البرنامج بأنها شملت 45,460 مستفيدًا. وركزت التجربة على الدفع إلى حسابات كاملة الوظائف وعلى حرية المستفيد في الاختيار. وهذا يتجاوز مجرد تغيير أداة الصرف؛ فالحساب الكامل الوظائف يستطيع، من حيث التصميم، أن يستقبل الأموال ويحتفظ بالقيمة ويُجري المدفوعات، والاختيار مهم لأن نظامًا يضع المستفيد في مركزه لا ينبغي أن يعامله متلقيًا سلبيًا لدفعة برنامجية.
لكن الإمكانية لا تعني الاستمرار. فالأدلة المتاحة عن اليمن لا تخبرنا بعدُ ما إذا كان المستفيدون قد استخدموا هذه الحسابات بين دفعة وأخرى، أو أبقوا فيها أرصدة، أو تلقوا فيها أموالًا من خارج البرنامج، أو دفعوا منها لتجار أو سددوا فواتير، أو أجروا تحويلات بمبادرتهم، أو بدّلوا مقدم الخدمة، أو واصلوا استخدام الحساب بعد أن ضعفت دفعات البرنامج التي دفعتهم إليه أو انتهت. وهذه هي الملاحظة المفقودة.</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accounts and other financial products,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1,651 between March 2025 and June 2026, within its reporting scope”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1,651 بين مارس 2025 ويونيو 2026، ضمن نطاق إبلاغه»: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Nor can it be added to, or compared directly with, counts of ATMs, POS terminals or agents unless the project’s access-point definitions and de-duplication rules are documented, and in the evidence base they are not. A bounded measure is not weak because its universe is narrow; it becomes misleading when that universe disappears from view.</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ولا يجوز جمعه مع أعداد أجهزة الصراف الآلي أو نقاط البيع أو الوكلاء، أو مقارنته بها مباشرة، ما لم تُوثَّق تعريفات المشروع لنقاط الوصول وقواعد إزالة الازدواج، وهي غير موثقة في قاعدة الأدلة. ضيق نطاق المقياس لا يجعله ضعيفًا؛ ما يجعله مضللًا أن يغيب هذا النطاق عن العرض.</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Before accepting any baseline, target or claim of progress, ask:
- What exactly is being counted?
- Among whom does the number apply?
- What makes the unit active, or included?
- Are the baseline and the result measured under the same definition?
- What does the measure still not tell us?</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وقبل قبول أي خط أساس أو مستهدف أو ادعاء بالتقدم، اسأل:
- ما الذي يُعدّ بالضبط؟
- على من ينطبق الرقم؟
- ما الذي يجعل الوحدة نشطة أو مشمولة؟
- هل قيس خط الأساس والنتيجة بالتعريف نفسه؟
- ما الذي لا يخبرنا به المقياس بعد؟</x:v>
      </x:c>
    </x:row>
    <x:row r="251">
      <x:c r="A251" s="24" t="str">
        <x:v>/readings/define-what-you-count/</x:v>
      </x:c>
      <x:c r="B251" s="24" t="n">
        <x:v>7</x:v>
      </x:c>
      <x:c r="C251" s="24"/>
      <x:c r="D251" s="24" t="str">
        <x:v>What would change this reading?</x:v>
      </x:c>
      <x:c r="E251"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the 2022 Yemen Enterprise Survey, which covered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groups of firms</x:v>
      </x:c>
      <x:c r="E258"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58" s="28" t="str">
        <x:v>سؤالان ومجموعتان من المنشآت</x:v>
      </x:c>
      <x:c r="G258"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1,651 in June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1,651 جهازًا في يونيو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في الحلقات اللاحقة.</x:v>
      </x:c>
    </x:row>
    <x:row r="265">
      <x:c r="A265" s="24" t="str">
        <x:v>/readings/from-rail-to-result-missing-middle/</x:v>
      </x:c>
      <x:c r="B265" s="24" t="n">
        <x:v>3</x:v>
      </x:c>
      <x:c r="C265" s="24"/>
      <x:c r="D265" s="24" t="str">
        <x:v>A reform passes through stages that need different evidence</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the project's implementation report of 8 April 2026 reported both as not operational at 31 August 2025, the day before the project became effective, with no later operational state recorded here.</x:v>
      </x:c>
      <x:c r="F265" s="28" t="str">
        <x:v>يمر الإصلاح بمراحل يحتاج كل منها إلى دليل مختلف</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السريع ونظامَ التسوية الإجمالية الفورية على أنهما غير عاملين بعد في يناير 2025، وسجلهما تقرير تنفيذ المشروع المؤرخ 8 أبريل 2026 غير عاملين في 31 أغسطس 2025، أي قبل يوم من نفاذ المشروع،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لكلٍّ من البنية التحتية والمعاملات أسئلتها التي تجيب عنها</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 of men and 5.4% of women aged 15 and over in the areas surveyed had an account, a gap of 12.9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That moves attention away from “fixing women” and towards the conditions under which access is produced.</x:v>
      </x:c>
      <x:c r="F270" s="28"/>
      <x:c r="G270" s="28" t="str">
        <x:v>في أحدث موجة من مسح Findex العالمي في اليمن، كان 18.3% من الرجال و5.4% من النساء بعمر 15 سنة فأكثر، في المناطق التي شملها المسح، يملكون حسابًا، بفجوة قدرها 12.9 نقطة مئوية. وهذه مقارنة سليمة داخل موجة مسح واحدة؛ إنها تفاوت مقاس، لكنها ليست في حد ذاتها تفسيرًا.
وتقع الفجوة أيضًا داخل منظومة منخفضة الوصول أصلًا؛ إذ يبلغ امتلاك الحساب إجمالًا 11.9% في الموجة نفسها، ومستوى الرجال المقاس منخفض بدوره. ولذلك يصبح السؤال الأدق:
&gt; لماذا تصل منظومة مالية منخفضة الوصول أصلًا إلى النساء بدرجة أقل بكثير من الرجال؟
وهذا ينقل الاهتمام من «إصلاح النساء» إلى الظروف التي يتشكل فيها الوصول.</x:v>
      </x:c>
    </x:row>
    <x:row r="271">
      <x:c r="A271" s="24" t="str">
        <x:v>/readings/gender-gap-measured-causes-open/</x:v>
      </x:c>
      <x:c r="B271" s="24" t="n">
        <x:v>3</x:v>
      </x:c>
      <x:c r="C271" s="24"/>
      <x:c r="D271" s="24" t="str">
        <x:v>The mechanism is still open</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12.9-point gap among them.
The same survey records a gap of 9.0 percentage points between adults in the poorest 40% of households by income (6.5%) and those in the richest 60% (15.5%). That does not explain the gender gap. It shows why one-dimensional explanations are risky.</x:v>
      </x:c>
      <x:c r="F271" s="28" t="str">
        <x:v>الآلية ما تزال مفتوحة</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 نقطة بين هذه الآليات.
ويسجل المسح نفسه فجوة قدرها 9.0 نقطة مئوية بين البالغين في أفقر 40% من الأسر بحسب الدخل (6.5%) وأغنى 60% (15.5%). وهذا لا يفسر الفجوة بين النساء والرجال، لكنه يبين لماذا تنطوي التفسيرات الأحادية على مخاطرة.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محطتها الأخيرة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محفظة القروض الاسمية بُعد ثالث</x:v>
      </x:c>
      <x:c r="G277"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3 October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x:v>
      </x:c>
      <x:c r="F278" t="str">
        <x:v>الشكل المؤسسي بُعد رابع</x:v>
      </x:c>
      <x:c r="G278" t="str">
        <x:v>والشكل المؤسسي مهم أيضًا. فقائمة البنوك المرخصة لدى البنك المركزي اليمني – عدن، كما اطُّلع عليها في 3 أكتوبر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Al-Kuraimi.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الكريمي.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from 7 November 2022 to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June 2026 count of POS terminals is current evidence of reported acceptance infrastructure. Neither is a 2026 population estimate.</x:v>
      </x:c>
      <x:c r="F281"/>
      <x:c r="G281"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7 نوفمبر 2022 إلى 9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يونيو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1,651 in June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1,651 في يونيو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التحويلات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Two annual reports of the Central Bank of Yemen – Aden (CBY-Aden) give markedly different remittance values for the same reference year. The 2024 report put remittances in 2024 at USD 6,245 million; the 2025 report restated 2024 at USD 3,422.16 million.
The gap is large, but it does not show that remittances collapsed. Both values describe 2024. Before the difference can be read as economic movement, the change in statistical vintage, scope or method has to be understood.</x:v>
      </x:c>
      <x:c r="F285"/>
      <x:c r="G285" t="str">
        <x:v>يورد تقريران سنويان للبنك المركزي اليمني – عدن قيمتين متباينتين تباينًا واضحًا للتحويلات في السنة المرجعية نفسها. فقد قدّر تقرير 2024 التحويلات في عام 2024 بمبلغ 6,245 مليون دولار، ثم أعاد تقرير 2025 عرض قيمة عام 2024 عند 3,422.16 مليون دولار.
الفرق كبير، لكنه لا يثبت أن التحويلات انهارت؛ فالقيمتان تصفان عام 2024 نفسه. وقبل قراءة الفرق حركةً في الاقتصاد، ينبغي فهم ما تغيّر في نسخة النشر أو نطاق الإحصاء أو منهجه.</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«تحويلات 2024» وحدها عندما يعطي إصداران رسميان قيمتين مختلفتين جوهريًا للسنة نفسها؛ إذ ينبغي أن ترافق نسخةُ النشر السنةَ المرجعية أينما ذُكر الرقم.</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التحويلات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التحويلات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التحويلات بين الأسر أو المحافظات أو القنوات. كما لا يجوز إعادة تسمية صافي السهو والخطأ في ميزان المدفوعات تحويلاتٍ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Each stage of the reform chain needs its own evidence</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mobile e-money amendment (Governor's Decision No. 4 of 2025)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الصادر بقرار المحافظ رقم (4) لسنة 2025 والموقَّع في ذلك العام،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
Why the numbers differ: CBY-Aden reports 2,102,484 e-wallet subscribers for the first half of 2025 (record CLM-010), far more than the project's 375,252 active e-wallet accounts in January 2025. The two carry different labels under definitions the evidence base does not document and that have not been reconciled, so the gap cannot be read as growth, as inactivity or as an error, and neither is a count of people.</x:v>
      </x:c>
      <x:c r="F301"/>
      <x:c r="G301"/>
    </x:row>
    <x:row r="302">
      <x:c r="A302" t="str">
        <x:v>/reforms/</x:v>
      </x:c>
      <x:c r="B302" t="n">
        <x:v>6</x:v>
      </x:c>
      <x:c r="C302" t="str">
        <x:v>التحليل</x:v>
      </x:c>
      <x:c r="D302"/>
      <x:c r="E302"/>
      <x:c r="F302" t="str">
        <x:v>نظاما 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
لماذا تختلف الأرقام: يُبلغ البنك المركزي اليمني – عدن عن 2,102,484 مشتركًا في المحافظ الإلكترونية للنصف الأول من 2025 (السجل CLM-010)، وهو أكثر بكثير من 375,252 حساب محفظة إلكترونية نشطًا يحصيها المشروع في يناير 2025. ويحمل الرقمان تسميتين مختلفتين وفق تعريفين لا توثقهما قاعدة الأدلة ولم يُطابَق بينهما؛ لذلك لا يُقرأ الفرق بينهما نموًا ولا خمولًا ولا خطأً، ولا يمثل أيٌّ منهما عددًا من الأشخاص.</x:v>
      </x:c>
    </x:row>
    <x:row r="303">
      <x:c r="A303" t="str">
        <x:v>/reforms/</x:v>
      </x:c>
      <x:c r="B303" t="n">
        <x:v>7</x:v>
      </x:c>
      <x:c r="C303" t="str">
        <x:v>Evidence</x:v>
      </x:c>
      <x:c r="D303" t="str">
        <x:v>The July 2026 SMP agreement is staff-level and conditional</x:v>
      </x:c>
      <x:c r="E303" t="str">
        <x:v>On 16 July 2026, IMF staff and Yemeni authorities announced staff-level agreement on policies and reforms that could underpin a proposed 18-month Staff-Monitored Program. The IMF stated that the agreement was subject to Management approval and would not result in Board discussion. It is not an IMF financing arrangement and should not be presented as Executive Board approval.</x:v>
      </x:c>
      <x:c r="F303"/>
      <x:c r="G303"/>
    </x:row>
    <x:row r="304">
      <x:c r="A304" t="str">
        <x:v>/reforms/</x:v>
      </x:c>
      <x:c r="B304" t="n">
        <x:v>7</x:v>
      </x:c>
      <x:c r="C304" t="str">
        <x:v>الدليل</x:v>
      </x:c>
      <x:c r="D304"/>
      <x:c r="E304"/>
      <x:c r="F304" t="str">
        <x:v>وضع البرنامج الذي يراقبه خبراء صندوق النقد الدولي (SMP) في يوليو 2026: اتفاق على مستوى الخبراء، ومشروط بموافقة الإدارة</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وأوضح الصندوق أن الاتفاق يخضع لموافقة الإدارة ولن يترتب عليه نقاش في المجلس التنفيذي. وليس هذا ترتيب تمويل من الصندوق ولا يجوز تقديمه كموافقة من المجلس التنفيذي.</x:v>
      </x:c>
    </x:row>
    <x:row r="305">
      <x:c r="A305" t="str">
        <x:v>/reforms/</x:v>
      </x:c>
      <x:c r="B305" t="n">
        <x:v>8</x:v>
      </x:c>
      <x:c r="C305" t="str">
        <x:v>Analysis</x:v>
      </x:c>
      <x:c r="D305" t="str">
        <x:v>Funding stages must be kept distinct when reading reforms and programmes</x:v>
      </x:c>
      <x:c r="E305"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stages, each needing its own evidence</x:v>
      </x:c>
      <x:c r="E311"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تحويلات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Reported history, estimates and projections are different kinds of evidence</x:v>
      </x:c>
      <x:c r="E314" t="str">
        <x:v>The IMF staff report gives 2018–2024 as reported history based on staff calculations; a later supplement to the same consultation gives 2025 as an estimate and 2026–2030 as projections. The series is kept apart where the source document changes: reported history is never extended through the forecast as if all years had the same status.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التاريخية المنشورة والتقديرات والتوقعات أنواع مختلفة من الأدلة</x:v>
      </x:c>
      <x:c r="G315" t="str">
        <x:v>يورد تقرير خبراء صندوق النقد قيم 2018–2024 بوصفها قيمًا تاريخية تستند إلى حسابات خبراء الصندوق، ويورد ملحق لاحق للمشاورات نفسها قيمة 2025 كتقدير وقيم 2026–2030 كتوقعات. وتُفصل السلسلة عند تغير الوثيقة المصدر، فلا تُمد القيم التاريخية عبر التوقعات كما لو كانت السنوات كلها من النوع نفسه. مراجعة التوقع ليست تغيرًا اقتصاديًا مرصودًا، كما أن سلسلة التحويلات الكلية لا تقيس حجم الحوالة غير الرسمية.</x:v>
      </x:c>
    </x:row>
    <x:row r="316">
      <x:c r="A316" t="str">
        <x:v>/remittances/</x:v>
      </x:c>
      <x:c r="B316" t="n">
        <x:v>3</x:v>
      </x:c>
      <x:c r="C316" t="str">
        <x:v>Analysis</x:v>
      </x:c>
      <x:c r="D316" t="str">
        <x:v>The same reference year can change when the source publishes a new edition</x:v>
      </x:c>
      <x:c r="E316"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السهو والخطأ</x:v>
      </x:c>
      <x:c r="G325" t="str">
        <x:v>في التقرير السنوي 2025 للبنك المركزي اليمني – عدن يفوق صافي السهو والخطأ بندَ التحويلات المنشور في كل سنة من 2021 إلى 2025؛ وفي 2025 بلغ المتبقي نحو 7.117 مليار دولار مقابل 3.614 مليار دولار للتحويلات، أي قرابة 1.97 مرة. وصافي السهو والخطأ بندٌ موازِن محاسبيًا، وليس تدفقًا مرصودًا ولا تقديرًا لتحويلات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التحويلات؟</x:v>
      </x:c>
      <x:c r="G327" t="str">
        <x:v>لا تساوي سلسلة التحويلات الواردة في ميزان المدفوعات حجمَ الحوالة غير الرسمية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تحويلات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CauseWay's own content in this resource is licensed under CC BY 4.0; material from other publishers stays under their terms. This page explains how both affect what this resource shows and what you may republish.</x:v>
      </x:c>
      <x:c r="F330"/>
      <x:c r="G330" t="str">
        <x:v>يُتاح محتوى CauseWay الخاص في هذا المورد بموجب رخصة CC BY 4.0، وتبقى مواد الناشرين الآخرين خاضعة لشروطهم. وتوضح هذه الصفحة كيف يؤثر كلاهما في ما يعرضه هذا المورد وفي ما يجوز لك إعادة نشره.</x:v>
      </x:c>
    </x:row>
    <x:row r="331">
      <x:c r="A331" t="str">
        <x:v>/rights/</x:v>
      </x:c>
      <x:c r="B331" t="n">
        <x:v>2</x:v>
      </x:c>
      <x:c r="C331"/>
      <x:c r="D331" t="str">
        <x:v>Citation, factual use and redistribution are separate</x:v>
      </x:c>
      <x:c r="E331"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any source, so this resource reports facts with attribution, links to the original publisher, and does not host copies of source files.</x:v>
      </x:c>
      <x:c r="F331" t="str">
        <x:v>الاستشهاد، والإفادة من الوقائع والأرقام، وإعادة التوزيع: ثلاثة أذونات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لأي مصدر،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 CauseWay's own content is licensed under CC BY 4.0; see Rights &amp; reuse.</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 ويُتاح محتوى CauseWay الخاص بموجب رخصة CC BY 4.0؛ راجع صفحة «الحقوق وإعادة الاستخدام».</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39">
      <x:c r="A339" t="str">
        <x:v>/terms/</x:v>
      </x:c>
      <x:c r="B339" t="n">
        <x:v>5</x:v>
      </x:c>
      <x:c r="C339"/>
      <x:c r="D339" t="str">
        <x:v>Citation</x:v>
      </x:c>
      <x:c r="E339" t="str">
        <x:v>Cite the original source. When you take a figure or a finding from this resource, also cite the evidence record, in the two-line form shown on Rights &amp; reuse.</x:v>
      </x:c>
      <x:c r="F339" t="str">
        <x:v>الاستشهاد</x:v>
      </x:c>
      <x:c r="G339" t="str">
        <x:v>استشهد بالمصدر الأصلي. وعندما تأخذ رقمًا أو نتيجة من هذا المورد، استشهد أيضًا بسجل الدليل بصيغة السطرين المبيّنة في صفحة «الحقوق وإعادة الاستخدام».</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42"/>
    </x:row>
    <x:row r="343">
      <x:c r="A343" t="str">
        <x:v>/providers/</x:v>
      </x:c>
      <x:c r="B343" t="n">
        <x:v>2</x:v>
      </x:c>
      <x:c r="C343" t="str">
        <x:v>Scope</x:v>
      </x:c>
      <x:c r="D343" t="str">
        <x:v>Whose list is this?</x:v>
      </x:c>
      <x:c r="E343" t="str">
        <x:v>The provider lists and status decisions on this page come from instruments issued by the Central Bank of Yemen – Aden (CBY-Aden); the bank list was checked on 3 October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قائمة مَن هذه؟</x:v>
      </x:c>
      <x:c r="G344" t="str">
        <x:v>تأتي قوائم مقدمي الخدمات والقرارات المتعلقة بأوضاعهم في هذه الصفحة من وثائق صادرة عن البنك المركزي اليمني – عدن، وقد اطُّلع على قائمة البنوك في 3 أكتوبر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3 October 2026, 12 are identified by the source label as microfinance banks;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يحدد وصف المصدر 12 من البنوك الـ26 الواردة في قائمة البنوك المرخصة الصادرة عن البنك المركزي اليمني – عدن، كما اطُّلع عليها في 3 أكتوبر 2026، بوصفها بنوك تمويل أصغر، والورود في القائمة يثبت الإدراج لا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on the lists of the Central Bank of Yemen – Aden (CBY-Aden), bank credit and other monetary statistics, and remittance prices in two corridors. Most people-side topics rest on the latest representative survey wave (round; fieldwork 2022–23) or on 2014 values, and several — frequency of use, financial resilience, digital capability, affordability and differences by age — are defined in the 2021 survey data but not yet estimated.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من مسح ممثل (أي أحدث جولة منه؛ نُفذ عملها الميداني خلال 2022–2023) أو إلى قيم 2014، كما أن عددًا منها — كتكرار الاستخدام والصمود المالي والقدرات الرقمية والقدرة على تحمل التكلفة والفروق بحسب العمر — معرَّف في بيانات مسح 2021 لكنه لم يُقدَّر بعد.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
Why the numbers differ: the January 2025 baseline of the World Bank-financed FMIIP project counts 375,252 active e-wallet accounts (record FMIIP-BASELINE-2025-01), far fewer than the 2,102,484 subscribers CBY-Aden reports for the first half of 2025. The two carry different labels under definitions the evidence base does not document and that have not been reconciled, so the gap cannot be read as growth, as inactivity or as an error, and neither is a count of people.</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
لماذا تختلف الأرقام: يحصي خط أساس يناير 2025 لمشروع FMIIP الممول من البنك الدولي 375,252 حساب محفظة إلكترونية نشطًا (السجل FMIIP-BASELINE-2025-01)، وهو أقل بكثير من 2,102,484 مشتركًا يُبلغ عنهم البنك المركزي اليمني – عدن للنصف الأول من 2025. ويحمل الرقمان تسميتين مختلفتين وفق تعريفين لا توثقهما قاعدة الأدلة ولم يُطابَق بينهما؛ لذلك لا يُقرأ الفرق بينهما نموًا ولا خمولًا ولا خطأً، ولا يمثل أيٌّ منهما عددًا من الأشخاص.</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100 exchange companies, 231 individual exchange establishments and 111 remittance agents — three source categories, not a deduplicated count of firms — and the CBY-Aden list of licensed banks, as checked on 3 October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a project definition that the evidence base does not document.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100 شركة صرافة و231 منشأة صرافة فردية و111 وكيلًا للحوالات — وهي ثلاث فئات يحددها المصدر، لا عددًا لمنشآت فريدة بعد إزالة الازدواج — وتضم قائمته للبنوك المرخصة، كما اطُّلع عليها في 3 أكتوبر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للمشروع لا توثقه قاعدة الأدلة.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reproduced from the survey's own weights and design. A derived value, such as the difference between two percentages, keeps the precision of its inputs, with no added decimal places, and small differences between estimates are not read as a ranking. Global Findex shares are printed to one decimal place, rounded from the World Bank's unrounded values, and a gap between two groups is the difference of the two printed shares. One decimal place matches the World Bank's own country table for Yemen in The Little Data Book on Financial Inclusion 2015. It is a display convention, not a claim of accuracy to a tenth of a point: with a sample of about 1,000 adults, and fewer in each group, sampling error is far larger than that.</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إعادة احتسابها من أوزان المسح وتصميمه. وتحتفظ القيمة المشتقة، كالفرق بين نسبتين، بدقة مدخلاتها من دون منازل عشرية إضافية، ولا تُقرأ الفروق الطفيفة بين التقديرات على أنها ترتيب. وتُعرض نسب المؤشر العالمي للشمول المالي (Global Findex) بمنزلة عشرية واحدة، مقرّبةً من القيم غير المقرّبة لدى البنك الدولي، والفجوة بين فئتين هي الفرق بين النسبتين المعروضتين. وتطابق المنزلة العشرية الواحدة جدول البنك الدولي نفسه الخاص باليمن في كتيّب البيانات الموجز عن الشمول المالي (The Little Data Book on Financial Inclusion) لعام 2015. وهي اصطلاح في العرض، لا ادعاء بدقة تبلغ عُشر النقطة؛ ففي عينة من نحو 1,000 بالغ، وبعدد أقل في كل فئة، يتجاوز خطأ المعاينة ذلك بكثير.</x:v>
      </x:c>
    </x:row>
    <x:row r="363">
      <x:c r="A363" t="str">
        <x:v>/rights/</x:v>
      </x:c>
      <x:c r="B363" t="n">
        <x:v>6</x:v>
      </x:c>
      <x:c r="D363" t="str">
        <x:v>CauseWay's own content: CC BY 4.0</x:v>
      </x:c>
      <x:c r="E363" t="str">
        <x:v>CauseWay licenses the content it owns in this resource under the Creative Commons Attribution 4.0 International licence (CC BY 4.0, https://creativecommons.org/licenses/by/4.0): its text, analysis and visual designs, the compiled evidence records, and the structure and annotations of the data exports when they are published. The CauseWay logo is not part of the licensed content. You may share and adapt that content for any purpose, provided you credit CauseWay, link to the licence and indicate whether you made changes. The licence does not cover third-party material: documents, data, tables, figures and text published by others remain under their publishers' terms, including where this resource reports them, and this resource does not host copies of their files. CauseWay asks that a reused figure be credited in two lines: first this resource (Yemen Financial Inclusion Evidence, the record, CauseWay, the edition and the page address), then the original source that the record names (publisher, title, year and link). This page states the licence CauseWay applies to its own content; it does not state that any third-party rights have been cleared.</x:v>
      </x:c>
      <x:c r="F363" t="str">
        <x:v>محتوى CauseWay الخاص: رخصة CC BY 4.0</x:v>
      </x:c>
      <x:c r="G363" t="str">
        <x:v>تتيح CauseWay المحتوى الذي تملكه في هذا المورد بموجب رخصة المشاع الإبداعي «نَسب المُصنَّف 4.0 دولي» (CC BY 4.0، https://creativecommons.org/licenses/by/4.0): نصوصه وتحليلاته وتصاميمه المرئية، وسجلات الأدلة المجمَّعة، وبنية ملفات البيانات المُصدَّرة وشروحها عند نشرها. ولا يدخل شعار CauseWay في المحتوى المرخَّص. ويجوز لك مشاركة هذا المحتوى وتعديله لأي غرض، بشرط أن تنسبه إلى CauseWay، وأن تضع رابطًا إلى الرخصة، وأن تبيّن ما إذا كنت قد أجريت تغييرات. ولا تشمل الرخصة مواد الجهات الأخرى: فالوثائق والبيانات والجداول والرسوم والنصوص التي تنشرها جهات أخرى تبقى خاضعة لشروط ناشريها، بما في ذلك حين يوردها هذا المورد، ولا يستضيف هذا المورد نسخًا من ملفاتها. وتطلب CauseWay أن يُنسب الرقم المُعاد استخدامه في سطرين: أولًا هذا المورد (أدلة الشمول المالي في اليمن، والسجل، وCauseWay، والإصدار، ورابط الصفحة)، ثم المصدر الأصلي الذي يسمّيه السجل (الناشر، والعنوان، والسنة، والرابط). وتذكر هذه الصفحة الرخصة التي تطبقها CauseWay على محتواها الخاص، ولا تفيد بأن أي حقوق لجهات أخرى قد سُوّيت.</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Explore</x:v>
      </x:c>
      <x:c r="C6" s="24" t="str">
        <x:v>استكشف</x:v>
      </x:c>
      <x:c r="D6" s="24" t="str">
        <x:v>{"id":"NAV-EXPLORE","label":{"en":"Explore","ar":"استكشف"},"route":"/explore","kind":"DIRECT"}</x:v>
      </x:c>
    </x:row>
    <x:row r="7">
      <x:c r="A7" s="24" t="n">
        <x:v>2</x:v>
      </x:c>
      <x:c r="B7" s="24" t="str">
        <x:v>Evidence</x:v>
      </x:c>
      <x:c r="C7" s="24" t="str">
        <x:v>الأدلة</x:v>
      </x:c>
      <x:c r="D7" s="24" t="str">
        <x:v>{"id":"NAV-EVIDENCE","label":{"en":"Evidence","ar":"الأدلة"},"route":"/evidence","kind":"DIRECT"}</x:v>
      </x:c>
    </x:row>
    <x:row r="8">
      <x:c r="A8" s="24" t="n">
        <x:v>3</x:v>
      </x:c>
      <x:c r="B8" s="24" t="str">
        <x:v>Evidence Readings</x:v>
      </x:c>
      <x:c r="C8" s="24" t="str">
        <x:v>قراءات الأدلة</x:v>
      </x:c>
      <x:c r="D8" s="24" t="str">
        <x:v>{"id":"NAV-READINGS","label":{"en":"Evidence Readings","ar":"قراءات الأدلة"},"route":"/readings","kind":"DIRECT"}</x:v>
      </x:c>
    </x:row>
    <x:row r="9">
      <x:c r="A9" s="24" t="n">
        <x:v>4</x:v>
      </x:c>
      <x:c r="B9" s="24" t="str">
        <x:v>Data &amp; sources</x:v>
      </x:c>
      <x:c r="C9" s="24" t="str">
        <x:v>البيانات والمصادر</x:v>
      </x:c>
      <x:c r="D9" s="24" t="str">
        <x:v>{"id":"NAV-DATA","label":{"en":"Data &amp; sources","ar":"البيانات والمصادر"},"route":"/data","kind":"DIRECT"}</x:v>
      </x:c>
    </x:row>
    <x:row r="10">
      <x:c r="A10" s="24" t="n">
        <x:v>5</x:v>
      </x:c>
      <x:c r="B10" s="24" t="str">
        <x:v>Method &amp; Measurement</x:v>
      </x:c>
      <x:c r="C10" s="24" t="str">
        <x:v>المنهج والقياس</x:v>
      </x:c>
      <x:c r="D10" s="24" t="str">
        <x:v>{"id":"NAV-METHOD-MEASUREMENT","label":{"en":"Method &amp; Measurement","ar":"المنهج والقياس"},"kind":"GROUP","children":[{"id":"NAV-METHODOLOGY","label":{"en":"Methodology","ar":"المنهجية"},"route":"/methodology"},{"id":"NAV-MEASUREMENT","label":{"en":"Measurement Agenda","ar":"أولويات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Explore</x:v>
      </x:c>
      <x:c r="D16" s="24" t="str">
        <x:v>استكشف</x:v>
      </x:c>
      <x:c r="E16" s="24" t="str">
        <x:v>static</x:v>
      </x:c>
      <x:c r="F16" s="38" t="b">
        <x:v>1</x:v>
      </x:c>
      <x:c r="G16" s="24"/>
      <x:c r="H16" s="24" t="str">
        <x:v>Question-led exploration.</x:v>
      </x:c>
    </x:row>
    <x:row r="17">
      <x:c r="A17" s="24" t="str">
        <x:v>R-003</x:v>
      </x:c>
      <x:c r="B17" s="24" t="str">
        <x:v>/people</x:v>
      </x:c>
      <x:c r="C17" s="24" t="str">
        <x:v>People &amp; Needs</x:v>
      </x:c>
      <x:c r="D17" s="24" t="str">
        <x:v>الناس والاحتياجات</x:v>
      </x:c>
      <x:c r="E17" s="24" t="str">
        <x:v>static</x:v>
      </x:c>
      <x:c r="F17" s="38" t="b">
        <x:v>0</x:v>
      </x:c>
      <x:c r="G17" s="24"/>
      <x:c r="H17" s="24" t="str">
        <x:v>Population access, use, gaps and evidence clocks.</x:v>
      </x:c>
    </x:row>
    <x:row r="18">
      <x:c r="A18" s="24" t="str">
        <x:v>R-004</x:v>
      </x:c>
      <x:c r="B18" s="24" t="str">
        <x:v>/firms</x:v>
      </x:c>
      <x:c r="C18" s="24" t="str">
        <x:v>Firms &amp; Finance</x:v>
      </x:c>
      <x:c r="D18" s="24" t="str">
        <x:v>المنشآت والتمويل</x:v>
      </x:c>
      <x:c r="E18" s="24" t="str">
        <x:v>static</x:v>
      </x:c>
      <x:c r="F18" s="38" t="b">
        <x:v>0</x:v>
      </x:c>
      <x:c r="G18" s="24"/>
      <x:c r="H18" s="24" t="str">
        <x:v>Firm constraints, finance paths and bounded programme evidence.</x:v>
      </x:c>
    </x:row>
    <x:row r="19">
      <x:c r="A19" s="24" t="str">
        <x:v>R-005</x:v>
      </x:c>
      <x:c r="B19" s="24" t="str">
        <x:v>/finance</x:v>
      </x:c>
      <x:c r="C19" s="24" t="str">
        <x:v>Finance &amp; Institutions</x:v>
      </x:c>
      <x:c r="D19" s="24" t="str">
        <x:v>التمويل والمؤسسات</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 &amp; Flows</x:v>
      </x:c>
      <x:c r="D21" s="24" t="str">
        <x:v>المدفوعات والتدفقات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 &amp; Infrastructure</x:v>
      </x:c>
      <x:c r="D23" s="24" t="str">
        <x:v>الوصول والبنية التحتية</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 &amp; Programmes</x:v>
      </x:c>
      <x:c r="D24" s="24" t="str">
        <x:v>الإصلاحات والبرامج</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Evidence Readings</x:v>
      </x:c>
      <x:c r="D28" s="24" t="str">
        <x:v>قراءات الأدلة</x:v>
      </x:c>
      <x:c r="E28" s="24" t="str">
        <x:v>static</x:v>
      </x:c>
      <x:c r="F28" s="38" t="b">
        <x:v>1</x:v>
      </x:c>
      <x:c r="G28" s="24"/>
      <x:c r="H28" s="24" t="str">
        <x:v>Bounded cross-source evidence arguments.</x:v>
      </x:c>
    </x:row>
    <x:row r="29">
      <x:c r="A29" s="24" t="str">
        <x:v>R-015</x:v>
      </x:c>
      <x:c r="B29" s="24" t="str">
        <x:v>/readings/[reading_id]</x:v>
      </x:c>
      <x:c r="C29" s="24" t="str">
        <x:v>Reading detail</x:v>
      </x:c>
      <x:c r="D29" s="24" t="str">
        <x:v>تفاصيل القراءة</x:v>
      </x:c>
      <x:c r="E29" s="24" t="str">
        <x:v>dynamic</x:v>
      </x:c>
      <x:c r="F29" s="38" t="b">
        <x:v>0</x:v>
      </x:c>
      <x:c r="G29" s="24"/>
      <x:c r="H29" s="24" t="str">
        <x:v>Reconstructable long-form interpretation.</x:v>
      </x:c>
    </x:row>
    <x:row r="30">
      <x:c r="A30" s="24" t="str">
        <x:v>R-016</x:v>
      </x:c>
      <x:c r="B30" s="24" t="str">
        <x:v>/measurement</x:v>
      </x:c>
      <x:c r="C30" s="24" t="str">
        <x:v>Measurement Agenda</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Data &amp; sources</x:v>
      </x:c>
      <x:c r="D31" s="24" t="str">
        <x:v>البيانات والمصادر</x:v>
      </x:c>
      <x:c r="E31" s="24" t="str">
        <x:v>static</x:v>
      </x:c>
      <x:c r="F31" s="38" t="b">
        <x:v>1</x:v>
      </x:c>
      <x:c r="G31" s="24"/>
      <x:c r="H31" s="24" t="str">
        <x:v>Approved reusable data, metadata, sources, versions, rights and citations.</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عن الموقع</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يُتتبّع بالكامل إلى مصدر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ليس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موثَّقة لهذه الفترة — ليست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ليس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effective</x:v>
      </x:c>
      <x:c r="C180" s="24" t="str">
        <x:v>بدء نفاذ مشروع FMIIP</x:v>
      </x:c>
      <x:c r="D180" s="24" t="str">
        <x:v>Pre-Tranche-C P4 (V-D5); RC-19 R-01. Chart label: event value 'FMIIP effective' (World Bank ISR: effectiveness 1 September 2025).</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approved with the project: support for developing a Fast Payment System</x:v>
      </x:c>
      <x:c r="C182" s="24" t="str">
        <x:v>مكوّن أُقرّ مع مشروع FMIIP: دعم تطوير نظام الدفع السريع</x:v>
      </x:c>
      <x:c r="D182" s="24" t="str">
        <x:v>Pre-Tranche-C P4 (V-D5). Chart label: event value 'Fast Payment System'.</x:v>
      </x:c>
    </x:row>
    <x:row r="183">
      <x:c r="A183" s="24" t="str">
        <x:v>UI-VIS-CAT-EVT-RTGS-CORE</x:v>
      </x:c>
      <x:c r="B183" s="24" t="str">
        <x:v>FMIIP component, approved with the project: support for developing a real-time gross settlement (RTGS) system and upgrading CBY-Aden core banking</x:v>
      </x:c>
      <x:c r="C183" s="24" t="str">
        <x:v>مكوّن أُقرّ مع مشروع FMIIP: دعم تطوير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approved with the project: support for access to and use of the payment infrastructure</x:v>
      </x:c>
      <x:c r="C184" s="24" t="str">
        <x:v>مكوّن أُقرّ مع مشروع FMIIP: دعم الوصول إلى البنية التحتية للمدفوعات واستخدامها</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'SOURCE_LISTED_ROWS__100_COMPANIES__231_ESTABLISHMENTS__111_REMITTANCE_AGENTS'.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Names complete for the source list</x:v>
      </x:c>
      <x:c r="C200" s="24" t="str">
        <x:v>الأسماء مكتملة لقائمة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442 is the arithmetic sum of rows listed in the source across three classes, not a count of unique providers or of operating providers.</x:v>
      </x:c>
      <x:c r="C209" s="24" t="str">
        <x:v>الرقم 442 مجموع حسابي لصفوف مدرجة في المصدر عبر ثلاث فئات، وليس عددًا لمقدمي خدمات فريدين ولا لمقدمي خدمات عاملين.</x:v>
      </x:c>
      <x:c r="D209" s="24" t="str">
        <x:v>Pre-Tranche-C P4 (V-D5). Chart label: provider_limit value '442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شركة صرافة ومنشآت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Average of quotes for this amount — not the cost of all remittances</x:v>
      </x:c>
      <x:c r="C236" s="24" t="str">
        <x:v>متوسط عروض الأسعار لهذا المبلغ — وليس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ضمن التعريف، والمجتمع الذي ينطبق عليه الرقم، وقاعدة الاحتساب عند الاقتضاء، والفترة، والنطاق الجغرافي، والطريقة المبينة في الصفحة. وقبل إعادة استخدامه أو مقارنته، راجع المصدر والحدود وحداثة الدليل وسجل التصحيح. وإذا كانت قيمة أو وصلة مصدر غير متاحة، تُذكر الفجوة صراحةً بدل ملئها بالاستنتاج. ولا يستضيف هذا المورد ملفات المصادر؛ وحيثما وُجد رابط للمصدر الأصلي، تحقق من شروط الناشر قبل إعادة النشر.</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3 October 2026</x:v>
      </x:c>
      <x:c r="C256" s="24" t="str">
        <x:v>إصدار 3 أكتوبر 2026</x:v>
      </x:c>
      <x:c r="D256" s="24" t="str">
        <x:v>Tranche C TC-F (VER-07/TOOL-14). Content version cited with every record; changes only with a governed release.</x:v>
      </x:c>
    </x:row>
    <x:row r="257">
      <x:c r="A257" s="24" t="str">
        <x:v>UI-NOSCRIPT-NOTE</x:v>
      </x:c>
      <x:c r="B257" s="24" t="str">
        <x:v>Search, Compare and the copy and print buttons need JavaScript. Every other page, the menu and the language switch work without it.</x:v>
      </x:c>
      <x:c r="C257" s="24" t="str">
        <x:v>يحتاج البحث والمقارنة وأزرار النسخ والطباعة إلى JavaScript، وتعمل سائر الصفحات والقائمة وتبديل اللغة من دونه.</x:v>
      </x:c>
      <x:c r="D257" s="24" t="str">
        <x:v>Tranche C TC-F (TOOL-17); RC-19 R-05: the language switch and the menu are links, so they work without JavaScript.</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عد إلى السؤال</x:v>
      </x:c>
      <x:c r="D280" s="24" t="str">
        <x:v>Tranche C TC-F (JRN-02).</x:v>
      </x:c>
    </x:row>
    <x:row r="281">
      <x:c r="A281" s="24" t="str">
        <x:v>UI-READING-EYEBROW</x:v>
      </x:c>
      <x:c r="B281" s="24" t="str">
        <x:v>Evidence Reading</x:v>
      </x:c>
      <x:c r="C281" s="24" t="str">
        <x:v>قراءة أدلة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يُستنتج</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Evidence Readings</x:v>
      </x:c>
      <x:c r="C289" s="24" t="str">
        <x:v>كل قراءات الأدلة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Evidence Readings</x:v>
      </x:c>
      <x:c r="C291" s="24" t="str">
        <x:v>يُستخدم هذا الدليل في قراءات الأدلة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يُستنتج</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سيغيّر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يُستنتج: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عد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Data &amp; sources</x:v>
      </x:c>
      <x:c r="C327" s="24" t="str">
        <x:v>البيانات والمصادر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issue</x:v>
      </x:c>
      <x:c r="C335" s="24" t="str">
        <x:v>أبلغ عن مشكلة</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&amp;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Trust links</x:v>
      </x:c>
      <x:c r="C351" s="24" t="str">
        <x:v>روابط الثقة</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issue</x:v>
      </x:c>
      <x:c r="C356" s="24" t="str">
        <x:v>أبلغ عن مشكلة</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Product and trust links</x:v>
      </x:c>
      <x:c r="C359" s="24" t="str">
        <x:v>روابط المنتج والثقة</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الإجابة التي تسندها الأدلة أكثر من سواها، ويُظهر نطاقها وحدودها ومصدرها لتتمكن من التحقق منها.</x:v>
      </x:c>
      <x:c r="D362" s="24" t="str">
        <x:v>build.py hero()</x:v>
      </x:c>
    </x:row>
    <x:row r="363">
      <x:c r="A363" s="24" t="str">
        <x:v>UI-CRUMB-BREADCRUMB</x:v>
      </x:c>
      <x:c r="B363" s="24" t="str">
        <x:v>Breadcrumb</x:v>
      </x:c>
      <x:c r="C363" s="24" t="str">
        <x:v>مسار الصفحة</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Evidence Readings on this question</x:v>
      </x:c>
      <x:c r="C367" s="24" t="str">
        <x:v>قراءات الأدلة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يُستنتج</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Explore</x:v>
      </x:c>
      <x:c r="C485" s="24" t="str">
        <x:v>استكشف</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 All were issued by the Central Bank of Yemen – Aden. The evidence base holds no law as a source document, and this group holds no instrument issued in Sana'a.</x:v>
      </x:c>
      <x:c r="C505" s="24" t="str">
        <x:v>هذه هي الوثائق التنظيمية المتوفرة في قاعدة الأدلة هذه، وليست سجلًا كاملًا للتنظيم المالي في اليمن. وقد أصدرها جميعًا البنك المركزي اليمني – عدن. ولا تضم قاعدة الأدلة أي قانون بوصفه وثيقة مصدرية، ولا تضم هذه المجموعة أي وثيقة صادرة في صنعاء.</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It has not assessed the reuse terms of any source; check each source's own terms before reusing its content.</x:v>
      </x:c>
      <x:c r="C508" s="24" t="str">
        <x:v>يربط هذا المورد بالمصادر الأصلية ويقتبس منها باختصار. ولم يُقيّم شروط إعادة استخدام أي مصدر؛ فتحقّق من شروط كل مصدر قبل إعادة استخدام محتواه.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1">
      <x:c r="A521" s="24" t="str">
        <x:v>UI-MA-DECISIONS</x:v>
      </x:c>
      <x:c r="B521" s="24" t="str">
        <x:v>Questions it would answer:</x:v>
      </x:c>
      <x:c r="C521" s="24" t="str">
        <x:v>الأسئلة التي سيجيب عنها القياس:</x:v>
      </x:c>
      <x:c r="D521" s="24" t="str">
        <x:v>RC-9 (Part B B6). /measurement/ label before a priority's governed decisions_unlocked items.</x:v>
      </x:c>
    </x:row>
    <x:row r="522">
      <x:c r="A522" s="24" t="str">
        <x:v>UI-MA-BLOCKED</x:v>
      </x:c>
      <x:c r="B522" s="24" t="str">
        <x:v>Evidence that cannot be produced without it:</x:v>
      </x:c>
      <x:c r="C522" s="24" t="str">
        <x:v>الأدلة التي لا يمكن إنتاجها من دونه:</x:v>
      </x:c>
      <x:c r="D522" s="24" t="str">
        <x:v>RC-9 (Part B B6). /measurement/ label before a priority's governed blocked_evidence.</x:v>
      </x:c>
    </x:row>
    <x:row r="523">
      <x:c r="A523" s="24" t="str">
        <x:v>UI-LAND-COL-DIMENSION</x:v>
      </x:c>
      <x:c r="B523" s="24" t="str">
        <x:v>Dimension</x:v>
      </x:c>
      <x:c r="C523" s="24" t="str">
        <x:v>البُعد</x:v>
      </x:c>
      <x:c r="D523" s="24" t="str">
        <x:v>RC-10 (Owner Addendum 2, improvement 3). Evidence landscape table on VIS-EVIDENCE-FRESHNESS.</x:v>
      </x:c>
    </x:row>
    <x:row r="524">
      <x:c r="A524" s="24" t="str">
        <x:v>UI-LAND-COL-EVIDENCE</x:v>
      </x:c>
      <x:c r="B524" s="24" t="str">
        <x:v>Latest evidence in this base, with its period</x:v>
      </x:c>
      <x:c r="C524" s="24" t="str">
        <x:v>أحدث دليل في قاعدة الأدلة هذه، مع فترته</x:v>
      </x:c>
      <x:c r="D524" s="24" t="str">
        <x:v>RC-10 (Owner Addendum 2, improvement 3). Evidence landscape table on VIS-EVIDENCE-FRESHNESS.</x:v>
      </x:c>
    </x:row>
    <x:row r="525">
      <x:c r="A525" s="24" t="str">
        <x:v>UI-LAND-COL-CLASS</x:v>
      </x:c>
      <x:c r="B525" s="24" t="str">
        <x:v>Evidence type</x:v>
      </x:c>
      <x:c r="C525" s="24" t="str">
        <x:v>نوع الدليل</x:v>
      </x:c>
      <x:c r="D525" s="24" t="str">
        <x:v>RC-10 (Owner Addendum 2, improvement 3). Evidence landscape table on VIS-EVIDENCE-FRESHNESS.</x:v>
      </x:c>
    </x:row>
    <x:row r="526">
      <x:c r="A526" s="24" t="str">
        <x:v>UI-LAND-COL-COVERAGE</x:v>
      </x:c>
      <x:c r="B526" s="24" t="str">
        <x:v>Coverage</x:v>
      </x:c>
      <x:c r="C526" s="24" t="str">
        <x:v>مدى التغطية</x:v>
      </x:c>
      <x:c r="D526" s="24" t="str">
        <x:v>RC-10 (Owner Addendum 2, improvement 3). Evidence landscape table on VIS-EVIDENCE-FRESHNESS.</x:v>
      </x:c>
    </x:row>
    <x:row r="527">
      <x:c r="A527" s="24" t="str">
        <x:v>UI-LAND-COL-NEXT</x:v>
      </x:c>
      <x:c r="B527" s="24" t="str">
        <x:v>Where to verify · what would change it</x:v>
      </x:c>
      <x:c r="C527" s="24" t="str">
        <x:v>أين يُتحقق منه · ما الذي قد يغيّره</x:v>
      </x:c>
      <x:c r="D527" s="24" t="str">
        <x:v>RC-10 (Owner Addendum 2, improvement 3). Evidence landscape table on VIS-EVIDENCE-FRESHNESS.</x:v>
      </x:c>
    </x:row>
    <x:row r="528">
      <x:c r="A528" s="24" t="str">
        <x:v>UI-LAND-DOM-PEOPLE</x:v>
      </x:c>
      <x:c r="B528" s="24" t="str">
        <x:v>People</x:v>
      </x:c>
      <x:c r="C528" s="24" t="str">
        <x:v>الأفراد</x:v>
      </x:c>
      <x:c r="D528" s="24" t="str">
        <x:v>RC-10 (Owner Addendum 2, improvement 3). Evidence landscape table on VIS-EVIDENCE-FRESHNESS.</x:v>
      </x:c>
    </x:row>
    <x:row r="529">
      <x:c r="A529" s="24" t="str">
        <x:v>UI-LAND-DOM-ACCESS</x:v>
      </x:c>
      <x:c r="B529" s="24" t="str">
        <x:v>Access</x:v>
      </x:c>
      <x:c r="C529" s="24" t="str">
        <x:v>الوصول</x:v>
      </x:c>
      <x:c r="D529" s="24" t="str">
        <x:v>RC-10 (Owner Addendum 2, improvement 3). Evidence landscape table on VIS-EVIDENCE-FRESHNESS.</x:v>
      </x:c>
    </x:row>
    <x:row r="530">
      <x:c r="A530" s="24" t="str">
        <x:v>UI-LAND-DOM-PAYMENTS</x:v>
      </x:c>
      <x:c r="B530" s="24" t="str">
        <x:v>Payments</x:v>
      </x:c>
      <x:c r="C530" s="24" t="str">
        <x:v>المدفوعات</x:v>
      </x:c>
      <x:c r="D530" s="24" t="str">
        <x:v>RC-10 (Owner Addendum 2, improvement 3). Evidence landscape table on VIS-EVIDENCE-FRESHNESS.</x:v>
      </x:c>
    </x:row>
    <x:row r="531">
      <x:c r="A531" s="24" t="str">
        <x:v>UI-LAND-DOM-REMITTANCES</x:v>
      </x:c>
      <x:c r="B531" s="24" t="str">
        <x:v>Remittances</x:v>
      </x:c>
      <x:c r="C531" s="24" t="str">
        <x:v>التحويلات</x:v>
      </x:c>
      <x:c r="D531" s="24" t="str">
        <x:v>RC-10 (Owner Addendum 2, improvement 3). Evidence landscape table on VIS-EVIDENCE-FRESHNESS.</x:v>
      </x:c>
    </x:row>
    <x:row r="532">
      <x:c r="A532" s="24" t="str">
        <x:v>UI-LAND-DOM-PROVIDERS</x:v>
      </x:c>
      <x:c r="B532" s="24" t="str">
        <x:v>Providers</x:v>
      </x:c>
      <x:c r="C532" s="24" t="str">
        <x:v>مقدمو الخدمات</x:v>
      </x:c>
      <x:c r="D532" s="24" t="str">
        <x:v>RC-10 (Owner Addendum 2, improvement 3). Evidence landscape table on VIS-EVIDENCE-FRESHNESS.</x:v>
      </x:c>
    </x:row>
    <x:row r="533">
      <x:c r="A533" s="24" t="str">
        <x:v>UI-LAND-DOM-FINANCE</x:v>
      </x:c>
      <x:c r="B533" s="24" t="str">
        <x:v>Finance</x:v>
      </x:c>
      <x:c r="C533" s="24" t="str">
        <x:v>التمويل</x:v>
      </x:c>
      <x:c r="D533" s="24" t="str">
        <x:v>RC-10 (Owner Addendum 2, improvement 3). Evidence landscape table on VIS-EVIDENCE-FRESHNESS.</x:v>
      </x:c>
    </x:row>
    <x:row r="534">
      <x:c r="A534" s="24" t="str">
        <x:v>UI-LAND-DOM-FIRMS</x:v>
      </x:c>
      <x:c r="B534" s="24" t="str">
        <x:v>Firms</x:v>
      </x:c>
      <x:c r="C534" s="24" t="str">
        <x:v>المنشآت</x:v>
      </x:c>
      <x:c r="D534" s="24" t="str">
        <x:v>RC-10 (Owner Addendum 2, improvement 3). Evidence landscape table on VIS-EVIDENCE-FRESHNESS.</x:v>
      </x:c>
    </x:row>
    <x:row r="535">
      <x:c r="A535" s="24" t="str">
        <x:v>UI-LAND-DOM-REFORMS</x:v>
      </x:c>
      <x:c r="B535" s="24" t="str">
        <x:v>Reforms</x:v>
      </x:c>
      <x:c r="C535" s="24" t="str">
        <x:v>الإصلاحات</x:v>
      </x:c>
      <x:c r="D535" s="24" t="str">
        <x:v>RC-10 (Owner Addendum 2, improvement 3). Evidence landscape table on VIS-EVIDENCE-FRESHNESS.</x:v>
      </x:c>
    </x:row>
    <x:row r="536">
      <x:c r="A536" s="24" t="str">
        <x:v>UI-LAND-CLASS-SURVEY</x:v>
      </x:c>
      <x:c r="B536" s="24" t="str">
        <x:v>Survey</x:v>
      </x:c>
      <x:c r="C536" s="24" t="str">
        <x:v>مسح</x:v>
      </x:c>
      <x:c r="D536" s="24" t="str">
        <x:v>RC-10 (Owner Addendum 2, improvement 3). Evidence landscape table on VIS-EVIDENCE-FRESHNESS.</x:v>
      </x:c>
    </x:row>
    <x:row r="537">
      <x:c r="A537" s="24" t="str">
        <x:v>UI-LAND-CLASS-ADMINISTRATIVE</x:v>
      </x:c>
      <x:c r="B537" s="24" t="str">
        <x:v>Administrative record</x:v>
      </x:c>
      <x:c r="C537" s="24" t="str">
        <x:v>سجل إداري</x:v>
      </x:c>
      <x:c r="D537" s="24" t="str">
        <x:v>RC-10 (Owner Addendum 2, improvement 3). Evidence landscape table on VIS-EVIDENCE-FRESHNESS.</x:v>
      </x:c>
    </x:row>
    <x:row r="538">
      <x:c r="A538" s="24" t="str">
        <x:v>UI-LAND-CLASS-REGULATORY</x:v>
      </x:c>
      <x:c r="B538" s="24" t="str">
        <x:v>Regulatory material</x:v>
      </x:c>
      <x:c r="C538" s="24" t="str">
        <x:v>مادة تنظيمية</x:v>
      </x:c>
      <x:c r="D538" s="24" t="str">
        <x:v>RC-10 (Owner Addendum 2, improvement 3). Evidence landscape table on VIS-EVIDENCE-FRESHNESS.</x:v>
      </x:c>
    </x:row>
    <x:row r="539">
      <x:c r="A539" s="24" t="str">
        <x:v>UI-LAND-CLASS-PROGRAMME</x:v>
      </x:c>
      <x:c r="B539" s="24" t="str">
        <x:v>Programme record</x:v>
      </x:c>
      <x:c r="C539" s="24" t="str">
        <x:v>سجل برنامج</x:v>
      </x:c>
      <x:c r="D539" s="24" t="str">
        <x:v>RC-10 (Owner Addendum 2, improvement 3). Evidence landscape table on VIS-EVIDENCE-FRESHNESS.</x:v>
      </x:c>
    </x:row>
    <x:row r="540">
      <x:c r="A540" s="24" t="str">
        <x:v>UI-LAND-CLASS-ANALYTICAL</x:v>
      </x:c>
      <x:c r="B540" s="24" t="str">
        <x:v>Secondary analysis</x:v>
      </x:c>
      <x:c r="C540" s="24" t="str">
        <x:v>تحليل ثانوي</x:v>
      </x:c>
      <x:c r="D540" s="24" t="str">
        <x:v>RC-10 (Owner Addendum 2, improvement 3). Evidence landscape table on VIS-EVIDENCE-FRESHNESS.</x:v>
      </x:c>
    </x:row>
    <x:row r="541">
      <x:c r="A541" s="24" t="str">
        <x:v>UI-LAND-CLASS-CONTEXT</x:v>
      </x:c>
      <x:c r="B541" s="24" t="str">
        <x:v>Context source</x:v>
      </x:c>
      <x:c r="C541" s="24" t="str">
        <x:v>مصدر سياقي</x:v>
      </x:c>
      <x:c r="D541" s="24" t="str">
        <x:v>RC-10 (Owner Addendum 2, improvement 3). Evidence landscape table on VIS-EVIDENCE-FRESHNESS.</x:v>
      </x:c>
    </x:row>
    <x:row r="542">
      <x:c r="A542" s="24" t="str">
        <x:v>UI-LAND-CLASS-OTHER</x:v>
      </x:c>
      <x:c r="B542" s="24" t="str">
        <x:v>Other source</x:v>
      </x:c>
      <x:c r="C542" s="24" t="str">
        <x:v>مصدر آخر</x:v>
      </x:c>
      <x:c r="D542" s="24" t="str">
        <x:v>RC-10 (Owner Addendum 2, improvement 3). Evidence landscape table on VIS-EVIDENCE-FRESHNESS.</x:v>
      </x:c>
    </x:row>
    <x:row r="543">
      <x:c r="A543" s="24" t="str">
        <x:v>UI-LAND-COV-SUFFICIENT_FOR_QUESTION</x:v>
      </x:c>
      <x:c r="B543" s="24" t="str">
        <x:v>Sufficient for its question</x:v>
      </x:c>
      <x:c r="C543" s="24" t="str">
        <x:v>كافٍ لسؤاله</x:v>
      </x:c>
      <x:c r="D543" s="24" t="str">
        <x:v>RC-10 (Owner Addendum 2, improvement 3). Evidence landscape table on VIS-EVIDENCE-FRESHNESS.</x:v>
      </x:c>
    </x:row>
    <x:row r="544">
      <x:c r="A544" s="24" t="str">
        <x:v>UI-LAND-COV-PARTIAL</x:v>
      </x:c>
      <x:c r="B544" s="24" t="str">
        <x:v>Partial</x:v>
      </x:c>
      <x:c r="C544" s="24" t="str">
        <x:v>جزئي</x:v>
      </x:c>
      <x:c r="D544" s="24" t="str">
        <x:v>RC-10 (Owner Addendum 2, improvement 3). Evidence landscape table on VIS-EVIDENCE-FRESHNESS.</x:v>
      </x:c>
    </x:row>
    <x:row r="545">
      <x:c r="A545" s="24" t="str">
        <x:v>UI-LAND-COV-MEASUREMENT_GAP</x:v>
      </x:c>
      <x:c r="B545" s="24" t="str">
        <x:v>Measurement gap</x:v>
      </x:c>
      <x:c r="C545" s="24" t="str">
        <x:v>فجوة قياس</x:v>
      </x:c>
      <x:c r="D545" s="24" t="str">
        <x:v>RC-10 (Owner Addendum 2, improvement 3). Evidence landscape table on VIS-EVIDENCE-FRESHNESS.</x:v>
      </x:c>
    </x:row>
    <x:row r="546">
      <x:c r="A546" s="24" t="str">
        <x:v>UI-LAND-COV-NO_EVIDENCE</x:v>
      </x:c>
      <x:c r="B546" s="24" t="str">
        <x:v>No evidence in this base</x:v>
      </x:c>
      <x:c r="C546" s="24" t="str">
        <x:v>لا توجد أدلة في قاعدة الأدلة هذه</x:v>
      </x:c>
      <x:c r="D546" s="24" t="str">
        <x:v>RC-10 (Owner Addendum 2, improvement 3). Evidence landscape table on VIS-EVIDENCE-FRESHNESS.</x:v>
      </x:c>
    </x:row>
    <x:row r="547">
      <x:c r="A547" s="24" t="str">
        <x:v>UI-LAND-NO-PUBLIC-RECORD</x:v>
      </x:c>
      <x:c r="B547" s="24" t="str">
        <x:v>No public record in this base</x:v>
      </x:c>
      <x:c r="C547" s="24" t="str">
        <x:v>لا يوجد سجل منشور في قاعدة الأدلة هذه</x:v>
      </x:c>
      <x:c r="D547" s="24" t="str">
        <x:v>RC-10 (Owner Addendum 2, improvement 3). Evidence landscape table on VIS-EVIDENCE-FRESHNESS.</x:v>
      </x:c>
    </x:row>
    <x:row r="548">
      <x:c r="A548" s="24" t="str">
        <x:v>UI-LAND-NOTE</x:v>
      </x:c>
      <x:c r="B548" s="24" t="str">
        <x:v>Categorical states only: no scores and no totals.</x:v>
      </x:c>
      <x:c r="C548" s="24" t="str">
        <x:v>حالات وصفية فقط: لا درجات ولا مجاميع.</x:v>
      </x:c>
      <x:c r="D548" s="24" t="str">
        <x:v>RC-10 (Owner Addendum 2, improvement 3). Evidence landscape table on VIS-EVIDENCE-FRESHNESS.</x:v>
      </x:c>
    </x:row>
    <x:row r="549">
      <x:c r="A549" s="24" t="str">
        <x:v>UI-READING-MEASUREMENT-NOTE</x:v>
      </x:c>
      <x:c r="B549" s="24" t="str">
        <x:v>Each priority below would supply evidence that this Reading says is missing; the link does not mean the priority would settle the Reading.</x:v>
      </x:c>
      <x:c r="C549" s="24" t="str">
        <x:v>من شأن كل أولوية أدناه أن توفر أدلةً تقول هذه القراءة إنها ناقصة، ولا يعني هذا الربط أن الأولوية ستحسم القراءة.</x:v>
      </x:c>
      <x:c r="D549" s="24" t="str">
        <x:v>RC-9b (Part B B6, independent review S1). Reading pages: the line under 'Related measurement priorities'.</x:v>
      </x:c>
    </x:row>
    <x:row r="550">
      <x:c r="A550" s="24" t="str">
        <x:v>UI-VIS-TH-PERIOD</x:v>
      </x:c>
      <x:c r="B550" s="24" t="str">
        <x:v>Period</x:v>
      </x:c>
      <x:c r="C550" s="24" t="str">
        <x:v>الفترة</x:v>
      </x:c>
      <x:c r="D550" s="24" t="str">
        <x:v>RC-11 (Part B B10 b, NCC-02). The heading of a fallback table's row-header column; no corner cell is empty.</x:v>
      </x:c>
    </x:row>
    <x:row r="551">
      <x:c r="A551" s="24" t="str">
        <x:v>UI-VIS-TH-GROUP</x:v>
      </x:c>
      <x:c r="B551" s="24" t="str">
        <x:v>Group or gap</x:v>
      </x:c>
      <x:c r="C551" s="24" t="str">
        <x:v>الفئة أو الفجوة</x:v>
      </x:c>
      <x:c r="D551" s="24" t="str">
        <x:v>RC-11 (Part B B10 b, NCC-02). The heading of a fallback table's row-header column; no corner cell is empty.</x:v>
      </x:c>
    </x:row>
    <x:row r="552">
      <x:c r="A552" s="24" t="str">
        <x:v>UI-VIS-TH-CORRIDOR</x:v>
      </x:c>
      <x:c r="B552" s="24" t="str">
        <x:v>Corridor and amount</x:v>
      </x:c>
      <x:c r="C552" s="24" t="str">
        <x:v>الممر والمبلغ</x:v>
      </x:c>
      <x:c r="D552" s="24" t="str">
        <x:v>RC-11 (Part B B10 b, NCC-02). The heading of a fallback table's row-header column; no corner cell is empty.</x:v>
      </x:c>
    </x:row>
    <x:row r="553">
      <x:c r="A553" s="24" t="str">
        <x:v>UI-VIS-TH-OBJECT</x:v>
      </x:c>
      <x:c r="B553" s="24" t="str">
        <x:v>What is counted</x:v>
      </x:c>
      <x:c r="C553" s="24" t="str">
        <x:v>ما يُعدّ</x:v>
      </x:c>
      <x:c r="D553" s="24" t="str">
        <x:v>RC-11 (Part B B10 b, NCC-02). The heading of a fallback table's row-header column; no corner cell is empty.</x:v>
      </x:c>
    </x:row>
    <x:row r="554">
      <x:c r="A554" s="24" t="str">
        <x:v>UI-VIS-TH-STEP</x:v>
      </x:c>
      <x:c r="B554" s="24" t="str">
        <x:v>Step</x:v>
      </x:c>
      <x:c r="C554" s="24" t="str">
        <x:v>الحلقة</x:v>
      </x:c>
      <x:c r="D554" s="24" t="str">
        <x:v>RC-11 (Part B B10 b, NCC-02). The heading of a fallback table's row-header column; no corner cell is empty.</x:v>
      </x:c>
    </x:row>
    <x:row r="555">
      <x:c r="A555" s="24" t="str">
        <x:v>UI-VIS-TH-DIMENSION</x:v>
      </x:c>
      <x:c r="B555" s="24" t="str">
        <x:v>Dimension</x:v>
      </x:c>
      <x:c r="C555" s="24" t="str">
        <x:v>البُعد</x:v>
      </x:c>
      <x:c r="D555" s="24" t="str">
        <x:v>RC-11 (Part B B10 b, NCC-02). The heading of a fallback table's row-header column; no corner cell is empty.</x:v>
      </x:c>
    </x:row>
    <x:row r="556">
      <x:c r="A556" s="24" t="str">
        <x:v>UI-VIS-TH-DATE</x:v>
      </x:c>
      <x:c r="B556" s="24" t="str">
        <x:v>Date or period</x:v>
      </x:c>
      <x:c r="C556" s="24" t="str">
        <x:v>التاريخ أو الفترة</x:v>
      </x:c>
      <x:c r="D556" s="24" t="str">
        <x:v>RC-11 (Part B B10 b, NCC-02). The heading of a fallback table's row-header column; no corner cell is empty.</x:v>
      </x:c>
    </x:row>
    <x:row r="557">
      <x:c r="A557" s="24" t="str">
        <x:v>UI-VIS-TH-ITEM</x:v>
      </x:c>
      <x:c r="B557" s="24" t="str">
        <x:v>Item</x:v>
      </x:c>
      <x:c r="C557" s="24" t="str">
        <x:v>البند</x:v>
      </x:c>
      <x:c r="D557" s="24" t="str">
        <x:v>RC-11 (Part B B10 b, NCC-02). The heading of a fallback table's row-header column; no corner cell is empty.</x:v>
      </x:c>
    </x:row>
    <x:row r="558">
      <x:c r="A558" s="24" t="str">
        <x:v>UI-VIS-NOTE-POS-H1-WITHHELD</x:v>
      </x:c>
      <x:c r="B558" s="24" t="str">
        <x:v>The first-half 2025 payment report also gives an aggregate figure for POS transactions. It is withheld here because its definition and period need a methodology note before public use. The monthly releases are shown because each reports POS transactions for a single month, so their published totals can be read side by side; whether the reporting scope stayed the same across the change of release format in July 2025 has not been verified. Where a release's displayed percentage change does not match the published monthly totals, the mismatch is recorded as a discrepancy within the source.</x:v>
      </x:c>
      <x:c r="C558" s="24" t="str">
        <x:v>يذكر تقرير المدفوعات للنصف الأول من 2025 أيضًا رقمًا إجماليًا لمعاملات نقاط البيع، وهو محجوب هنا لأن تعريفه وفترته يحتاجان إلى ملاحظة منهجية قبل النشر. أما الإصدارات الشهرية فتُعرض لأن كلًّا منها يذكر معاملات نقاط البيع لشهر واحد، فيمكن قراءة إجمالياتها المنشورة جنبًا إلى جنب؛ ولم يُتحقق من استمرارية نطاق الإبلاغ عند تغيّر شكل الإصدار في يوليو 2025. وحيث لا تتفق نسبة التغير المعروضة في إصدارٍ ما مع الإجماليات الشهرية المنشورة، يُسجَّل الفرق بوصفه اختلافًا داخل المصدر.</x:v>
      </x:c>
      <x:c r="D558" s="24" t="str">
        <x:v>RC-11 (Part B B11). Frame note of VIS-POS-TRANSACTIONS: the withheld H1 2025 transaction total (OBS-00036) and why the monthly series is admissible; from governed fields only.</x:v>
      </x:c>
    </x:row>
    <x:row r="559">
      <x:c r="A559" s="24" t="str">
        <x:v>UI-LAND-NO-NEXT</x:v>
      </x:c>
      <x:c r="B559" s="24" t="str">
        <x:v>No page in this base to verify it, and no measurement priority</x:v>
      </x:c>
      <x:c r="C559" s="24" t="str">
        <x:v>لا توجد في قاعدة الأدلة هذه صفحة للتحقق منه ولا أولوية قياس</x:v>
      </x:c>
      <x:c r="D559" s="24" t="str">
        <x:v>RC-10b. Evidence landscape: the last cell of a row that has neither a domain page nor a priority.</x:v>
      </x:c>
    </x:row>
    <x:row r="560">
      <x:c r="A560" s="24" t="str">
        <x:v>UI-VIS-TH-SOURCE</x:v>
      </x:c>
      <x:c r="B560" s="24" t="str">
        <x:v>Source</x:v>
      </x:c>
      <x:c r="C560" s="24" t="str">
        <x:v>المصدر</x:v>
      </x:c>
      <x:c r="D560" s="24" t="str">
        <x:v>RC-11b. The heading of a row-header column whose rows are publications (the source-comparison table).</x:v>
      </x:c>
    </x:row>
    <x:row r="561">
      <x:c r="A561" s="24" t="str">
        <x:v>UI-VIS-RESULT-NOT-HELD</x:v>
      </x:c>
      <x:c r="B561" s="24" t="str">
        <x:v>No observed result is held in the evidence base — not zero</x:v>
      </x:c>
      <x:c r="C561" s="24" t="str">
        <x:v>لا تتضمن قاعدة الأدلة نتيجة مرصودة — ليست صفرًا</x:v>
      </x:c>
      <x:c r="D561" s="24" t="str">
        <x:v>RC-12 (Part B B12). A governed string of a text-first contract's table, bound from governed rows.</x:v>
      </x:c>
    </x:row>
    <x:row r="562">
      <x:c r="A562" s="24" t="str">
        <x:v>UI-VIS-TH-BASE</x:v>
      </x:c>
      <x:c r="B562" s="24" t="str">
        <x:v>Out of</x:v>
      </x:c>
      <x:c r="C562" s="24" t="str">
        <x:v>من أصل</x:v>
      </x:c>
      <x:c r="D562" s="24" t="str">
        <x:v>RC-12 (Part B B12). A governed string of a text-first contract's table, bound from governed rows.</x:v>
      </x:c>
    </x:row>
    <x:row r="563">
      <x:c r="A563" s="24" t="str">
        <x:v>UI-VIS-UNIT-FIRMS-SURVEYED</x:v>
      </x:c>
      <x:c r="B563" s="24" t="str">
        <x:v>formal establishments surveyed</x:v>
      </x:c>
      <x:c r="C563" s="24" t="str">
        <x:v>منشأة رسمية شملها المسح</x:v>
      </x:c>
      <x:c r="D563" s="24" t="str">
        <x:v>RC-12 (Part B B12). A governed string of a text-first contract's table, bound from governed rows.</x:v>
      </x:c>
    </x:row>
    <x:row r="564">
      <x:c r="A564" s="24" t="str">
        <x:v>UI-VIS-UNIT-VALID-RESPONSES</x:v>
      </x:c>
      <x:c r="B564" s="24" t="str">
        <x:v>valid loan-source responses</x:v>
      </x:c>
      <x:c r="C564" s="24" t="str">
        <x:v>استجابة صالحة لسؤال مصدر القرض</x:v>
      </x:c>
      <x:c r="D564" s="24" t="str">
        <x:v>RC-12 (Part B B12). A governed string of a text-first contract's table, bound from governed rows.</x:v>
      </x:c>
    </x:row>
    <x:row r="565">
      <x:c r="A565" s="24" t="str">
        <x:v>UI-VIS-NOTE-FIRM-LOAN-SUBSET</x:v>
      </x:c>
      <x:c r="B565" s="24" t="str">
        <x:v>Not established: whether the loan-source responses below come from the establishments with a line of credit above.</x:v>
      </x:c>
      <x:c r="C565" s="24" t="str">
        <x:v>لم يثبت ما إذا كانت الاستجابات لسؤال مصدر القرض أدناه صادرة عن المنشآت التي أفادت بامتلاك خط ائتمان أعلاه.</x:v>
      </x:c>
      <x:c r="D565" s="24" t="str">
        <x:v>RC-12 (Part B B12). A governed string of a text-first contract's table, bound from governed rows.</x:v>
      </x:c>
    </x:row>
    <x:row r="566">
      <x:c r="A566" s="24" t="str">
        <x:v>UI-DATA-FILTER-TYPE</x:v>
      </x:c>
      <x:c r="B566" s="24" t="str">
        <x:v>Document type</x:v>
      </x:c>
      <x:c r="C566" s="24" t="str">
        <x:v>نوع الوثيقة</x:v>
      </x:c>
      <x:c r="D566" s="24" t="str">
        <x:v>RC-12 (Part B B13). The research library on /data/: filters, order, backlinks and locator labels.</x:v>
      </x:c>
    </x:row>
    <x:row r="567">
      <x:c r="A567" s="24" t="str">
        <x:v>UI-DATA-FILTER-PUBLISHER</x:v>
      </x:c>
      <x:c r="B567" s="24" t="str">
        <x:v>Publisher</x:v>
      </x:c>
      <x:c r="C567" s="24" t="str">
        <x:v>الناشر</x:v>
      </x:c>
      <x:c r="D567" s="24" t="str">
        <x:v>RC-12 (Part B B13). The research library on /data/: filters, order, backlinks and locator labels.</x:v>
      </x:c>
    </x:row>
    <x:row r="568">
      <x:c r="A568" s="24" t="str">
        <x:v>UI-DATA-FILTER-YEAR</x:v>
      </x:c>
      <x:c r="B568" s="24" t="str">
        <x:v>Year of the document</x:v>
      </x:c>
      <x:c r="C568" s="24" t="str">
        <x:v>سنة الوثيقة</x:v>
      </x:c>
      <x:c r="D568" s="24" t="str">
        <x:v>RC-12 (Part B B13). The research library on /data/: filters, order, backlinks and locator labels.</x:v>
      </x:c>
    </x:row>
    <x:row r="569">
      <x:c r="A569" s="24" t="str">
        <x:v>UI-DATA-FILTER-DOMAIN</x:v>
      </x:c>
      <x:c r="B569" s="24" t="str">
        <x:v>Used on</x:v>
      </x:c>
      <x:c r="C569" s="24" t="str">
        <x:v>مستخدم في</x:v>
      </x:c>
      <x:c r="D569" s="24" t="str">
        <x:v>RC-12 (Part B B13). The research library on /data/: filters, order, backlinks and locator labels.</x:v>
      </x:c>
    </x:row>
    <x:row r="570">
      <x:c r="A570" s="24" t="str">
        <x:v>UI-DATA-FILTER-ANY</x:v>
      </x:c>
      <x:c r="B570" s="24" t="str">
        <x:v>Any</x:v>
      </x:c>
      <x:c r="C570" s="24" t="str">
        <x:v>الكل</x:v>
      </x:c>
      <x:c r="D570" s="24" t="str">
        <x:v>RC-12 (Part B B13). The research library on /data/: filters, order, backlinks and locator labels.</x:v>
      </x:c>
    </x:row>
    <x:row r="571">
      <x:c r="A571" s="24" t="str">
        <x:v>UI-DATA-FILTER-NOT-RECORDED</x:v>
      </x:c>
      <x:c r="B571" s="24" t="str">
        <x:v>Not recorded</x:v>
      </x:c>
      <x:c r="C571" s="24" t="str">
        <x:v>غير مسجّل</x:v>
      </x:c>
      <x:c r="D571" s="24" t="str">
        <x:v>RC-12 (Part B B13). The research library on /data/: filters, order, backlinks and locator labels.</x:v>
      </x:c>
    </x:row>
    <x:row r="572">
      <x:c r="A572" s="24" t="str">
        <x:v>UI-DATA-FILTER-CLEAR</x:v>
      </x:c>
      <x:c r="B572" s="24" t="str">
        <x:v>Clear filters</x:v>
      </x:c>
      <x:c r="C572" s="24" t="str">
        <x:v>مسح عوامل التصفية</x:v>
      </x:c>
      <x:c r="D572" s="24" t="str">
        <x:v>RC-12 (Part B B13). The research library on /data/: filters, order, backlinks and locator labels.</x:v>
      </x:c>
    </x:row>
    <x:row r="573">
      <x:c r="A573" s="24" t="str">
        <x:v>UI-DATA-SORT</x:v>
      </x:c>
      <x:c r="B573" s="24" t="str">
        <x:v>Order</x:v>
      </x:c>
      <x:c r="C573" s="24" t="str">
        <x:v>الترتيب</x:v>
      </x:c>
      <x:c r="D573" s="24" t="str">
        <x:v>RC-12 (Part B B13). The research library on /data/: filters, order, backlinks and locator labels.</x:v>
      </x:c>
    </x:row>
    <x:row r="574">
      <x:c r="A574" s="24" t="str">
        <x:v>UI-DATA-SORT-GROUPED</x:v>
      </x:c>
      <x:c r="B574" s="24" t="str">
        <x:v>As grouped</x:v>
      </x:c>
      <x:c r="C574" s="24" t="str">
        <x:v>حسب المجموعات</x:v>
      </x:c>
      <x:c r="D574" s="24" t="str">
        <x:v>RC-12 (Part B B13). The research library on /data/: filters, order, backlinks and locator labels.</x:v>
      </x:c>
    </x:row>
    <x:row r="575">
      <x:c r="A575" s="24" t="str">
        <x:v>UI-DATA-SORT-NEWEST</x:v>
      </x:c>
      <x:c r="B575" s="24" t="str">
        <x:v>Newest document first</x:v>
      </x:c>
      <x:c r="C575" s="24" t="str">
        <x:v>الوثائق الأحدث أولًا</x:v>
      </x:c>
      <x:c r="D575" s="24" t="str">
        <x:v>RC-12 (Part B B13). The research library on /data/: filters, order, backlinks and locator labels.</x:v>
      </x:c>
    </x:row>
    <x:row r="576">
      <x:c r="A576" s="24" t="str">
        <x:v>UI-DATA-READINGS-USING-SOURCE</x:v>
      </x:c>
      <x:c r="B576" s="24" t="str">
        <x:v>Evidence Readings using this source</x:v>
      </x:c>
      <x:c r="C576" s="24" t="str">
        <x:v>قراءات الأدلة التي تستخدم هذا المصدر</x:v>
      </x:c>
      <x:c r="D576" s="24" t="str">
        <x:v>RC-12 (Part B B13). The research library on /data/: filters, order, backlinks and locator labels.</x:v>
      </x:c>
    </x:row>
    <x:row r="577">
      <x:c r="A577" s="24" t="str">
        <x:v>UI-EVID-OPEN-ARCHIVED-COPY</x:v>
      </x:c>
      <x:c r="B577" s="24" t="str">
        <x:v>Open archived copy (web.archive.org)</x:v>
      </x:c>
      <x:c r="C577" s="24" t="str">
        <x:v>افتح النسخة المؤرشفة (web.archive.org)</x:v>
      </x:c>
      <x:c r="D577" s="24" t="str">
        <x:v>RC-12 (Part B B13). The research library on /data/: filters, order, backlinks and locator labels.</x:v>
      </x:c>
    </x:row>
    <x:row r="578">
      <x:c r="A578" s="24" t="str">
        <x:v>UI-HOME-GAPS-NOTE</x:v>
      </x:c>
      <x:c r="B578" s="24" t="str">
        <x:v>Each priority below describes evidence that is still missing for one of these gaps. Listing it here does not claim that collecting that evidence would close the gap or explain it.</x:v>
      </x:c>
      <x:c r="C578" s="24" t="str">
        <x:v>تصف كل أولوية أدناه أدلةً ما زالت مفقودة تتصل بإحدى هذه الفجوات. ولا يعني إدراجها هنا أن جمع تلك الأدلة سيسدّ الفجوة أو يفسّرها.</x:v>
      </x:c>
      <x:c r="D578" s="24" t="str">
        <x:v>RC-15 (Part B B15 d, A-8). Home: the line under the measurement priorities bound to the gaps section.</x:v>
      </x:c>
    </x:row>
    <x:row r="579">
      <x:c r="A579" s="24" t="str">
        <x:v>UI-EXPLORE-MA-BASIS</x:v>
      </x:c>
      <x:c r="B579" s="24" t="str">
        <x:v>These are the priorities the Measurement Agenda marks P0. The full agenda, including its P1 items, is on the Measurement Agenda page.</x:v>
      </x:c>
      <x:c r="C579" s="24" t="str">
        <x:v>هذه هي البنود المصنفة P0 في أولويات القياس. وتعرض صفحة أولويات القياس القائمة الكاملة، بما فيها البنود المصنفة P1.</x:v>
      </x:c>
      <x:c r="D579" s="24" t="str">
        <x:v>RC-15 (Part B B15 d, B-5). Explore: the line under 'What the evidence cannot yet answer'; the gate RC-B15 keeps the set equal to the P0 items.</x:v>
      </x:c>
    </x:row>
    <x:row r="580">
      <x:c r="A580" s="24" t="str">
        <x:v>UI-EVID-SERIES-USED</x:v>
      </x:c>
      <x:c r="B580" s="24" t="str">
        <x:v>Series this record uses</x:v>
      </x:c>
      <x:c r="C580" s="24" t="str">
        <x:v>السلاسل التي يستخدمها هذا السجل</x:v>
      </x:c>
      <x:c r="D580" s="24" t="str">
        <x:v>RC-15 (Part B B15 d, C-1). Evidence Record source card: the record's own series locators, where they differ from the source's main locator.</x:v>
      </x:c>
    </x:row>
    <x:row r="581">
      <x:c r="A581" s="24" t="str">
        <x:v>UI-CITE-LONG-FORM</x:v>
      </x:c>
      <x:c r="B581" s="24" t="str">
        <x:v>Long form, with the period, population and limits</x:v>
      </x:c>
      <x:c r="C581" s="24" t="str">
        <x:v>الصيغة المطوّلة، مع الفترة والمجتمع والحدود</x:v>
      </x:c>
      <x:c r="D581" s="24" t="str">
        <x:v>RC-15 (Part B B15 d, C-2; OWN-04). Evidence Record: the disclosure that holds the long citation under the short one.</x:v>
      </x:c>
    </x:row>
    <x:row r="582">
      <x:c r="A582" s="24" t="str">
        <x:v>UI-JS-COPY-LONG-CITATION</x:v>
      </x:c>
      <x:c r="B582" s="24" t="str">
        <x:v>Copy long form</x:v>
      </x:c>
      <x:c r="C582" s="24" t="str">
        <x:v>انسخ الصيغة المطوّلة</x:v>
      </x:c>
      <x:c r="D582" s="24" t="str">
        <x:v>RC-15 (Part B B15 d, C-2). Evidence Record: copies the long citation.</x:v>
      </x:c>
    </x:row>
    <x:row r="583">
      <x:c r="A583" s="24" t="str">
        <x:v>UI-JS-SHARE-RECORD</x:v>
      </x:c>
      <x:c r="B583" s="24" t="str">
        <x:v>Share this record</x:v>
      </x:c>
      <x:c r="C583" s="24" t="str">
        <x:v>شارك هذا السجل</x:v>
      </x:c>
      <x:c r="D583" s="24" t="str">
        <x:v>RC-15 (Part B B15 e, U1). Evidence Record: shares the record's title, period, population, what not to conclude and its link — Web Share where the device offers it, otherwise the same text is copied.</x:v>
      </x:c>
    </x:row>
    <x:row r="584">
      <x:c r="A584" s="24" t="str">
        <x:v>UI-JS-SEARCH-NAMES-NOTE</x:v>
      </x:c>
      <x:c r="B584" s="24" t="str">
        <x:v>Names of entities from the regulator's lists and enforcement decisions are not reproduced here; the original documents are linked from Data &amp; sources.</x:v>
      </x:c>
      <x:c r="C584" s="24" t="str">
        <x:v>لا تُذكر هنا أسماء الجهات الواردة في قوائم الجهة الرقابية وقرارات الإنفاذ؛ ويمكن الوصول إلى الوثائق الأصلية من صفحة البيانات والمصادر.</x:v>
      </x:c>
      <x:c r="D584" s="24" t="str">
        <x:v>RC-17 (owner decisions of 3 October 2026, point 2). Search: the governed sentence under the empty result.</x:v>
      </x:c>
    </x:row>
    <x:row r="585">
      <x:c r="A585" s="24" t="str">
        <x:v>UI-COMPARE-PRESET-REMITTANCES</x:v>
      </x:c>
      <x:c r="B585" s="24" t="str">
        <x:v>Compare the CBY-Aden and IMF remittance records side by side</x:v>
      </x:c>
      <x:c r="C585" s="24" t="str">
        <x:v>قارن سجلات التحويلات لدى البنك المركزي اليمني – عدن وصندوق النقد الدولي جنبًا إلى جنب</x:v>
      </x:c>
      <x:c r="D585" s="24" t="str">
        <x:v>RC-17 (Owner Addendum 2, improvement 5; bilingual review). /remittances/ 'Verify it yourself': the preset CLM-032, CLM-037, CLM-041, which the page's cards do not all show, so the label names them.</x:v>
      </x:c>
    </x:row>
    <x:row r="586">
      <x:c r="A586" s="24" t="str">
        <x:v>UI-COMPARE-PRESET</x:v>
      </x:c>
      <x:c r="B586" s="24" t="str">
        <x:v>Compare these records side by side</x:v>
      </x:c>
      <x:c r="C586" s="24" t="str">
        <x:v>قارن هذه السجلات جنبًا إلى جنب</x:v>
      </x:c>
      <x:c r="D586" s="24" t="str">
        <x:v>RC-17 (Owner Addendum 2, improvement 5). A preset Compare link under a governed paragraph or a page's verify actions; the records are named in code (scripts/yfie).</x:v>
      </x:c>
    </x:row>
    <x:row r="587">
      <x:c r="A587" s="24" t="str">
        <x:v>UI-MA-DIMENSIONS</x:v>
      </x:c>
      <x:c r="B587" s="24" t="str">
        <x:v>Dimensions it would cover:</x:v>
      </x:c>
      <x:c r="C587" s="24" t="str">
        <x:v>الأبعاد التي سيغطيها القياس:</x:v>
      </x:c>
      <x:c r="D587" s="24" t="str">
        <x:v>RC-18 (owner note of 3 October 2026, 11:15, 4.2). /measurement/: the label before a priority's governed dimensions_en/dimensions_ar.</x:v>
      </x:c>
    </x:row>
    <x:row r="588">
      <x:c r="A588" s="24" t="str">
        <x:v>UI-MOVED-RECORD-TITLE</x:v>
      </x:c>
      <x:c r="B588" s="24" t="str">
        <x:v>This record is no longer published on its own</x:v>
      </x:c>
      <x:c r="C588" s="24" t="str">
        <x:v>لم يعد هذا السجل منشورًا بمفرده</x:v>
      </x:c>
      <x:c r="D588" s="24" t="str">
        <x:v>RC-19 (owner decision of 3 October 2026, 23:54 Aden, X-ESC-RC17-01). Heading of the page at a retired record address.</x:v>
      </x:c>
    </x:row>
    <x:row r="589">
      <x:c r="A589" s="24" t="str">
        <x:v>UI-MOVED-RECORD-BODY</x:v>
      </x:c>
      <x:c r="B589" s="24" t="str">
        <x:v>This address now leads to the record of the Central Bank of Yemen – Aden (CBY-Aden) circular of 26 June 2024. Names from the regulator's lists are not reproduced here.</x:v>
      </x:c>
      <x:c r="C589" s="24" t="str">
        <x:v>يُحيل هذا الرابط الآن إلى سجل التعميم المؤرخ في 26 يونيو 2024 والصادر عن البنك المركزي اليمني – عدن. ولا تُذكر هنا الأسماء الواردة في قوائم الجهة الرقابية.</x:v>
      </x:c>
      <x:c r="D589" s="24" t="str">
        <x:v>RC-19 (owner decision of 3 October 2026, 23:54 Aden). Body of the page at a retired record address; the link that follows is the target record's governed title.</x:v>
      </x:c>
    </x:row>
    <x:row r="591">
      <x:c r="A591" s="24" t="str">
        <x:v>Trust navigation</x:v>
      </x:c>
    </x:row>
    <x:row r="592">
      <x:c r="A592" s="24" t="str">
        <x:v>item_order</x:v>
      </x:c>
      <x:c r="B592" s="24" t="str">
        <x:v>label_en</x:v>
      </x:c>
      <x:c r="C592" s="24" t="str">
        <x:v>label_ar</x:v>
      </x:c>
      <x:c r="D592" s="24" t="str">
        <x:v>route</x:v>
      </x:c>
    </x:row>
    <x:row r="593">
      <x:c r="A593" s="24" t="n">
        <x:v>1</x:v>
      </x:c>
      <x:c r="B593" s="24" t="str">
        <x:v>About</x:v>
      </x:c>
      <x:c r="C593" s="24" t="str">
        <x:v>عن الموقع</x:v>
      </x:c>
      <x:c r="D593" s="24" t="str">
        <x:v>/about</x:v>
      </x:c>
    </x:row>
    <x:row r="594">
      <x:c r="A594" s="24" t="n">
        <x:v>2</x:v>
      </x:c>
      <x:c r="B594" s="24" t="str">
        <x:v>Corrections</x:v>
      </x:c>
      <x:c r="C594" s="24" t="str">
        <x:v>التصحيحات</x:v>
      </x:c>
      <x:c r="D594" s="24" t="str">
        <x:v>/corrections</x:v>
      </x:c>
    </x:row>
    <x:row r="595">
      <x:c r="A595" s="24" t="n">
        <x:v>3</x:v>
      </x:c>
      <x:c r="B595" s="24" t="str">
        <x:v>Rights &amp; reuse</x:v>
      </x:c>
      <x:c r="C595" s="24" t="str">
        <x:v>الحقوق وإعادة الاستخدام</x:v>
      </x:c>
      <x:c r="D595" s="24" t="str">
        <x:v>/rights</x:v>
      </x:c>
    </x:row>
    <x:row r="596">
      <x:c r="A596" s="24" t="n">
        <x:v>4</x:v>
      </x:c>
      <x:c r="B596" s="24" t="str">
        <x:v>Accessibility</x:v>
      </x:c>
      <x:c r="C596" s="24" t="str">
        <x:v>إتاحة الوصول</x:v>
      </x:c>
      <x:c r="D596" s="24" t="str">
        <x:v>/accessibility</x:v>
      </x:c>
    </x:row>
    <x:row r="597">
      <x:c r="A597" s="24" t="n">
        <x:v>5</x:v>
      </x:c>
      <x:c r="B597" s="24" t="str">
        <x:v>Privacy</x:v>
      </x:c>
      <x:c r="C597" s="24" t="str">
        <x:v>الخصوصية</x:v>
      </x:c>
      <x:c r="D597" s="24" t="str">
        <x:v>/privacy</x:v>
      </x:c>
    </x:row>
    <x:row r="598">
      <x:c r="A598" s="24" t="n">
        <x:v>6</x:v>
      </x:c>
      <x:c r="B598" s="24" t="str">
        <x:v>Terms</x:v>
      </x:c>
      <x:c r="C598" s="24" t="str">
        <x:v>شروط الاستخدام</x:v>
      </x:c>
      <x:c r="D598" s="24" t="str">
        <x:v>/terms</x:v>
      </x:c>
    </x:row>
    <x:row r="599">
      <x:c r="A599" s="24" t="n">
        <x:v>7</x:v>
      </x:c>
      <x:c r="B599" s="24" t="str">
        <x:v>Contact</x:v>
      </x:c>
      <x:c r="C599" s="24" t="str">
        <x:v>التواصل</x:v>
      </x:c>
      <x:c r="D599" s="24" t="str">
        <x:v>/contact</x:v>
      </x:c>
    </x:row>
    <x:row r="601">
      <x:c r="A601" s="24" t="str">
        <x:v>Search aliases</x:v>
      </x:c>
    </x:row>
    <x:row r="602">
      <x:c r="A602" s="24" t="str">
        <x:v>alias_id</x:v>
      </x:c>
      <x:c r="B602" s="24" t="str">
        <x:v>terms_en</x:v>
      </x:c>
      <x:c r="C602" s="24" t="str">
        <x:v>terms_ar</x:v>
      </x:c>
      <x:c r="D602" s="24" t="str">
        <x:v>targets</x:v>
      </x:c>
      <x:c r="E602" s="24" t="str">
        <x:v>boundary_note_en</x:v>
      </x:c>
      <x:c r="F602" s="38" t="str">
        <x:v>boundary_note_ar</x:v>
      </x:c>
    </x:row>
    <x:row r="603">
      <x:c r="A603" s="24" t="str">
        <x:v>SEARCH-ALIAS-001</x:v>
      </x:c>
      <x:c r="B603" s="24" t="str">
        <x:v>law; laws</x:v>
      </x:c>
      <x:c r="C603" s="24" t="str">
        <x:v>قانون; قوانين</x:v>
      </x:c>
      <x:c r="D603" s="24" t="str">
        <x:v>document_type:law | route:/reforms/ | route:/data/</x:v>
      </x:c>
      <x:c r="E603" s="24" t="str">
        <x:v>Discovery aid only: this evidence base holds no law as a source document. It holds regulations, circulars, decisions and official lists issued by the Central Bank of Yemen – Aden, listed on the Data &amp; sources page.</x:v>
      </x:c>
      <x:c r="F603" s="38" t="str">
        <x:v>أداة اكتشاف فقط: لا تضم قاعدة الأدلة هذه أي قانون بوصفه وثيقة مصدرية. وتضم لوائح وتعاميم وقرارات وقوائم رسمية صادرة عن البنك المركزي اليمني – عدن، مدرجة في صفحة البيانات والمصادر.</x:v>
      </x:c>
    </x:row>
    <x:row r="604">
      <x:c r="A604" s="24" t="str">
        <x:v>SEARCH-ALIAS-002</x:v>
      </x:c>
      <x:c r="B604" s="24" t="str">
        <x:v>decision; decisions</x:v>
      </x:c>
      <x:c r="C604" s="24" t="str">
        <x:v>قرار; قرارات</x:v>
      </x:c>
      <x:c r="D604" s="24" t="str">
        <x:v>document_type:regulatory decision | route:/reforms/ | route:/providers/</x:v>
      </x:c>
    </x:row>
    <x:row r="605">
      <x:c r="A605" s="24" t="str">
        <x:v>SEARCH-ALIAS-003</x:v>
      </x:c>
      <x:c r="B605" s="24" t="str">
        <x:v>circular; circulars</x:v>
      </x:c>
      <x:c r="C605" s="24" t="str">
        <x:v>تعميم; تعاميم</x:v>
      </x:c>
      <x:c r="D605" s="24" t="str">
        <x:v>document_type:instruction/circular | route:/reforms/</x:v>
      </x:c>
    </x:row>
    <x:row r="606">
      <x:c r="A606" s="24" t="str">
        <x:v>SEARCH-ALIAS-004</x:v>
      </x:c>
      <x:c r="B606" s="24" t="str">
        <x:v>regulation; regulations; instructions</x:v>
      </x:c>
      <x:c r="C606" s="24" t="str">
        <x:v>لائحة; لوائح; تعليمات</x:v>
      </x:c>
      <x:c r="D606" s="24" t="str">
        <x:v>document_type:regulation | document_type:instruction/circular | route:/reforms/ | route:/data/</x:v>
      </x:c>
    </x:row>
    <x:row r="607">
      <x:c r="A607" s="24" t="str">
        <x:v>SEARCH-ALIAS-005</x:v>
      </x:c>
      <x:c r="B607" s="24" t="str">
        <x:v>remittance; remittances</x:v>
      </x:c>
      <x:c r="C607" s="24" t="str">
        <x:v>حوالة; حوالات; تحويلات</x:v>
      </x:c>
      <x:c r="D607" s="24" t="str">
        <x:v>route:/remittances/</x:v>
      </x:c>
    </x:row>
    <x:row r="608">
      <x:c r="A608" s="24" t="str">
        <x:v>SEARCH-ALIAS-006</x:v>
      </x:c>
      <x:c r="B608" s="24" t="str">
        <x:v>exchange company; exchange companies</x:v>
      </x:c>
      <x:c r="C608" s="24" t="str">
        <x:v>صرافة; شركات الصرافة; منشآت الصرافة</x:v>
      </x:c>
      <x:c r="D608" s="24" t="str">
        <x:v>route:/providers/</x:v>
      </x:c>
    </x:row>
    <x:row r="609">
      <x:c r="A609" s="24" t="str">
        <x:v>SEARCH-ALIAS-007</x:v>
      </x:c>
      <x:c r="B609" s="24" t="str">
        <x:v>wallet; e-wallet; e-wallets; electronic wallet</x:v>
      </x:c>
      <x:c r="C609" s="24" t="str">
        <x:v>محفظة; محافظ; المحافظ الإلكترونية; المحفظة الإلكترونية</x:v>
      </x:c>
      <x:c r="D609" s="24" t="str">
        <x:v>route:/payments/</x:v>
      </x:c>
      <x:c r="E609" s="24" t="str">
        <x:v>Discovery aid only: in Arabic «محفظة» means both an e-wallet and a loan portfolio. E-wallet records are under Payments; loan-portfolio records are under Finance (microfinance and banks).</x:v>
      </x:c>
      <x:c r="F609" s="38" t="str">
        <x:v>أداة اكتشاف فقط: قد تعني كلمة «محفظة» المحفظة الإلكترونية أو محفظة القروض. وسجلات المحافظ الإلكترونية في صفحة المدفوعات، أما سجلات محافظ القروض ففي صفحة التمويل (التمويل الأصغر والبنوك).</x:v>
      </x:c>
    </x:row>
    <x:row r="610">
      <x:c r="A610" s="24" t="str">
        <x:v>SEARCH-ALIAS-008</x:v>
      </x:c>
      <x:c r="B610" s="24" t="str">
        <x:v>POS; point of sale; POS terminals</x:v>
      </x:c>
      <x:c r="C610" s="24" t="str">
        <x:v>نقاط البيع; نقطة بيع</x:v>
      </x:c>
      <x:c r="D610" s="24" t="str">
        <x:v>route:/payments/</x:v>
      </x:c>
    </x:row>
    <x:row r="611">
      <x:c r="A611" s="24" t="str">
        <x:v>SEARCH-ALIAS-009</x:v>
      </x:c>
      <x:c r="B611" s="24" t="str">
        <x:v>microfinance; MFB; MFI</x:v>
      </x:c>
      <x:c r="C611" s="24" t="str">
        <x:v>التمويل الأصغر; تمويل أصغر</x:v>
      </x:c>
      <x:c r="D611" s="24" t="str">
        <x:v>route:/finance/</x:v>
      </x:c>
    </x:row>
    <x:row r="612">
      <x:c r="A612" s="24" t="str">
        <x:v>SEARCH-ALIAS-010</x:v>
      </x:c>
      <x:c r="B612" s="24" t="str">
        <x:v>exchange rate</x:v>
      </x:c>
      <x:c r="C612" s="24" t="str">
        <x:v>سعر الصرف; أسعار الصرف</x:v>
      </x:c>
      <x:c r="D612" s="24" t="str">
        <x:v>route:/finance/</x:v>
      </x:c>
    </x:row>
    <x:row r="613">
      <x:c r="A613" s="24" t="str">
        <x:v>SEARCH-ALIAS-011</x:v>
      </x:c>
      <x:c r="B613" s="24" t="str">
        <x:v>measurement; measurement agenda; measurement priorities</x:v>
      </x:c>
      <x:c r="C613" s="24" t="str">
        <x:v>أولويات القياس; أجندة القياس; القياس</x:v>
      </x:c>
      <x:c r="D613" s="24" t="str">
        <x:v>route:/measurement/</x:v>
      </x:c>
    </x:row>
    <x:row r="614">
      <x:c r="A614" s="24" t="str">
        <x:v>SEARCH-ALIAS-012</x:v>
      </x:c>
      <x:c r="B614" s="24" t="str">
        <x:v>financial literacy; financial education</x:v>
      </x:c>
      <x:c r="C614" s="24" t="str">
        <x:v>الثقافة المالية; التثقيف المالي</x:v>
      </x:c>
      <x:c r="D614" s="24" t="str">
        <x:v>route:/people/ | route:/reforms/</x:v>
      </x:c>
      <x:c r="E614" s="24" t="str">
        <x:v>Discovery aid only: financial-education activity is not literacy, capability or behaviour.</x:v>
      </x:c>
      <x:c r="F614" s="38" t="str">
        <x:v>وسيلة للعثور على المحتوى فقط: النشاط التثقيفي المالي ليس ثقافة مالية ولا قدرة ولا سلوكًا.</x:v>
      </x:c>
    </x:row>
    <x:row r="615">
      <x:c r="A615" s="24" t="str">
        <x:v>SEARCH-ALIAS-013</x:v>
      </x:c>
      <x:c r="B615" s="24" t="str">
        <x:v>income; income gap</x:v>
      </x:c>
      <x:c r="C615" s="24" t="str">
        <x:v>الدخل; فجوة الدخل</x:v>
      </x:c>
      <x:c r="D615" s="24" t="str">
        <x:v>route:/people/</x:v>
      </x:c>
    </x:row>
    <x:row r="616">
      <x:c r="A616" s="24" t="str">
        <x:v>SEARCH-ALIAS-014</x:v>
      </x:c>
      <x:c r="B616" s="24" t="str">
        <x:v>credit; lending</x:v>
      </x:c>
      <x:c r="C616" s="24" t="str">
        <x:v>الائتمان; الإقراض</x:v>
      </x:c>
      <x:c r="D616" s="24" t="str">
        <x:v>route:/finance/ | route:/firms/</x:v>
      </x:c>
    </x:row>
    <x:row r="617">
      <x:c r="A617" s="24" t="str">
        <x:v>SEARCH-ALIAS-015</x:v>
      </x:c>
      <x:c r="B617" s="24" t="str">
        <x:v>licensed banks; licensed bank; bank list</x:v>
      </x:c>
      <x:c r="C617" s="24" t="str">
        <x:v>البنوك المرخصة; بنوك مرخصة; قائمة البنوك</x:v>
      </x:c>
      <x:c r="D617" s="24" t="str">
        <x:v>route:/providers/</x:v>
      </x:c>
    </x:row>
    <x:row r="618">
      <x:c r="A618" s="24" t="str">
        <x:v>SEARCH-ALIAS-016</x:v>
      </x:c>
      <x:c r="B618" s="24" t="str">
        <x:v>remittance cost; remittance prices; transfer cost</x:v>
      </x:c>
      <x:c r="C618" s="24" t="str">
        <x:v>تكلفة التحويل; تكلفة الحوالات; رسوم التحويل</x:v>
      </x:c>
      <x:c r="D618" s="24" t="str">
        <x:v>route:/remittances/</x:v>
      </x:c>
    </x:row>
    <x:row r="619">
      <x:c r="A619" s="24" t="str">
        <x:v>SEARCH-ALIAS-017</x:v>
      </x:c>
      <x:c r="B619" s="24" t="str">
        <x:v>Aden; CBY Aden; CBY-Aden</x:v>
      </x:c>
      <x:c r="C619" s="24" t="str">
        <x:v>عدن; البنك المركزي في عدن</x:v>
      </x:c>
      <x:c r="D619" s="24" t="str">
        <x:v>route:/providers/ | route:/data/</x:v>
      </x:c>
      <x:c r="E619" s="24" t="str">
        <x:v>Discovery aid only: CBY-Aden lists, decisions and statistics carry the scope of that authority; they do not describe all of Yemen.</x:v>
      </x:c>
      <x:c r="F619" s="38" t="str">
        <x:v>وسيلة للعثور على المحتوى فقط: قوائم البنك المركزي اليمني في عدن وقراراته وإحصاءاته تحمل نطاق تلك السلطة، ولا تصف اليمن كله.</x:v>
      </x:c>
    </x:row>
    <x:row r="620">
      <x:c r="A620" s="24" t="str">
        <x:v>SEARCH-ALIAS-018</x:v>
      </x:c>
      <x:c r="B620" s="24" t="str">
        <x:v>deposits; deposit; bank deposits</x:v>
      </x:c>
      <x:c r="C620" s="24" t="str">
        <x:v>الودائع; ودائع; الودائع المصرفية</x:v>
      </x:c>
      <x:c r="D620" s="24" t="str">
        <x:v>route:/finance/</x:v>
      </x:c>
    </x:row>
    <x:row r="621">
      <x:c r="A621" s="24" t="str">
        <x:v>SEARCH-ALIAS-019</x:v>
      </x:c>
      <x:c r="B621" s="24" t="str">
        <x:v>SME finance; SME; SMEs; MSME; MSMEs; MSME finance; small business finance</x:v>
      </x:c>
      <x:c r="C621" s="24" t="str">
        <x:v>المنشآت الصغيرة والمتوسطة; تمويل المنشآت الصغيرة والمتوسطة; المنشآت الأصغر والصغيرة والمتوسطة; المنشآت الصغرى والصغيرة والمتوسطة</x:v>
      </x:c>
      <x:c r="D621" s="24" t="str">
        <x:v>route:/firms/</x:v>
      </x:c>
    </x:row>
    <x:row r="622">
      <x:c r="A622" s="24" t="str">
        <x:v>SEARCH-ALIAS-020</x:v>
      </x:c>
      <x:c r="B622" s="24" t="str">
        <x:v>RTGS; real-time gross settlement; real time gross settlement</x:v>
      </x:c>
      <x:c r="C622" s="24" t="str">
        <x:v>التسوية الإجمالية الفورية; نظام التسوية الإجمالية الفورية</x:v>
      </x:c>
      <x:c r="D622" s="24" t="str">
        <x:v>route:/payments/ | route:/reforms/</x:v>
      </x:c>
    </x:row>
    <x:row r="623">
      <x:c r="A623" s="24" t="str">
        <x:v>SEARCH-ALIAS-021</x:v>
      </x:c>
      <x:c r="B623" s="24" t="str">
        <x:v>FPS; fast payment system; fast payments</x:v>
      </x:c>
      <x:c r="C623" s="24" t="str">
        <x:v>نظام الدفع السريع; الدفع السريع; المدفوعات السريعة</x:v>
      </x:c>
      <x:c r="D623" s="24" t="str">
        <x:v>route:/payments/ | route:/reforms/</x:v>
      </x:c>
    </x:row>
    <x:row r="624">
      <x:c r="A624" s="24" t="str">
        <x:v>SEARCH-ALIAS-022</x:v>
      </x:c>
      <x:c r="B624" s="24" t="str">
        <x:v>consumer protection; financial consumer protection</x:v>
      </x:c>
      <x:c r="C624" s="24" t="str">
        <x:v>حماية المستهلك; حماية المستهلك المالي</x:v>
      </x:c>
      <x:c r="D624" s="24" t="str">
        <x:v>route:/reforms/</x:v>
      </x:c>
    </x:row>
    <x:row r="625">
      <x:c r="A625" s="24" t="str">
        <x:v>SEARCH-ALIAS-023</x:v>
      </x:c>
      <x:c r="B625" s="24" t="str">
        <x:v>complaints; complaint; complaint handling; redress</x:v>
      </x:c>
      <x:c r="C625" s="24" t="str">
        <x:v>الشكاوى; شكوى; معالجة الشكاوى; التظلم</x:v>
      </x:c>
      <x:c r="D625" s="24" t="str">
        <x:v>route:/reforms/</x:v>
      </x:c>
      <x:c r="E625" s="24" t="str">
        <x:v>Discovery aid only: official guidance and instructions describe a complaint path and time limits, not how complaints are handled in practice.</x:v>
      </x:c>
      <x:c r="F625" s="38" t="str">
        <x:v>وسيلة للعثور على المحتوى فقط: تصف الإرشادات والتعليمات الرسمية مسار الشكوى ومهلها، لا طريقة معالجة الشكاوى فعليًا.</x:v>
      </x:c>
    </x:row>
    <x:row r="626">
      <x:c r="A626" s="24" t="str">
        <x:v>SEARCH-ALIAS-024</x:v>
      </x:c>
      <x:c r="B626" s="24" t="str">
        <x:v>FMIIP; Financial Market Infrastructure and Inclusion Project</x:v>
      </x:c>
      <x:c r="C626" s="24" t="str">
        <x:v>FMIIP; مشروع البنية التحتية للأسواق المالية والشمول المالي; مشروع البنية التحتية للأسواق والشمول المالي</x:v>
      </x:c>
      <x:c r="D626" s="24" t="str">
        <x:v>route:/reforms/ | route:/payments/</x:v>
      </x:c>
    </x:row>
    <x:row r="627">
      <x:c r="A627" s="24" t="str">
        <x:v>SEARCH-ALIAS-025</x:v>
      </x:c>
      <x:c r="B627" s="24" t="str">
        <x:v>women; woman; female; gender; gender gap</x:v>
      </x:c>
      <x:c r="C627" s="24" t="str">
        <x:v>المرأة; امرأة; النساء; نساء; الإناث; النوع الاجتماعي; فجوة النوع الاجتماعي; الفجوة بين الجنسين</x:v>
      </x:c>
      <x:c r="D627" s="24" t="str">
        <x:v>route:/people/</x:v>
      </x:c>
      <x:c r="E627" s="24" t="str">
        <x:v>Discovery aid only: the measured gap comes from one survey wave (the 2021 Findex wave; Yemen fieldwork 2022–23); it is not a 2026 figure and does not establish causes.</x:v>
      </x:c>
      <x:c r="F627"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628">
      <x:c r="A628" s="24" t="str">
        <x:v>SEARCH-ALIAS-026</x:v>
      </x:c>
      <x:c r="B628" s="24" t="str">
        <x:v>humanitarian; cash transfer; cash transfers; social protection; G2P; cash assistance</x:v>
      </x:c>
      <x:c r="C628" s="24" t="str">
        <x:v>إنساني; المساعدات الإنسانية; التحويلات النقدية; الحماية الاجتماعية; مدفوعات الحكومة للأفراد; المساعدات النقدية</x:v>
      </x:c>
      <x:c r="D628" s="24" t="str">
        <x:v>route:/readings/after-transfer-persistence/ | route:/payments/</x:v>
      </x:c>
    </x:row>
    <x:row r="629">
      <x:c r="A629" s="24" t="str">
        <x:v>SEARCH-ALIAS-027</x:v>
      </x:c>
      <x:c r="B629" s="24" t="str">
        <x:v>licence; license; licensing; suspension; closure</x:v>
      </x:c>
      <x:c r="C629" s="24" t="str">
        <x:v>ترخيص; تراخيص; إيقاف; تعليق; إغلاق</x:v>
      </x:c>
      <x:c r="D629" s="24" t="str">
        <x:v>route:/providers/ | document_type:decision/enforcement</x:v>
      </x:c>
    </x:row>
    <x:row r="630">
      <x:c r="A630" s="24" t="str">
        <x:v>SEARCH-ALIAS-028</x:v>
      </x:c>
      <x:c r="B630" s="24" t="str">
        <x:v>internet; connectivity</x:v>
      </x:c>
      <x:c r="C630" s="24" t="str">
        <x:v>الإنترنت; الانترنت; الاتصال; الاتصال بالإنترنت</x:v>
      </x:c>
      <x:c r="D630" s="24" t="str">
        <x:v>route:/measurement/ | route:/people/</x:v>
      </x:c>
    </x:row>
    <x:row r="631">
      <x:c r="A631" s="24" t="str">
        <x:v>SEARCH-ALIAS-029</x:v>
      </x:c>
      <x:c r="B631" s="24" t="str">
        <x:v>Findex; Global Findex</x:v>
      </x:c>
      <x:c r="C631" s="24" t="str">
        <x:v>فيندكس; فندكس; Findex; المؤشر العالمي للشمول المالي</x:v>
      </x:c>
      <x:c r="D631" s="24" t="str">
        <x:v>route:/people/</x:v>
      </x:c>
    </x:row>
    <x:row r="632">
      <x:c r="A632" s="24" t="str">
        <x:v>SEARCH-ALIAS-030</x:v>
      </x:c>
      <x:c r="B632" s="24" t="str">
        <x:v>PSP; PSPs; payment service provider; payment service providers</x:v>
      </x:c>
      <x:c r="C632" s="24" t="str">
        <x:v>مزود خدمات الدفع; مزودو خدمات الدفع; مزودي خدمات الدفع; مقدم خدمات الدفع; مقدمو خدمات الدفع; مقدمي خدمات الدفع</x:v>
      </x:c>
      <x:c r="D632" s="24" t="str">
        <x:v>document_type:regulation | route:/payments/</x:v>
      </x:c>
    </x:row>
    <x:row r="633">
      <x:c r="A633" s="24" t="str">
        <x:v>SEARCH-ALIAS-031</x:v>
      </x:c>
      <x:c r="B633" s="24" t="str">
        <x:v>loan; loans; borrowing; borrow</x:v>
      </x:c>
      <x:c r="C633" s="24" t="str">
        <x:v>قرض; قروض; اقتراض; الاقتراض; سلفة</x:v>
      </x:c>
      <x:c r="D633" s="24" t="str">
        <x:v>route:/finance/ | route:/people/</x:v>
      </x:c>
    </x:row>
    <x:row r="634">
      <x:c r="A634" s="24" t="str">
        <x:v>SEARCH-ALIAS-032</x:v>
      </x:c>
      <x:c r="B634" s="24" t="str">
        <x:v>transfer abroad; send money abroad; international transfer</x:v>
      </x:c>
      <x:c r="C634" s="24" t="str">
        <x:v>تحويل للخارج; تحويل إلى الخارج; تحويل خارجي; تحويلات خارجية; حوالة خارجية; حوالات خارجية; حوالة من الخارج; تحويل من الخارج; حوالات المغتربين; تحويلات المغتربين; تحويل دولي; حوالة دولية</x:v>
      </x:c>
      <x:c r="D634" s="24" t="str">
        <x:v>route:/remittances/</x:v>
      </x:c>
      <x:c r="E634" s="24" t="str">
        <x:v>Discovery aid only: the remittance evidence here is about money sent to Yemen and transfers within Yemen. It does not cover money sent from Yemen to other countries.</x:v>
      </x:c>
      <x:c r="F634" s="38" t="str">
        <x:v>أداة اكتشاف فقط: تتناول أدلة التحويلات هنا الأموال المرسلة إلى اليمن والحوالات داخل اليمن، ولا تتناول الأموال المرسلة من اليمن إلى الخارج.</x:v>
      </x:c>
    </x:row>
    <x:row r="635">
      <x:c r="A635" s="24" t="str">
        <x:v>SEARCH-ALIAS-033</x:v>
      </x:c>
      <x:c r="B635" s="24" t="str">
        <x:v>cash-out; cash out; cashout; cash withdrawal</x:v>
      </x:c>
      <x:c r="C635" s="24" t="str">
        <x:v>كاش; كاش آوت; سحب كاش; سحب نقدي</x:v>
      </x:c>
      <x:c r="D635" s="24" t="str">
        <x:v>route:/payments/</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التحويلات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row>
    <x:row r="5">
      <x:c r="A5" s="24" t="str">
        <x:v>CLM-001</x:v>
      </x:c>
      <x:c r="B5" s="24" t="str">
        <x:v>CLAIM</x:v>
      </x:c>
      <x:c r="C5" s="24" t="str">
        <x:v>/people/ | / | /evidence/compare/</x:v>
      </x:c>
      <x:c r="D5" s="24" t="str">
        <x:v>Account ownership: the representative measure from the Global Findex 2021 wave</x:v>
      </x:c>
      <x:c r="E5" s="28" t="str">
        <x:v>امتلاك الحساب: القياس الممثل من موجة Global Findex 2021</x:v>
      </x:c>
      <x:c r="F5" s="24" t="str">
        <x:v>The latest representative observation of account ownership in Yemen published by the World Bank remains 11.9%. World Bank Data reports it for 2022; it comes from the Yemen Global Findex 2021 study, fielded from 7 November 2022 to 9 January 2023. The Global Findex 2025 edition adds 2024 observations for many economies, but no newer Yemen observation. For context, the World Bank's figure for the same survey wave across the 19 low-income economies surveyed in it, Yemen among them, is 35.2%.</x:v>
      </x:c>
      <x:c r="G5" s="28" t="str">
        <x:v>تظل أحدث مشاهدة سكانية ممثلة ينشرها البنك الدولي لامتلاك الحساب في اليمن عند 11.9%.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 وللسياق، يبلغ رقم البنك الدولي لموجة المسح نفسها في الاقتصادات منخفضة الدخل الـ19 التي شملتها الموجة، ومنها اليمن، 35.2%.</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7 November 2022 to 9 January 2023).</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7 نوفمبر 2022 إلى 9 يناير 2023).</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 The low-income context figure, 35.2%, is the World Bank's own aggregate for the same wave and indicator; this resource reproduced it as the average of the published values of the 19 low-income economies surveyed in the wave, weighted by their adult populations.</x:v>
      </x:c>
      <x:c r="O5" s="28" t="str">
        <x:v>تقدير مسحي موزون وفق تصميم المسح وأوزانه. ورقم السياق للاقتصادات منخفضة الدخل، 35.2%، هو التجميع الذي ينشره البنك الدولي نفسه للموجة والمؤشر ذاتيهما؛ وقد أعاد هذا المورد احتسابه متوسطًا للقيم المنشورة للاقتصادات منخفضة الدخل الـ19 التي شملتها الموجة، مرجّحًا بعدد البالغين في كل منها.</x:v>
      </x:c>
      <x:c r="P5" s="24" t="str">
        <x:v>It is not a 2026 rate, and it cannot be broken down or mapped by governorate. It is not the share of adults with a bank account: accounts at other financial institutions and personal use of a mobile-money service also count. | The survey frame excludes areas holding about 23% of the population, and more than a quarter of primary sampling units were replaced. The low-income figure is context, not a benchmark, a target or a ranking: it averages economies in very different conditions, includes Yemen itself and uses the income classification in the Global Findex Database 2025, while Yemen's own figure covers only the areas its survey reached.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والاستخدام الشخصي لخدمة أموال عبر الهاتف المحمول. | يستبعد إطار المسح مناطق يقطنها نحو 23% من السكان، كما استُبدل أكثر من ربع وحدات المعاينة الأولية. ورقم الاقتصادات منخفضة الدخل للسياق فقط، وليس معيارًا ولا هدفًا ولا ترتيبًا: فهو متوسط لاقتصادات ذات ظروف متباينة جدًا، ويشمل اليمن نفسه، ويستند إلى تصنيف الدخل المعتمد في قاعدة بيانات Global Findex 2025، في حين يقتصر رقم اليمن على المناطق التي بلغها المسح.</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1,651 in June 2026, within CBY-Aden's reporting scope. The December 2025 total of 1,357 and the January 2026 total of 1,473 imply growth of 8.55%, while the January source graphic displays +11%. The May 2026 source graphic displays +2.4%, which the April 2026 total of 1,583 and the May 2026 total of 1,636 do not yield; because the source contradicts itself, no change is computed for April to May 2026. The POS terminals chart plots the published totals, the displayed percentages are stated under 'How was it produced?' in this record, and each difference is recorded as an inconsistency within the source.</x:v>
      </x:c>
      <x:c r="G6" s="28" t="str">
        <x:v>ارتفع عدد أجهزة نقاط البيع التي يُبلغ عنها البنك المركزي اليمني – عدن من 561 جهازًا في مارس 2025 إلى 1,651 جهازًا في يونيو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رسم المصدر لشهر مايو 2026 نسبة +2.4%، ولا يعطيها إجمالي أبريل 2026 البالغ 1,583 جهازًا وإجمالي مايو 2026 البالغ 1,636 جهازًا؛ ولأن المصدر يناقض نفسه، لا تُحسب نسبة تغير بين أبريل ومايو 2026. ويعرض الرسم البياني لأجهزة نقاط البيع الإجماليات المنشورة، وتُذكر النسب المعروضة تحت «كيف أُنتج؟» في هذا السجل، ويُسجَّل كل فرق بوصفه تعارضًا داخل المصدر نفسه.</x:v>
      </x:c>
      <x:c r="H6" s="24" t="str">
        <x:v>The monthly number of point-of-sale (POS) terminals reported by the Central Bank of Yemen – Aden (CBY-Aden) within its reporting scope, March 2025 to June 2026.</x:v>
      </x:c>
      <x:c r="I6" s="28" t="str">
        <x:v>العدد الشهري لأجهزة نقاط البيع التي يُبلغ عنها البنك المركزي اليمني – عدن ضمن نطاق إبلاغه، من مارس 2025 إلى يونيو 2026.</x:v>
      </x:c>
      <x:c r="J6" s="24" t="str">
        <x:v>Mar-2025–Jun-2026</x:v>
      </x:c>
      <x:c r="K6" s="28" t="str">
        <x:v>مارس 2025 – يونيو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 The May 2026 release displays +2.4%, which the published April (1,583) and May (1,636) totals do not yield. Because the release contradicts itself, this resource derives no change for April to May 2026; it shows the two published totals and the displayed percentage.</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 ويعرض إصدار مايو 2026 نسبة +2.4%، ولا يعطيها الإجماليان المنشوران لشهري أبريل (1,583) ومايو (1,636). ولأن الإصدار يناقض نفسه، لا يشتق هذا المورد نسبة تغير بين أبريل ومايو 2026، بل يعرض الإجماليين المنشورين والنسبة المعروضة.</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and May 2026 releases show material discrepancies between their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إصدارا يناير 2026 ومايو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 SRC-CBY-POS-2026-04; SRC-CBY-POS-2026-05; SRC-CBY-POS-2026-06</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source_id":"SRC-CBY-POS-2026-04","url":"https://cby-ye.com/files/6a6f968423908.pdf","audit_state":"PASS_AUTHORITY_OR_PROVIDER_LOCATOR"},{"source_id":"SRC-CBY-POS-2026-05","url":"https://cby-ye.com/files/6a6f96ed5c009.pdf","audit_state":"PASS_AUTHORITY_OR_PROVIDER_LOCATOR"},{"source_id":"SRC-CBY-POS-2026-06","url":"https://cby-ye.com/files/6a6f973c98c25.pdf","audit_state":"PASS_AUTHORITY_OR_PROVIDER_LOCATOR"}]</x:v>
      </x:c>
      <x:c r="Z6" t="str">
        <x:v>BOUND_EXACT</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100 exchange companies, 231 individual exchange establishments and 111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would have to be matched with the roster entity by entity, since a decision may or may not already be reflected in it; that matching has not been done.</x:v>
      </x:c>
      <x:c r="G7" s="28" t="str">
        <x:v>تضم القائمة الرسمية لعام 2026 لمقدمي خدمات الصرافة والحوالات، الصادرة عن البنك المركزي اليمني – عدن، كلًّا من 100 شركة صرافة و231 منشأة صرافة فردية و111 وكيلًا للحوالات.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يلزم مطابقتها جهةً جهة مع قرارات البنك المركزي في عدن الصادرة خلال 2026 (بين يناير وسبتمبر 2026) بتعليق تراخيص جهات مسماة أو سحبها أو بإغلاق مقارها، إذ قد يكون أثر القرار منعكسًا فيها وقد لا يكون؛ ولم تُجرَ هذه المطابقة بعد.</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20-page roster of the Central Bank of Yemen – Aden (CBY-Aden) by reading the document visually, using its own class headings and serial numbering; the numbering in the three classes ends at 100, 231 and 111.</x:v>
      </x:c>
      <x:c r="O7" s="28" t="str">
        <x:v>عُدّت القيود من القائمة الرسمية للبنك المركزي اليمني – عدن المكونة من 20 صفحة بقراءة الوثيقة بصريًا، وباستخدام عناوين الفئات وترقيمها التسلسلي كما وردت فيها؛ وينتهي الترقيم في الفئات الثلاث عند 100 و231 و111.</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 Why the numbers differ: the 2025 roster (record CLM-016) listed fewer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 لماذا تختلف الأرقام: أدرجت قائمة 2025 (السجل CLM-016) قيودًا أقل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 CBY-Aden has replaced the roster file during 2026; the counts are those of the file linked on its website when checked on 3 October 2026.</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 وقد استبدل البنك المركزي اليمني – عدن ملف القائمة خلال عام 2026؛ والأعداد هي أعداد الملف المنشور في موقعه كما اطُّلع عليه في 3 أكتوبر 2026.</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x:v>
      </x:c>
      <x:c r="Y7" s="24" t="str">
        <x:v>[{"source_id": "SRC-CBY-EXCH-LIST-2026-001", "url": "https://www.cby-ye.com/files/6a87039fd05bb.pdf", "audit_state": "PRIMARY_AUTHORITY_ROSTER_VISUALLY_EXTRACTED"}]</x:v>
      </x:c>
      <x:c r="Z7" t="str">
        <x:v>BOUND_EXACT</x:v>
      </x:c>
    </x:row>
    <x:row r="8">
      <x:c r="A8" s="24" t="str">
        <x:v>CLM-010</x:v>
      </x:c>
      <x:c r="B8" s="24" t="str">
        <x:v>CLAIM</x:v>
      </x:c>
      <x:c r="C8" s="24" t="str">
        <x:v>/evidence/compare/ | /payments/ | /providers/ | /reforms/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 Why the numbers differ: the January 2025 baseline of active e-wallet accounts of the World Bank-financed FMIIP project (record FMIIP-BASELINE-2025-01) is far lower than the 2025 subscriber count here. The two carry different labels under definitions the evidence base does not document and that have not been reconciled, so the gap cannot be read as growth, as inactivity or as an error, and neither is a count of people. Nor can the 2024 subscriber counts here be read as a fall from the e-money accounts counted in December 2019 (record CLM-050): that study covered five providers and counted accounts, under a definition never reconciled with CBY-Aden's.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 لماذا تختلف الأرقام: خط أساس يناير 2025 لحسابات المحافظ الإلكترونية النشطة في مشروع FMIIP الممول من البنك الدولي (السجل FMIIP-BASELINE-2025-01) أقل بكثير من عدد المشتركين لعام 2025 هنا. ويحمل الرقمان تسميتين مختلفتين وفق تعريفين لا توثقهما قاعدة الأدلة ولم يُطابَق بينهما؛ لذلك لا يُقرأ الفرق بينهما نموًا ولا خمولًا ولا خطأً، ولا يمثل أيٌّ منهما عددًا من الأشخاص. كذلك لا تُقرأ أعداد المشتركين لعام 2024 هنا تراجعًا عن حسابات النقود الإلكترونية المحصاة في ديسمبر 2019 (السجل CLM-050): فتلك الدراسة شملت خمسة مقدمي خدمات وأحصت حسابات، وفق تعريف لم يُطابَق قط مع تعريف البنك المركزي اليمني – عدن.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 Governor's Decision No. 23 of 2024 on domestic money-transfer activity carries the same date; the circular and the decision are separate instruments, and this record establishes no link between them.</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 ويحمل قرار المحافظ رقم (23) لسنة 2024 بشأن مزاولة نشاط التحويلات المالية الداخلية التاريخ نفسه؛ والتعميم والقرار أداتان منفصلتان، ولا يثبت هذا السجل أي صلة بينهما.</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in this resource's internal source records; they are not reproduced here.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في سجل المصادر الداخلي لهذا المورد، ولا تُذكر هنا.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 SRC-CBY-DEC-23-2024-001</x:v>
      </x:c>
      <x:c r="Y10" s="24" t="str">
        <x:v>[]</x:v>
      </x:c>
      <x:c r="Z10" t="str">
        <x:v>BOUND_EXACT</x:v>
      </x:c>
      <x:c r="AB10" t="str">
        <x:v>SRC-CBY-UNLICENSED-EWALLET-2024-001=status event; SRC-CBY-DEC-23-2024-001=context</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يستند هذا السجل إلى العلاقات الموثقة بين أجزاء المنظومة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وطابِقه مع مصدره.</x:v>
      </x:c>
      <x:c r="X11" s="24"/>
      <x:c r="Y11" s="24" t="str">
        <x:v>[]</x:v>
      </x:c>
      <x:c r="Z11" t="str">
        <x:v>COMPOSITE_OF_OBJECTS</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3 October 2026.</x:v>
      </x:c>
      <x:c r="I12" s="28" t="str">
        <x:v>تواريخ الرصد أو النشر وأنواع الأدلة لسجلات الأدلة في كل مجال، كما وردت في إصدار هذا المورد المؤرخ في 3 أكتوبر 2026.</x:v>
      </x:c>
      <x:c r="J12" s="24" t="str">
        <x:v>Edition of this resource dated 3 October 2026; each item keeps the period its source gives</x:v>
      </x:c>
      <x:c r="K12" s="28" t="str">
        <x:v>إصدار هذا المورد المؤرخ في 3 أكتوبر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3 October 2026 and changes whenever a newer record is added; each item keeps the date its source gives.</x:v>
      </x:c>
      <x:c r="S12" s="28" t="str">
        <x:v>تعكس هذه المقارنة الأدلة الواردة في إصدار هذا المورد المؤرخ في 3 أكتوبر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assembles other evidence records. Check each linked record against its own source.</x:v>
      </x:c>
      <x:c r="W12" s="28" t="str">
        <x:v>يجمع هذا العرض سجلات أدلة أخرى، فطابِق كل سجل مرتبط مع مصدره.</x:v>
      </x:c>
      <x:c r="X1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12" s="24" t="str">
        <x:v>[]</x:v>
      </x:c>
      <x:c r="Z12" t="str">
        <x:v>COMPOSITE_OF_OBJECTS</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وطابِقه مع مصدره.</x:v>
      </x:c>
      <x:c r="X13" s="24"/>
      <x:c r="Y13" s="24" t="str">
        <x:v>[]</x:v>
      </x:c>
      <x:c r="Z13" t="str">
        <x:v>COMPOSITE_OF_OBJECTS</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100 exchange companies, 231 individual exchange establishments and 111 remittance agents. Selected decisions of the CBY-Aden Governor dated January to September 2026 suspend or withdraw the licences of named entities or close their premises; they are kept separate from the roster, and, because the roster's issue date is not stated, each would have to be matched to it entity by entity; that matching has not been done. Listing or licensing is not evidence of current operation.</x:v>
      </x:c>
      <x:c r="G14" s="28" t="str">
        <x:v>تضم القائمة الرسمية لعام 2026 للصرافة والحوالات، الصادرة عن البنك المركزي اليمني – عدن، كلًّا من 100 شركة صرافة و231 منشأة صرافة فردية و111 وكيلًا للحوالات.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ولأن القائمة لا تذكر تاريخ صدورها، يلزم مطابقة كل قرار معها جهةً جهة؛ ولم تُجرَ هذه المطابقة بعد.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Each decision is attached to the entities it names. Because the roster does not state its issue date, those entities would have to be matched with the roster one by one, without assuming either way whether it already reflects the decisions; that matching has not been done, and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ويُربط كل قرار بالجهات التي يسميها. ولأن القائمة لا تذكر تاريخ صدورها، يلزم مطابقة هذه الجهات مع القائمة جهةً جهة، من دون افتراض أن القائمة تعكس القرارات أو لا تعكسها؛ ولم تُجرَ هذه المطابقة بعد.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ودواعي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The evidence base holds no data on complaint outcomes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x:v>
      </x:c>
      <x:c r="Y15" s="24" t="str">
        <x:v>[]</x:v>
      </x:c>
      <x:c r="Z15" t="str">
        <x:v>BOUND_EXACT</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وطابِقه مع مصدره.</x:v>
      </x:c>
      <x:c r="X17" s="24"/>
      <x:c r="Y17" s="24" t="str">
        <x:v>[]</x:v>
      </x:c>
      <x:c r="Z17" t="str">
        <x:v>COMPOSITE_OF_OBJECTS</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3 October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3 أكتوبر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وطابِقه مع مصدره.</x:v>
      </x:c>
      <x:c r="X18" s="24"/>
      <x:c r="Y18" s="24" t="str">
        <x:v>[]</x:v>
      </x:c>
      <x:c r="Z18" t="str">
        <x:v>COMPOSITE_OF_OBJECTS</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row>
    <x:row r="21">
      <x:c r="A21" s="24" t="str">
        <x:v>CLM-016</x:v>
      </x:c>
      <x:c r="B21" s="24" t="str">
        <x:v>CLAIM</x:v>
      </x:c>
      <x:c r="C21" s="24" t="str">
        <x:v>/providers/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Why the numbers differ: the 2026 roster (record CLM-009) lists more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لماذا تختلف الأرقام: تُدرج قائمة 2026 (السجل CLM-009) قيودًا أكثر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x:v>
      </x:c>
      <x:c r="Y21" s="24" t="str">
        <x:v>[]</x:v>
      </x:c>
      <x:c r="Z21" t="str">
        <x:v>BOUND_EXACT</x:v>
      </x:c>
    </x:row>
    <x:row r="22">
      <x:c r="A22" s="24" t="str">
        <x:v>CLM-017</x:v>
      </x:c>
      <x:c r="B22" s="24" t="str">
        <x:v>CLAIM</x:v>
      </x:c>
      <x:c r="C22" s="24" t="str">
        <x:v>/payments/ | /methodology/</x:v>
      </x:c>
      <x:c r="D22" s="24" t="str">
        <x:v>Latest monthly point-of-sale (POS) release listed by CBY-Aden: June 2026 on its Arabic payments page, January 2026 on its English payments page (both checked 3 October 2026)</x:v>
      </x:c>
      <x:c r="E22" s="28" t="str">
        <x:v>أحدث إصدار شهري لنقاط البيع لدى البنك المركزي اليمني – عدن: يونيو 2026 في صفحة المدفوعات بالعربية، ويناير 2026 في صفحة المدفوعات بالإنجليزية (اطُّلع عليهما في 3 أكتوبر 2026)</x:v>
      </x:c>
      <x:c r="F22" s="24" t="str">
        <x:v>The Arabic payments page of the Central Bank of Yemen – Aden (CBY-Aden) lists monthly POS releases from March 2025 to June 2026; the English payments page lists them only to January 2026. When both pages were checked on 3 October 2026, June 2026 was the latest release listed on the Arabic page and January 2026 on the English page; no later month is inferred.</x:v>
      </x:c>
      <x:c r="G22" s="28" t="str">
        <x:v>تعرض صفحة المدفوعات بالعربية لدى البنك المركزي اليمني – عدن إصدارات شهرية لنقاط البيع من مارس 2025 إلى يونيو 2026، بينما لا تعرضها صفحة المدفوعات بالإنجليزية إلا حتى يناير 2026. وعند الاطلاع على الصفحتين في 3 أكتوبر 2026 كان إصدار يونيو 2026 أحدث إصدار مدرج في الصفحة بالعربية، وإصدار يناير 2026 أحدث إصدار مدرج في الصفحة بالإنجليزية، من دون استنتاج أي شهر لاحق.</x:v>
      </x:c>
      <x:c r="H22" s="24" t="str">
        <x:v>The most recent month covered by a monthly point-of-sale (POS) release on the Arabic and English payments pages of the Central Bank of Yemen – Aden (CBY-Aden), as checked on 3 October 2026.</x:v>
      </x:c>
      <x:c r="I22" s="28" t="str">
        <x:v>أحدث شهر يغطيه إصدار شهري لنقاط البيع في صفحتي المدفوعات بالعربية وبالإنجليزية لدى البنك المركزي اليمني – عدن، كما اطُّلع عليهما في 3 أكتوبر 2026.</x:v>
      </x:c>
      <x:c r="J22" s="24" t="str">
        <x:v>Monthly releases for March 2025 to June 2026 on the Arabic page (to January 2026 on the English page); pages checked on 3 October 2026</x:v>
      </x:c>
      <x:c r="K22" s="28" t="str">
        <x:v>إصدارات شهرية من مارس 2025 إلى يونيو 2026 في الصفحة بالعربية (وحتى يناير 2026 في الصفحة بالإنجليزية)؛ واطُّلع على الصفحتين في 3 أكتوبر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lists of monthly POS releases on the Arabic and English payments pages of the Central Bank of Yemen – Aden (CBY-Aden) were checked on 3 October 2026; the latest release listed was June 2026 on the Arabic page and January 2026 on the English page. Values are taken as published, and arithmetic discrepancies within the releases are kept.</x:v>
      </x:c>
      <x:c r="O22" s="28" t="str">
        <x:v>اطُّلع في 3 أكتوبر 2026 على قائمتي الإصدارات الشهرية لنقاط البيع في صفحتي المدفوعات بالعربية وبالإنجليزية لدى البنك المركزي اليمني – عدن، وكان آخر إصدار مدرج هو إصدار يونيو 2026 في الصفحة بالعربية وإصدار يناير 2026 في الصفحة بالإنجليزية. وتُؤخذ القيم كما نُشرت، مع الإبقاء على الفروق الحسابية الواردة في الإصدارات.</x:v>
      </x:c>
      <x:c r="P22" s="24" t="str">
        <x:v>It does not show that POS activity stopped after June 2026; it identifies only the latest monthly release listed on the Arabic payments page of the Central Bank of Yemen – Aden (CBY-Aden) when checked on 3 October 2026. That the English payments page still ends at January 2026 does not mean that no later release was published.</x:v>
      </x:c>
      <x:c r="Q22" s="28" t="str">
        <x:v>لا يعني ذلك توقف نشاط نقاط البيع بعد يونيو 2026؛ بل يحدد فقط أحدث إصدار شهري مدرج في صفحة المدفوعات بالعربية لدى البنك المركزي اليمني – عدن كما اطُّلع عليها في 3 أكتوبر 2026. ولا يعني توقف صفحة المدفوعات بالإنجليزية عند يناير 2026 أنه لم يصدر إصدار لاحق.</x:v>
      </x:c>
      <x:c r="R22" s="24" t="str">
        <x:v>June 2026 was the latest monthly POS release on the Arabic payments page of the Central Bank of Yemen – Aden (CBY-Aden) when checked on 3 October 2026; the English payments page still listed January 2026 as the latest. A later release, once listed, would replace it as the latest observation.</x:v>
      </x:c>
      <x:c r="S22" s="28" t="str">
        <x:v>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SRC-CBY-POS-2026-06; SRC-CBY-POS-2026-01; SRC-CBY-POS-PUBLICATION-PAGE-2026-001</x:v>
      </x:c>
      <x:c r="Y22" s="24" t="str">
        <x:v>[{"source_id":"SRC-CBY-POS-2026-06","url":"https://cby-ye.com/files/6a6f973c98c25.pdf","audit_state":"PASS_AUTHORITY_OR_PROVIDER_LOCATOR"},{"source_id":"SRC-CBY-POS-2026-01","url":"https://www.cby-ye.com/files/69b058d4bc306.pdf","audit_state":"PASS_AUTHORITY_OR_PROVIDER_LOCATOR"}]</x:v>
      </x:c>
      <x:c r="Z22" t="str">
        <x:v>BOUND_EXACT</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and the World Bank's implementation report of 8 April 2026 reports both as not operational at 31 August 2025, the day before the project became effective; no later operational state is recorded here.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ويفيد تقرير التنفيذ الصادر عن البنك الدولي والمؤرخ 8 أبريل 2026 بأنه لم يكن أيٌّ منهما قيد التشغيل في 31 أغسطس 2025، أي قبل يوم من نفاذ المشروع، ولا يسجل هذا الدليل أي وضع تشغيلي لاحق.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 SRC-WB-FMIIP-ISR2-2026-001</x:v>
      </x:c>
      <x:c r="Y23" s="24" t="str">
        <x:v>[]</x:v>
      </x:c>
      <x:c r="Z23" t="str">
        <x:v>BOUND_EXACT</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not subtracted from it to produce a count of providers operating now: each would first have to be matched with the roster entity by entity, and that matching has not been done.</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لا تُطرح منها لاستخراج عدد لمقدمي الخدمات العاملين حاليًا: إذ يلزم أولًا مطابقة كل قرار مع القائمة جهةً جهة، ولم تُجرَ هذه المطابقة بعد.</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not the full set of exchange and remittance providers</x:v>
      </x:c>
      <x:c r="M24" s="28" t="str">
        <x:v>الجهات المسماة في القرارات التي يشملها هذا السجل فقط؛ ولا تمثل المجموعة الكاملة لمقدمي خدمات الصرافة والحوالات.</x:v>
      </x:c>
      <x:c r="N24" s="24" t="str">
        <x:v>Each decision is taken from its official publication by the Central Bank of Yemen – Aden (CBY-Aden) and recorded by date, decision number, action and the class of entity it names. Entity names, where transcribed, are held only in this resource's internal source records and are not published on this site.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ورقمه ونوع الإجراء وفئة الجهات التي يسميها. وحيثما نُقلت أسماء الجهات، فهي محفوظة في سجل المصادر الداخلي لهذا المورد فقط، ولا تُنشر في هذا الموقع.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entity a decision names would have to be matched with the roster one by one, without assuming whether the roster already reflects the decision, and that matching has not been done.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يلزم مطابقة كل جهة يسميها القرار مع القائمة جهةً جهة، من دون افتراض أن القائمة تعكس القرار أو لا تعكسه، ولم تُجرَ هذه المطابقة بعد.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row>
    <x:row r="27">
      <x:c r="A27" s="24" t="str">
        <x:v>VIS-MFI-SPINE</x:v>
      </x:c>
      <x:c r="B27" s="24" t="str">
        <x:v>VISUAL</x:v>
      </x:c>
      <x:c r="C27" s="24" t="str">
        <x:v>/finance/</x:v>
      </x:c>
      <x:c r="D27" s="24" t="str">
        <x:v>Microfinance observations by date, with their gaps and breaks</x:v>
      </x:c>
      <x:c r="E27" s="28" t="str">
        <x:v>مشاهدات التمويل الأصغر بحسب التاريخ، مع فجواتها وانقطاعاتها</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7 November 2022 to 9 January 2023; World Bank data year 2022), 18.3% of men and 5.4% of women aged 15 and over in the areas the survey covered had an account, a difference of 12.9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من يملكون حسابًا 18.3% بين الرجال و5.4% بين النساء بعمر 15 سنة فأكثر في المناطق التي شملها المسح، بفارق 12.9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2022-11-07 to 2023-01-09</x:v>
      </x:c>
      <x:c r="K28" s="28" t="str">
        <x:v>موجة Findex 2021 (جولة المسح)؛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 minus women 5.4% (World Bank series FX.OWN.TOTL.MA.ZS minus FX.OWN.TOTL.FE.ZS, data year 2022).</x:v>
      </x:c>
      <x:c r="O28" s="28" t="str">
        <x:v>احتسبه هذا المورد بوصفه الفارق بين تقديرين موزونين نشرهما البنك الدولي للموجة نفسها: 18.3% للرجال ناقص 5.4% للنساء (سلسلة البنك الدولي FX.OWN.TOTL.MA.ZS ناقص FX.OWN.TOTL.FE.ZS، سنة البيانات 2022).</x:v>
      </x:c>
      <x:c r="P28" s="24" t="str">
        <x:v>It does not establish why the gap exists, and it is not the gender gap in 2026. | The survey frame excludes areas holding about 23% of the population, and more than a quarter of primary sampling units were replaced. No standard errors or confidence intervals are published with these values; the Yemen sample is 1,000 respondents, so subgroup values and the gap carry sampling uncertainty that is not quantified here.</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والفجوة بينها على عدم يقين ناتج عن المعاينة لا يُقدَّر كميًا هنا.</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x:v>
      </x:c>
      <x:c r="Y28" s="24" t="str">
        <x:v>[{"source_id":"SRC-WB-FINDEX-AGG-2022","url":"https://data.worldbank.org/indicator/FX.OWN.TOTL.ZS?locations=YE","audit_state":"PASS_AUTHORITY_OR_PROVIDER_LOCATOR"},{"source_id":"SRC-WB-FINDEX-AGG-2022","url":"https://data.worldbank.org/indicator/FX.OWN.TOTL.MA.ZS?locations=YE","audit_state":"PASS_AUTHORITY_OR_PROVIDER_LOCATOR"},{"source_id":"SRC-WB-FINDEX-AGG-2022","url":"https://data.worldbank.org/indicator/FX.OWN.TOTL.FE.ZS?locations=YE","audit_state":"PASS_AUTHORITY_OR_PROVIDER_LOCATOR"}]</x:v>
      </x:c>
      <x:c r="Z28" t="str">
        <x:v>BOUND_EXACT</x:v>
      </x:c>
    </x:row>
    <x:row r="29">
      <x:c r="A29" s="24" t="str">
        <x:v>CLM-007</x:v>
      </x:c>
      <x:c r="B29" s="24" t="str">
        <x:v>CLAIM</x:v>
      </x:c>
      <x:c r="C29" s="24" t="str">
        <x:v>/remittances/</x:v>
      </x:c>
      <x:c r="D29" s="24" t="str">
        <x:v>IMF remittance series: reported history, estimates and projections kept separate</x:v>
      </x:c>
      <x:c r="E29" s="28" t="str">
        <x:v>سلسلة التحويلات لدى صندوق النقد الدولي: القيم التاريخية المنشورة والتقديرات والتوقعات منفصلة</x:v>
      </x:c>
      <x:c r="F29" s="24" t="str">
        <x:v>The history in the IMF 2025 Article IV staff report gives a higher value for remittance inflows in 2024 than in 2018 (both values from the same document); the 2025 estimate and the 2026–2030 projections come from a later supplement and are estimates and projections, not reported values. The IMF series covers the IMF's analytical scope for areas under the internationally recognized government, so its level is not a whole-of-Yemen figure and is not comparable in level with the annual-report values of the Central Bank of Yemen – Aden (CBY-Aden).</x:v>
      </x:c>
      <x:c r="G29" s="28" t="str">
        <x:v>تورد السلسلة التاريخية في تقرير خبراء صندوق النقد الدولي لمشاورات المادة الرابعة لعام 2025 قيمةً للتحويلات الواردة في ميزان المدفوعات في 2024 أعلى منها في 2018 (والقيمتان من الوثيقة نفسها)، أما تقدير 2025 وتوقعات 2026–2030 فمصدرها ملحق لاحق، وهي تقدير وتوقعات، لا قيم مُبلَّغ عنها. وتغطي سلسلة الصندوق نطاقه التحليلي الخاص بالمناطق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reported history for 2018–2024, an estimate for 2025 and projections for 2026–2030.</x:v>
      </x:c>
      <x:c r="I29" s="28" t="str">
        <x:v>التحويلات السنوية في الحساب الخارجي بملايين الدولارات الأمريكية في سلسلة صندوق النقد الدولي: قيم تاريخية للفترة 2018–2024، وتقدير لعام 2025، وتوقعات للفترة 2026–2030.</x:v>
      </x:c>
      <x:c r="J29" s="24" t="str">
        <x:v>Reported history 2018–2024 (staff calculations); estimate 2025; projection 2026–2030</x:v>
      </x:c>
      <x:c r="K29" s="28" t="str">
        <x:v>قيم تاريخية للفترة 2018–2024 (حسابات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based on staff calculations (Table 4, external sector), and 2025–2030 in a later supplement to the same consultation (Supplementary Table 2).</x:v>
      </x:c>
      <x:c r="O29"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الحوالة غير الرسمية،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الحوالة غير الرسمية.</x:v>
      </x:c>
      <x:c r="R29" s="24" t="str">
        <x:v>The latest reported value is for 2024 (staff calculations). The 2025 value is an estimate and the 2026–2030 values are projections; none of them is a later observation. The 2024 value should not be read as a current level unless a newer comparable observation is published.</x:v>
      </x:c>
      <x:c r="S29" s="28" t="str">
        <x:v>آخر قيمة تاريخية واردة في المصدر هي لعام 2024 (حسابات الخبراء). أما قيمة 2025 فتقدير، وقيم 2026–2030 توقعات، وليست أي منها مشاهدة لاحقة. ولا تُقرأ قيمة 2024 على أنها مستوى حالي ما لم تُنشر مشاهدة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unless the project's access-point definitions and deduplication rules are documented.</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ما لم تُوثَّق تعريفات المشروع لنقاط الوصول وقواعد 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project's access-point definitions and deduplication rules are not documented in the evidence base, no combined or comparable figure is produced.</x:v>
      </x:c>
      <x:c r="O32" s="28" t="str">
        <x:v>يُقارن تعريف مؤشر المشروع بتعريفات الأعداد الإدارية وقواعد عدّها؛ ولأن تعريفات المشروع لنقاط الوصول وقواعد إزالة الازدواج غير موثقة في قاعدة الأدلة،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row>
    <x:row r="33">
      <x:c r="A33" s="24" t="str">
        <x:v>QUAL-001</x:v>
      </x:c>
      <x:c r="B33" s="24" t="str">
        <x:v>QUALITATIVE</x:v>
      </x:c>
      <x:c r="C33" s="24" t="str">
        <x:v>/finance/ | /evidence/</x:v>
      </x:c>
      <x:c r="D33" s="24" t="str">
        <x:v>OECD: institutional fragility and weak formal access (qualitative interpretation)</x:v>
      </x:c>
      <x:c r="E33" s="28" t="str">
        <x:v>OECD: الهشاشة المؤسسية وضعف الوصول الرسمي (تفسير نوعي)</x:v>
      </x:c>
      <x:c r="F33" s="24" t="str">
        <x:v>The Organisation for Economic Co-operation and Development (OECD) links fragmented institutions, supervisory gaps and weak formal access to financial-sector fragility and low trust.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x:v>
      </x:c>
      <x:c r="J33" s="24" t="str">
        <x:v>Published 2026; underlying periods vary</x:v>
      </x:c>
      <x:c r="K33" s="28" t="str">
        <x:v>منشور في 2026؛ وتختلف الفترات الأساسية</x:v>
      </x:c>
      <x:c r="L33" s="24" t="str">
        <x:v>OECD/EU institutional analysis based on consultations, workshops and sector analysis.</x:v>
      </x:c>
      <x:c r="M33" s="28" t="str">
        <x:v>تحليل مؤسسي ضمن مشروع مشترك بين منظمة التعاون الاقتصادي والتنمية والاتحاد الأوروبي، يستند إلى مشاورات وورش عمل وتحليل قطاعي.</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x:v>
      </x:c>
      <x:c r="P33" s="24" t="str">
        <x:v>It cannot establish prevalence, a quantified level of trust or a causal effect size.</x:v>
      </x:c>
      <x:c r="Q33" s="28" t="str">
        <x:v>لا يثبت الانتشار أو مستوى ثقة كميًا أو حجم أثر سببي.</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x:v>
      </x:c>
      <x:c r="Y33" s="24" t="str">
        <x:v>[{"source_id":"SRC-OECD-YEM-RESILIENCE-001","url":"https://doi.org/10.1787/81ed2898-en","audit_state":"SECONDARY_RESEARCH_LOCATOR"}]</x:v>
      </x:c>
      <x:c r="Z33" t="str">
        <x:v>BOUND_EXACT</x:v>
      </x:c>
    </x:row>
    <x:row r="34">
      <x:c r="A34" s="24" t="str">
        <x:v>MFI-SPINE-2015-Q4</x:v>
      </x:c>
      <x:c r="B34" s="24" t="str">
        <x:v>TEMPORAL_OBSERVATION</x:v>
      </x:c>
      <x:c r="C34" s="24" t="str">
        <x:v>/finance/</x:v>
      </x:c>
      <x:c r="D34" s="24" t="str">
        <x:v>2015 Q4 microfinance observation with a portfolio contradiction</x:v>
      </x:c>
      <x:c r="E34" s="28" t="str">
        <x:v>مشاهدة التمويل الأصغر للربع الرابع 2015 مع تعارض في قيمة محفظة القروض</x:v>
      </x:c>
      <x:c r="F34"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4"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4" s="24" t="str">
        <x:v>Active borrowers, savers and outstanding loan portfolio (nominal Yemeni rials) reported for SFD-supported microfinance programmes at 31 December 2015.</x:v>
      </x:c>
      <x:c r="I34"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4" s="24" t="str">
        <x:v>31 December 2015</x:v>
      </x:c>
      <x:c r="K34" s="28" t="str">
        <x:v>31 ديسمبر 2015</x:v>
      </x:c>
      <x:c r="L34" s="24" t="str">
        <x:v>SFD-supported reporting programmes.</x:v>
      </x:c>
      <x:c r="M34" s="28" t="str">
        <x:v>برامج التمويل الأصغر المدعومة من الصندوق الاجتماعي للتنمية ضمن نطاق الإبلاغ.</x:v>
      </x:c>
      <x:c r="N34" s="24" t="str">
        <x:v>Figures taken from the end-2015 publication of the Social Fund for Development (SFD), which contains a provider table and narrative text; where the two disagree, on the portfolio, both values are recorded and neither is adopted.</x:v>
      </x:c>
      <x:c r="O34"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4" s="24" t="str">
        <x:v>It does not establish the 2015 Q4 portfolio value: the source's table (YER 6.741 billion) and its narrative (near YER 9 billion) disagree, so neither value is adopted and the series is not smoothed.</x:v>
      </x:c>
      <x:c r="Q34"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4" s="24" t="str">
        <x:v>The observation in this record is dated 31 December 2015. It should not be read as describing a later period.</x:v>
      </x:c>
      <x:c r="S34" s="28" t="str">
        <x:v>تعود المشاهدة في هذا السجل إلى 31 ديسمبر 2015، ولا تُقرأ على أنها تصف فترة لاحقة.</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SRC-SFD-Q4-2015-001</x:v>
      </x:c>
      <x:c r="Y34" s="24" t="str">
        <x:v>[{"source_id":"SRC-SFD-Q4-2015-001","url":"https://www.sfd-yemen.org/uploads/issues/72E%282%29-20170212-184036.pdf","audit_state":"PASS_AUTHORITY_OR_PROVIDER_LOCATOR"}]</x:v>
      </x:c>
      <x:c r="Z34" t="str">
        <x:v>BOUND_EXACT</x:v>
      </x:c>
    </x:row>
    <x:row r="35">
      <x:c r="A35" s="24" t="str">
        <x:v>MF-ORIG-001+002</x:v>
      </x:c>
      <x:c r="B35" s="24" t="str">
        <x:v>PAIRED_CHRONOLOGY</x:v>
      </x:c>
      <x:c r="C35" s="24" t="str">
        <x:v>/finance/</x:v>
      </x:c>
      <x:c r="D35" s="24" t="str">
        <x:v>1997 institutional origin and 1998 operational programme start</x:v>
      </x:c>
      <x:c r="E35" s="28" t="str">
        <x:v>الأصل المؤسسي في 1997 وبداية البرنامج التشغيلي في 1998</x:v>
      </x:c>
      <x:c r="F35" s="24" t="str">
        <x:v>History hosted by the Social Fund for Development (SFD) supports two distinct milestones: 1997 as the institutional origin and start of microfinance, and 1998 as the start of active programme involvement. The two dates answer different historical questions.</x:v>
      </x:c>
      <x:c r="G35"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x:v>
      </x:c>
      <x:c r="H35"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5"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5" s="24" t="str">
        <x:v>1997 / 1998</x:v>
      </x:c>
      <x:c r="K35" s="28" t="str">
        <x:v>1997 / 1998</x:v>
      </x:c>
      <x:c r="L35" s="24" t="str">
        <x:v>SFD institutional and programme history.</x:v>
      </x:c>
      <x:c r="M35" s="28" t="str">
        <x:v>التاريخ المؤسسي والبرنامجي للصندوق الاجتماعي للتنمية.</x:v>
      </x:c>
      <x:c r="N35" s="24" t="str">
        <x:v>Dates taken from SFD's own historical material, a 2012 document hosted by SFD and a 2004 SFD newsletter, and ordered by date; each date is kept at the layer its source describes, and the two are not forced into agreement.</x:v>
      </x:c>
      <x:c r="O35"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5" s="24" t="str">
        <x:v>It does not establish one start date for Yemeni microfinance as a whole.</x:v>
      </x:c>
      <x:c r="Q35" s="28" t="str">
        <x:v>لا يثبت هذا الدليل تاريخًا واحدًا لنشأة التمويل الأصغر في اليمن ككل.</x:v>
      </x:c>
      <x:c r="R35" s="24" t="str">
        <x:v>This record describes historical milestones in 1997 and 1998. It holds no later observation and does not describe the sector today.</x:v>
      </x:c>
      <x:c r="S35" s="28" t="str">
        <x:v>يصف هذا السجل محطتين تاريخيتين في عامي 1997 و1998، ولا يتضمن مشاهدة لاحقة، ولا يصف وضع القطاع اليوم.</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SRC-SFD-MF-HISTORY-TOR-2012-001; SRC-SFD-HIST-2004-Q3-001</x:v>
      </x:c>
      <x:c r="Y35" s="24" t="str">
        <x:v>[{"source_id":"SRC-SFD-MF-HISTORY-TOR-2012-001","url":"https://web.archive.org/web/20241006192210/https://sfd-yemen.org/uploads/issues/Microfinance%20Islamic%20Products%20Study(TOR)-20130109-132034.pdf","audit_state":"PASS_AUTHORITY_OR_PROVIDER_LOCATOR"},{"source_id":"SRC-SFD-HIST-2004-Q3-001","url":"https://www.sfd-yemen.org/uploads/issues/Newsletter-2004-Q3-20120331-111302.pdf","audit_state":"PASS_AUTHORITY_OR_PROVIDER_LOCATOR"}]</x:v>
      </x:c>
      <x:c r="Z35" t="str">
        <x:v>BOUND_EXACT</x:v>
      </x:c>
    </x:row>
    <x:row r="36">
      <x:c r="A36" s="24" t="str">
        <x:v>CLM-013</x:v>
      </x:c>
      <x:c r="B36" s="24" t="str">
        <x:v>CLAIM</x:v>
      </x:c>
      <x:c r="C36" s="24" t="str">
        <x:v>/people/ | /reforms/</x:v>
      </x:c>
      <x:c r="D36" s="24" t="str">
        <x:v>Financial-literacy activity does not establish capability outcomes</x:v>
      </x:c>
      <x:c r="E36" s="28" t="str">
        <x:v>أنشطة الثقافة المالية لا تثبت نتائج في القدرات المالية</x:v>
      </x:c>
      <x:c r="F36"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6"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6" s="24" t="str">
        <x:v>Two separate measures: the OECD/INFE 2023 financial-literacy and financial well-being scores (out of 100) for the Yemen sample, and records of Global Money Week financial-literacy activities from March 2023 to March 2025.</x:v>
      </x:c>
      <x:c r="I36"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6" s="24" t="str">
        <x:v>OECD/INFE 2023 survey; CBY-Aden programme activity, March 2023 to March 2025</x:v>
      </x:c>
      <x:c r="K36" s="28" t="str">
        <x:v>مسح OECD/INFE لعام 2023؛ وأنشطة البنك المركزي اليمني – عدن من مارس 2023 إلى مارس 2025</x:v>
      </x:c>
      <x:c r="L36" s="24" t="str">
        <x:v>Two separate evidence universes: the Yemen sample in the OECD/INFE 2023 adult financial-literacy survey, and source-stated Global Money Week audiences and participating bodies; not one combined population.</x:v>
      </x:c>
      <x:c r="M36"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6"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6"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6"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6"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6" s="24" t="str">
        <x:v>The capability scores are from the OECD/INFE 2023 survey; the programme-activity record currently extends through March 2025. Neither is a 2026 capability outcome.</x:v>
      </x:c>
      <x:c r="S36" s="28" t="str">
        <x:v>تعود نتائج القدرات إلى مسح OECD/INFE لعام 2023، وتمتد سجلات نشاط البرنامج المتاحة حاليًا حتى مارس 2025. ولا يمثل أي منهما نتيجة لقدرات السكان في 2026.</x:v>
      </x:c>
      <x:c r="T36" s="24" t="str">
        <x:v>This record is updated when a newer comparable population measure of financial capability, a programme evaluation or a correction to the source evidence is published.</x:v>
      </x:c>
      <x:c r="U36" s="28" t="str">
        <x:v>يُحدَّث هذا السجل عند توفر قياس سكاني أحدث قابل للمقارنة للقدرات، أو تقييم للبرنامج، أو تصحيح في أدلة المصدر.</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SRC-CBY-GMW-2023-001; SRC-CBY-GMW-2024-001; SRC-CBY-GMW-2025-001; SRC-OECD-INFE-2023</x:v>
      </x:c>
      <x:c r="Y36"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6" t="str">
        <x:v>BOUND_EXACT</x:v>
      </x:c>
    </x:row>
    <x:row r="37">
      <x:c r="A37" s="24" t="str">
        <x:v>CLM-023</x:v>
      </x:c>
      <x:c r="B37" s="24" t="str">
        <x:v>CLAIM</x:v>
      </x:c>
      <x:c r="C37" s="24" t="str">
        <x:v>/methodology/ | /people/</x:v>
      </x:c>
      <x:c r="D37" s="24" t="str">
        <x:v>What the Yemen Findex 2021 study contains</x:v>
      </x:c>
      <x:c r="E37" s="28" t="str">
        <x:v>ما تتضمنه دراسة Findex 2021 الخاصة باليمن</x:v>
      </x:c>
      <x:c r="F37" s="24" t="str">
        <x:v>The Yemen Global Findex 2021 study file has 1,000 respondents and 113 variables; Yemen fieldwork ran from 7 November 2022 to 9 January 2023 and all population estimates require survey weights.</x:v>
      </x:c>
      <x:c r="G37" s="28" t="str">
        <x:v>يضم ملف دراسة اليمن ضمن موجة 2021 من المؤشر العالمي للشمول المالي 1,000 مستجيب و113 متغيرًا. ونُفذ العمل الميداني من 7 نوفمبر 2022 إلى 9 يناير 2023، وتتطلب جميع تقديرات السكان استخدام أوزان المسح.</x:v>
      </x:c>
      <x:c r="H37" s="24" t="str">
        <x:v>This record describes the Yemen Findex 2021 study file (1,000 respondents, 113 variables, survey weights, documented coverage and fieldwork from 7 November 2022 to 9 January 2023); it reports no population value.</x:v>
      </x:c>
      <x:c r="I37"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7" s="24" t="str">
        <x:v>Global Findex 2021 wave; Yemen fieldwork 7 November 2022 to 9 January 2023.</x:v>
      </x:c>
      <x:c r="K37" s="28" t="str">
        <x:v>موجة Global Findex 2021؛ ونُفذ العمل الميداني في اليمن من 7 نوفمبر 2022 إلى 9 يناير 2023.</x:v>
      </x:c>
      <x:c r="L37" s="24" t="str">
        <x:v>The Yemen Findex study file contains 1,000 respondents and 113 variables; population inference applies only through the survey design, weights and documented coverage.</x:v>
      </x:c>
      <x:c r="M37" s="28" t="str">
        <x:v>يضم ملف دراسة Findex لليمن 1,000 مستجيب و113 متغيرًا؛ ولا تُستنتج نتائج سكانية إلا باستخدام تصميم المسح وأوزانه وتغطيته الموثقة.</x:v>
      </x:c>
      <x:c r="N37" s="24" t="str">
        <x:v>Taken from the World Bank study metadata for the Yemen Findex 2021 file, including its variable documentation. Population estimates are produced only with the survey weights; raw case percentages are not population estimates.</x:v>
      </x:c>
      <x:c r="O37"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7" s="24" t="str">
        <x:v>Raw case percentages in the study documentation are not population estimates.</x:v>
      </x:c>
      <x:c r="Q37" s="28" t="str">
        <x:v>نسب الحالات الخام الواردة في توثيق الدراسة ليست تقديرات سكانية.</x:v>
      </x:c>
      <x:c r="R37" s="24" t="str">
        <x:v>This description applies to the Findex 2021 study of Yemen, with fieldwork from 7 November 2022 to 9 January 2023. It changes only if the World Bank revises the study documentation or file, or a newer Yemen wave is published.</x:v>
      </x:c>
      <x:c r="S37"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7" s="24" t="str">
        <x:v>This record is updated when an authoritative source is revised or replaced, a newer comparable observation becomes available, the definition, population or method changes, or the conditions for public use change.</x:v>
      </x:c>
      <x:c r="U3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SRC-WB-FINDEX-001</x:v>
      </x:c>
      <x:c r="Y37" s="24" t="str">
        <x:v>[{"source_id":"SRC-WB-FINDEX-001","url":"https://microdata.worldbank.org/catalog/5862","audit_state":"PASS_AUTHORITY_OR_PROVIDER_LOCATOR"}]</x:v>
      </x:c>
      <x:c r="Z37" t="str">
        <x:v>BOUND_EXACT</x:v>
      </x:c>
    </x:row>
    <x:row r="38">
      <x:c r="A38" s="24" t="str">
        <x:v>CLM-024</x:v>
      </x:c>
      <x:c r="B38" s="24" t="str">
        <x:v>CLAIM</x:v>
      </x:c>
      <x:c r="C38" s="24" t="str">
        <x:v>/methodology/ | /evidence/</x:v>
      </x:c>
      <x:c r="D38" s="24" t="str">
        <x:v>Raw case shares are not population estimates</x:v>
      </x:c>
      <x:c r="E38" s="28" t="str">
        <x:v>نسب الحالات الخام ليست تقديرات للسكان</x:v>
      </x:c>
      <x:c r="F38" s="24" t="str">
        <x:v>World Bank variable pages expose raw sample case counts and percentages for the Yemen Findex file, but explicitly warn that those figures cannot be interpreted as summary statistics of the population of interest.</x:v>
      </x:c>
      <x:c r="G38"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8" s="24" t="str">
        <x:v>This record sets out a measurement rule for the Yemen Findex 2021 file: the unweighted counts and percentages of respondents shown on World Bank variable pages describe the sample, not the adult population; it reports no value.</x:v>
      </x:c>
      <x:c r="I38"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8" s="24" t="str">
        <x:v>World Bank variable pages for the Global Findex 2021 Yemen microdata; Yemen fieldwork 2022–2023.</x:v>
      </x:c>
      <x:c r="K38" s="28" t="str">
        <x:v>صفحات المتغيرات لدى البنك الدولي لملف البيانات الجزئية Findex 2021 الخاص باليمن؛ والعمل الميداني في 2022–2023.</x:v>
      </x:c>
      <x:c r="L38" s="24" t="str">
        <x:v>Raw respondent cases displayed on World Bank variable pages; these are unweighted sample cases, not the population of Yemen.</x:v>
      </x:c>
      <x:c r="M38" s="28" t="str">
        <x:v>الحالات الخام للمستجيبين كما تظهر في صفحات المتغيرات لدى البنك الدولي؛ وهي حالات عينة غير موزونة وليست سكان اليمن.</x:v>
      </x:c>
      <x:c r="N38"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8"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8" s="24" t="str">
        <x:v>The raw, unweighted case percentages shown on the World Bank variable pages are not estimates for Yemen's adult population and are not reported in this resource.</x:v>
      </x:c>
      <x:c r="Q38" s="28" t="str">
        <x:v>نسب الحالات الخام غير الموزونة الظاهرة في صفحات المتغيرات لدى البنك الدولي ليست تقديرات لسكان اليمن البالغين، ولا تُعرض في هذا المورد.</x:v>
      </x:c>
      <x:c r="R38" s="24" t="str">
        <x:v>This rule applies to the World Bank variable pages for the Yemen Findex 2021 file as currently published, and holds until a revised file version or weighted population estimates are published.</x:v>
      </x:c>
      <x:c r="S38"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x:v>
      </x:c>
      <x:c r="Z38" t="str">
        <x:v>BOUND_EXACT</x:v>
      </x:c>
    </x:row>
    <x:row r="39">
      <x:c r="A39" s="24" t="str">
        <x:v>CLM-025</x:v>
      </x:c>
      <x:c r="B39" s="24" t="str">
        <x:v>CLAIM</x:v>
      </x:c>
      <x:c r="C39" s="24" t="str">
        <x:v>/people/ | /methodology/</x:v>
      </x:c>
      <x:c r="D39" s="24" t="str">
        <x:v>Geographic coverage limits of the Global Findex 2021 wave in Yemen</x:v>
      </x:c>
      <x:c r="E39" s="28" t="str">
        <x:v>حدود التغطية الجغرافية لموجة Global Findex 2021 في اليمن</x:v>
      </x:c>
      <x:c r="F39"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39"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39" s="24" t="str">
        <x:v>A documented limitation on the geographic coverage of the latest Yemen Findex observation.</x:v>
      </x:c>
      <x:c r="I39" s="28" t="str">
        <x:v>قيد موثق على التغطية الجغرافية لأحدث مشاهدة متاحة لليمن في Findex.</x:v>
      </x:c>
      <x:c r="J39" s="24" t="str">
        <x:v>2021 Findex wave (survey round); Yemen fieldwork 2022-11-07 to 2023-01-09</x:v>
      </x:c>
      <x:c r="K39" s="28" t="str">
        <x:v>موجة Findex 2021 (جولة المسح)؛ العمل الميداني في اليمن من 2022-11-07 إلى 2023-01-09</x:v>
      </x:c>
      <x:c r="L39" s="24" t="str">
        <x:v>The population of Yemen and the survey frame of the Findex 2021 study</x:v>
      </x:c>
      <x:c r="M39" s="28" t="str">
        <x:v>سكان اليمن وإطار المعاينة في دراسة Findex 2021</x:v>
      </x:c>
      <x:c r="N39" s="24" t="str">
        <x:v>World Bank study metadata for the Yemen Findex 2021 file</x:v>
      </x:c>
      <x:c r="O39" s="28" t="str">
        <x:v>البيانات الوصفية للدراسة لدى البنك الدولي لملف Findex 2021 الخاص باليمن</x:v>
      </x:c>
      <x:c r="P39" s="24" t="str">
        <x:v>The wave does not cover all of Yemen, and its results cannot be used to map financial inclusion by governorate. | The survey frame excludes areas holding about 23% of the population, and more than a quarter of primary sampling units were replaced.</x:v>
      </x:c>
      <x:c r="Q39"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39" s="24" t="str">
        <x:v>These coverage limits apply to the 2021 Findex wave, with Yemen fieldwork from 7 November 2022 to 9 January 2023, the latest wave available for Yemen. They describe that survey only, not any later one. The Global Findex 2025 edition adds no newer Yemen observation.</x:v>
      </x:c>
      <x:c r="S39"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 ولا تضيف نسخة Global Findex 2025 مشاهدة أحدث لليمن.</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[{"source_id":"SRC-WB-FINDEX-001","url":"https://microdata.worldbank.org/catalog/5862","audit_state":"PASS_AUTHORITY_OR_PROVIDER_LOCATOR"}]</x:v>
      </x:c>
      <x:c r="Z39" t="str">
        <x:v>BOUND_EXACT</x:v>
      </x:c>
    </x:row>
    <x:row r="40">
      <x:c r="A40" s="24" t="str">
        <x:v>CLM-026</x:v>
      </x:c>
      <x:c r="B40" s="24" t="str">
        <x:v>CLAIM</x:v>
      </x:c>
      <x:c r="C40" s="24" t="str">
        <x:v>/people/ | /methodology/ | /measurement/</x:v>
      </x:c>
      <x:c r="D40" s="24" t="str">
        <x:v>Demand-side measures defined; custom estimates not yet published</x:v>
      </x:c>
      <x:c r="E40" s="28" t="str">
        <x:v>مقاييس جانب الطلب محددة، والتقديرات المخصصة لم تُنشر بعد</x:v>
      </x:c>
      <x:c r="F40" s="24" t="str">
        <x:v>A 32-metric demand-side panel has been specified across access, barriers, digital use, saving, borrowing, resilience, remittances, income flows, financial worry and connectivity. Custom weighted estimates are not published yet because they require authorized respondent-level data, correct survey weights and successful reproduction of the official benchmark values.</x:v>
      </x:c>
      <x:c r="G40"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ولم تُنشر التقديرات الموزونة المخصصة بعد، لأنها تتطلب بيانات على مستوى المستجيبين مصرحًا باستخدامها، وأوزان المسح الصحيحة، وإعادة إنتاج القيم المرجعية الرسمية بنجاح.</x:v>
      </x:c>
      <x:c r="H40" s="24" t="str">
        <x:v>This record describes a set of 32 defined people-side measures for the Yemen Findex 2021 study whose weighted estimates have not yet been produced; it reports no value.</x:v>
      </x:c>
      <x:c r="I40" s="28" t="str">
        <x:v>يصف هذا السجل مجموعة من 32 مقياسًا محددًا على جانب الأفراد لدراسة Findex 2021 الخاصة باليمن، لم تُنتج بعد تقديراتها الموزونة، ولا يعرض أي قيمة.</x:v>
      </x:c>
      <x:c r="J40" s="24" t="str">
        <x:v>Current demand-side specification for the Yemen Findex 2021 study; custom weighted estimates are not yet public.</x:v>
      </x:c>
      <x:c r="K40" s="28" t="str">
        <x:v>المواصفة الحالية لمقاييس جانب الطلب في دراسة اليمن ضمن Findex 2021؛ ولم تُنشر بعد التقديرات الموزونة المخصصة.</x:v>
      </x:c>
      <x:c r="L40" s="24" t="str">
        <x:v>A pre-specified 32-metric panel to be estimated from authorized respondent-level data using the survey weights; metric definitions exist, while the custom estimates still require computation and validation.</x:v>
      </x:c>
      <x:c r="M40" s="28" t="str">
        <x:v>مجموعة محددة مسبقًا من 32 مقياسًا تُقدَّر من بيانات المستجيبين المصرح باستخدامها وبأوزان المسح؛ التعريفات جاهزة، بينما ما تزال التقديرات المخصصة تحتاج إلى الاحتساب والتحقق.</x:v>
      </x:c>
      <x:c r="N40" s="24" t="str">
        <x:v>The variables, definitions and derivations were specified in advance. Numeric estimates are published only after authorized respondent-level data are available, the correct survey weights are applied and the official benchmark values are reproduced.</x:v>
      </x:c>
      <x:c r="O40" s="28" t="str">
        <x:v>تُحدد المتغيرات والتعريفات وطريقة الاحتساب مسبقًا. ولا تُنشر التقديرات الرقمية إلا بعد توفر بيانات المستجيبين المصرح باستخدامها، وتطبيق أوزان المسح الصحيحة، وإعادة إنتاج القيم المرجعية الرسمية.</x:v>
      </x:c>
      <x:c r="P40" s="24" t="str">
        <x:v>The 32 specified measures are planned, not measured: none is yet a published indicator, because the weighted estimates have not been reproduced and checked against official benchmarks.</x:v>
      </x:c>
      <x:c r="Q40" s="28" t="str">
        <x:v>المقاييس المحددة، وعددها 32 مقياسًا، مخططة وليست مقاسة: فلا يمثل أي منها مؤشرًا منشورًا بعد، لأن تقديراتها الموزونة لم يُعَد إنتاجها ولم يُتحقق منها مقابل القيم المرجعية الرسمية.</x:v>
      </x:c>
      <x:c r="R40" s="24" t="str">
        <x:v>The panel specification applies to the Yemen Findex 2021 study. Numeric estimates remain unpublished until the weighted calculations are reproduced and validated; a newer wave would require an updated panel.</x:v>
      </x:c>
      <x:c r="S40" s="28" t="str">
        <x:v>تنطبق مواصفة هذه المجموعة على دراسة اليمن ضمن Findex 2021. وتبقى التقديرات الرقمية غير منشورة حتى تُعاد الحسابات الموزونة ويُتحقق منها؛ وتحتاج أي موجة أحدث إلى تحديث مجموعة المقاييس.</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 SRC-WB-FINDEX-AGG-2022</x:v>
      </x:c>
      <x:c r="Y40" s="24" t="str">
        <x:v>[]</x:v>
      </x:c>
      <x:c r="Z40" t="str">
        <x:v>BOUND_EXACT</x:v>
      </x:c>
    </x:row>
    <x:row r="41">
      <x:c r="A41" s="24" t="str">
        <x:v>VIS-FINDEX-SAMPLE-SUPPORT</x:v>
      </x:c>
      <x:c r="B41" s="24" t="str">
        <x:v>VISUAL</x:v>
      </x:c>
      <x:c r="C41" s="24" t="str">
        <x:v>/methodology/ | /evidence/</x:v>
      </x:c>
      <x:c r="D41" s="24" t="str">
        <x:v>How many respondents answered each Findex question</x:v>
      </x:c>
      <x:c r="E41" s="28" t="str">
        <x:v>عدد المستجيبين عن كل سؤال في مسح Findex</x:v>
      </x:c>
      <x:c r="F41" s="24" t="str">
        <x:v>Weighted estimates for the 2021 wave have not yet been produced, so no values are shown. When they are published, each will be accompanied by the number of respondents who gave a valid answer, the number of missing or invalid answers, and a note where a question was asked only of a sub-group; these counts describe the sample and are not population estimates.</x:v>
      </x:c>
      <x:c r="G41" s="28" t="str">
        <x:v>لم تُنتج بعد تقديرات موزونة لموجة 2021، لذلك لا تُعرض أي قيم. وعند نشرها سيُرفق بكل تقدير عدد المستجيبين الذين قدموا إجابة صالحة، وعدد الإجابات المفقودة أو غير الصالحة، وملاحظة حين يُطرح السؤال على فئة فرعية فقط؛ وهذه الأعداد تصف العينة وليست تقديرات سكانية.</x:v>
      </x:c>
      <x:c r="H41" s="24" t="str">
        <x:v>Counts of respondents in the Yemen Findex 2021 sample who gave valid, missing or invalid answers to each question, and the sub-group each question applies to; these describe the sample, not the adult population.</x:v>
      </x:c>
      <x:c r="I41"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1" s="24" t="str">
        <x:v>2021 Findex wave; Yemen fieldwork November 2022 to January 2023</x:v>
      </x:c>
      <x:c r="K41" s="28" t="str">
        <x:v>موجة Findex 2021؛ العمل الميداني في اليمن من نوفمبر 2022 إلى يناير 2023</x:v>
      </x:c>
      <x:c r="L41" s="24" t="str">
        <x:v>Valid, missing or invalid responses and the sub-group asked each question in the Findex data examined; information describing the sample, not population estimates.</x:v>
      </x:c>
      <x:c r="M41"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1" s="24" t="str">
        <x:v>Counts come from the World Bank study metadata for the Yemen Findex 2021 file (1,000 respondents), which records valid and missing or invalid cases for each variable and the sub-group asked each question.</x:v>
      </x:c>
      <x:c r="O41"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1" s="24" t="str">
        <x:v>Raw case percentages are not population prevalence rates, and indicators are not ranked by them.</x:v>
      </x:c>
      <x:c r="Q41" s="28" t="str">
        <x:v>نسب الحالات الخام ليست معدلات انتشار بين السكان، ولا تُرتَّب المؤشرات بحسبها.</x:v>
      </x:c>
      <x:c r="R41" s="24" t="str">
        <x:v>No values are shown yet. When they are produced, they will refer to the 2021 Findex wave, with Yemen fieldwork from 7 November 2022 to 9 January 2023, the latest wave available for Yemen.</x:v>
      </x:c>
      <x:c r="S41" s="28" t="str">
        <x:v>لا تُعرض أي قيم بعد. وعند إنتاجها ستعود إلى موجة Findex 2021، التي نُفذ عملها الميداني في اليمن من 7 نوفمبر 2022 إلى 9 يناير 2023، وهي أحدث موجة متاحة لليمن.</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x:v>
      </x:c>
      <x:c r="Y41" s="24" t="str">
        <x:v>[]</x:v>
      </x:c>
      <x:c r="Z41" t="str">
        <x:v>BOUND_EXACT</x:v>
      </x:c>
      <x:c r="AA41" t="str">
        <x:v>NO_GOVERNED_CONTRACT__TABLE_ONLY</x:v>
      </x:c>
    </x:row>
    <x:row r="42">
      <x:c r="A42" s="24" t="str">
        <x:v>VIS-FINDEX-ACCESS-USE</x:v>
      </x:c>
      <x:c r="B42" s="24" t="str">
        <x:v>VISUAL</x:v>
      </x:c>
      <x:c r="C42" s="24" t="str">
        <x:v>/people/</x:v>
      </x:c>
      <x:c r="D42" s="24" t="str">
        <x:v>Account ownership, account use and digital use: three separate measures</x:v>
      </x:c>
      <x:c r="E42" s="28" t="str">
        <x:v>امتلاك الحساب واستخدامه والاستخدام الرقمي: ثلاثة مقاييس منفصلة</x:v>
      </x:c>
      <x:c r="F42" s="24" t="str">
        <x:v>In the 2021 Global Findex wave for Yemen (fieldwork 7 November 2022 to 9 January 2023), 11.9% of adults aged 15 and over in the areas the survey covered had an account. Weighted estimates of how many adults used an account, or used one digitally, have not yet been produced for this wave, so ownership is the only level available; owning an account does not show that it is used.</x:v>
      </x:c>
      <x:c r="G42" s="28" t="str">
        <x:v>في موجة 2021 من المؤشر العالمي للشمول المالي (Global Findex) الخاصة باليمن (العمل الميداني من 7 نوفمبر 2022 إلى 9 يناير 2023)، بلغت نسبة البالغين بعمر 15 سنة فأكثر في المناطق التي شملها المسح ممن يملكون حسابًا 11.9%. ولم تُنتج بعد لهذه الموجة تقديرات موزونة لنسبة من استخدموا حسابًا أو استخدموه رقميًا، لذلك يبقى امتلاك الحساب المستوى الوحيد المتاح؛ وامتلاك الحساب لا يدل على استخدامه.</x:v>
      </x:c>
      <x:c r="H42" s="24" t="str">
        <x:v>Three separate Findex measures for adults aged 15 and over in the areas the survey covered in the 2021 wave: account ownership, account use and digital use, each with its own population base; only account ownership has a published value.</x:v>
      </x:c>
      <x:c r="I42" s="28" t="str">
        <x:v>ثلاثة مقاييس منفصلة في مسح Findex للبالغين بعمر 15 سنة فأكثر في المناطق التي شملها المسح في موجة 2021: امتلاك الحساب، واستخدام الحساب، والاستخدام الرقمي، ولكل منها قاعدة سكانية خاصة؛ ولا تتوفر قيمة منشورة إلا لامتلاك الحساب.</x:v>
      </x:c>
      <x:c r="J42" s="24" t="str">
        <x:v>2021 wave / Yemen fieldwork 2022-11 to 2023-01</x:v>
      </x:c>
      <x:c r="K42" s="28" t="str">
        <x:v>موجة 2021 / العمل الميداني في اليمن من 2022-11 إلى 2023-01</x:v>
      </x:c>
      <x:c r="L42" s="24" t="str">
        <x:v>Findex account-ownership, account-use and digital-use indicators, each indicator with its own population and measurement base. The survey frame excludes Al Baydaa, Al Jawf, Mareb, Sadah, Socotra and several districts elsewhere: areas with about 23% of the population.</x:v>
      </x:c>
      <x:c r="M42" s="28" t="str">
        <x:v>مؤشرات امتلاك الحساب واستخدامه والاستخدام الرقمي في Findex، مع مجتمع وقاعدة قياس منفصلين لكل مؤشر. ويستبعد إطار المسح محافظات البيضاء والجوف ومأرب وصعدة وسقطرى وعددًا من المديريات في محافظات أخرى، وهي مناطق تضم نحو 23% من السكان.</x:v>
      </x:c>
      <x:c r="N42" s="24" t="str">
        <x:v>Account ownership is the weighted estimate published by the World Bank for the 2021 wave (data year 2022). Account-use and digital-use estimates require weighted calculation from the respondent-level data, which has not yet been completed.</x:v>
      </x:c>
      <x:c r="O42" s="28" t="str">
        <x:v>امتلاك الحساب هو التقدير الموزون الذي نشره البنك الدولي لموجة 2021 (سنة البيانات 2022). أما تقديرات استخدام الحساب والاستخدام الرقمي فتتطلب احتسابًا موزونًا من بيانات المستجيبين، ولم يُستكمل هذا الاحتساب بعد.</x:v>
      </x:c>
      <x:c r="P42" s="24" t="str">
        <x:v>Owning an account does not establish that it is used, and use does not establish digital use. The three measures have different population bases, and it is not established that each group sits inside the previous one, so they are not stages of a single funnel. Raw case percentages from the study documentation are not population estimates.</x:v>
      </x:c>
      <x:c r="Q42" s="28" t="str">
        <x:v>امتلاك الحساب لا يثبت استخدامه، والاستخدام لا يثبت الاستخدام الرقمي. ولكل من المقاييس الثلاثة قاعدة سكانية مختلفة، ولم يثبت أن كل فئة تندرج ضمن الفئة السابقة لها، لذلك لا تمثل مراحل في مسار واحد متتابع. ونسب الحالات الخام الواردة في توثيق الدراسة ليست تقديرات سكانية.</x:v>
      </x:c>
      <x:c r="R42" s="24" t="str">
        <x:v>The ownership value refers to the 2021 Findex wave, reported by the World Bank for 2022, with Yemen fieldwork from 7 November 2022 to 9 January 2023; the Global Findex 2025 edition adds no newer Yemen observation. Account-use and digital-use values have not yet been produced.</x:v>
      </x:c>
      <x:c r="S42" s="28" t="str">
        <x:v>تعود قيمة امتلاك الحساب إلى موجة Findex 2021، التي نشر البنك الدولي قيمتها لسنة 2022، ونُفذ عملها الميداني في اليمن من 7 نوفمبر 2022 إلى 9 يناير 2023، ولا تضيف نسخة Global Findex 2025 مشاهدة أحدث لليمن. أما قيم استخدام الحساب والاستخدام الرقمي فلم تُنتج بعد.</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x:v>
      </x:c>
      <x:c r="Y42" s="24" t="str">
        <x:v>[]</x:v>
      </x:c>
      <x:c r="Z42" t="str">
        <x:v>BOUND_EXACT</x:v>
      </x:c>
      <x:c r="AA42" t="str">
        <x:v>NO_GOVERNED_CONTRACT__TABLE_ONLY</x:v>
      </x:c>
    </x:row>
    <x:row r="43">
      <x:c r="A43" s="24" t="str">
        <x:v>VIS-FINDEX-BARRIERS</x:v>
      </x:c>
      <x:c r="B43" s="24" t="str">
        <x:v>VISUAL</x:v>
      </x:c>
      <x:c r="C43" s="24" t="str">
        <x:v>/people/</x:v>
      </x:c>
      <x:c r="D43" s="24" t="str">
        <x:v>Reasons adults give for not having an account</x:v>
      </x:c>
      <x:c r="E43" s="28" t="str">
        <x:v>الأسباب التي يذكرها البالغون لعدم امتلاك حساب</x:v>
      </x:c>
      <x:c r="F43" s="24" t="str">
        <x:v>Weighted estimates of the reasons that adults without an account give for not having one have not yet been produced for the 2021 wave, so no values are shown. When published, they will apply only to adults without an account and will state the number of respondents, the use of survey weights and how 'don't know' and refused answers are treated; they will not be shares of all adults.</x:v>
      </x:c>
      <x:c r="G43" s="28" t="str">
        <x:v>لم تُنتج بعد تقديرات موزونة للأسباب التي يذكرها البالغون الذين لا يملكون حسابًا في موجة 2021، لذلك لا تُعرض أي قيم. وعند نشرها ستنطبق فقط على البالغين الذين لا يملكون حسابًا، مع بيان عدد المستجيبين واستخدام أوزان المسح ومعالجة إجابات «لا أعرف» والرفض؛ ولن تمثل نسبًا من جميع البالغين.</x:v>
      </x:c>
      <x:c r="H43" s="24" t="str">
        <x:v>The reasons that adults aged 15 and over without an account, in the areas the survey covered, give for not having one, as asked in the Yemen Findex 2021 survey; no weighted values have yet been produced.</x:v>
      </x:c>
      <x:c r="I43" s="28" t="str">
        <x:v>الأسباب التي يذكرها البالغون بعمر 15 سنة فأكثر الذين لا يملكون حسابًا، في المناطق التي شملها المسح، لعدم امتلاكهم حسابًا، كما وردت في مسح Findex 2021 لليمن؛ ولم تُنتج بعد قيم موزونة لها.</x:v>
      </x:c>
      <x:c r="J43" s="24" t="str">
        <x:v>2021 Findex wave; Yemen fieldwork November 2022 to January 2023</x:v>
      </x:c>
      <x:c r="K43" s="28" t="str">
        <x:v>موجة Findex 2021؛ العمل الميداني في اليمن من نوفمبر 2022 إلى يناير 2023</x:v>
      </x:c>
      <x:c r="L43" s="24" t="str">
        <x:v>Adults without an account, within the measurement base of the Findex barrier indicators. The survey frame excludes Al Baydaa, Al Jawf, Mareb, Sadah, Socotra and several districts elsewhere: areas with about 23% of the population.</x:v>
      </x:c>
      <x:c r="M43" s="28" t="str">
        <x:v>البالغون الذين لا يملكون حسابًا ضمن قاعدة الاحتساب الخاصة بمؤشرات العوائق في Findex. ويستبعد إطار المسح محافظات البيضاء والجوف ومأرب وصعدة وسقطرى وعددًا من المديريات في محافظات أخرى، وهي مناطق تضم نحو 23% من السكان.</x:v>
      </x:c>
      <x:c r="N43" s="24" t="str">
        <x:v>The estimates require weighted calculation from the respondent-level Findex 2021 data, with adults who do not have an account as the base; that calculation has not yet been completed.</x:v>
      </x:c>
      <x:c r="O43" s="28" t="str">
        <x:v>تتطلب التقديرات احتسابًا موزونًا من بيانات المستجيبين في مسح Findex 2021، على أساس البالغين الذين لا يملكون حسابًا؛ ولم يُستكمل هذا الاحتساب بعد.</x:v>
      </x:c>
      <x:c r="P43" s="24" t="str">
        <x:v>Raw case percentages from the study documentation describe the sample, not the weighted population. A reason that adults give for not having an account does not establish that it is what keeps them without one.</x:v>
      </x:c>
      <x:c r="Q43"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3" s="24" t="str">
        <x:v>No values are shown yet. When they are produced, they will refer to the 2021 Findex wave, with Yemen fieldwork from 7 November 2022 to 9 January 2023, the latest wave available for Yemen. The Global Findex 2025 edition adds no newer Yemen observation.</x:v>
      </x:c>
      <x:c r="S43"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row>
    <x:row r="44">
      <x:c r="A44" s="24" t="str">
        <x:v>VIS-FINDEX-RESILIENCE</x:v>
      </x:c>
      <x:c r="B44" s="24" t="str">
        <x:v>VISUAL</x:v>
      </x:c>
      <x:c r="C44" s="24" t="str">
        <x:v>/people/</x:v>
      </x:c>
      <x:c r="D44" s="24" t="str">
        <x:v>Can an adult raise emergency funds — in 7 days versus 30?</x:v>
      </x:c>
      <x:c r="E44" s="28" t="str">
        <x:v>هل يستطيع البالغ تدبير أموال للطوارئ خلال 7 أيام مقارنة بـ30 يومًا؟</x:v>
      </x:c>
      <x:c r="F44" s="24" t="str">
        <x:v>Weighted estimates of whether adults could raise emergency funds within 7 days or within 30 days have not yet been produced for the 2021 wave, so no values are shown. When published, they will keep the source's answer categories, including being unable to raise the money, with the population base and missing answers stated, and the two time horizons will be compared only after a valid weighted calculation; the categories will not be combined into a single resilience score.</x:v>
      </x:c>
      <x:c r="G44" s="28" t="str">
        <x:v>لم تُنتج بعد تقديرات موزونة لقدرة البالغين على تدبير أموال للطوارئ خلال 7 أيام أو خلال 30 يومًا في موجة 2021، لذلك لا تُعرض أي قيم. وعند نشرها ستحافظ على فئات الإجابة كما وردت في المصدر، بما فيها عدم القدرة على تدبير المال، مع بيان قاعدة الاحتساب والإجابات المفقودة، ولن يُقارن الأفقان الزمنيان إلا بعد احتساب موزون صالح؛ ولن تُدمج الفئات في درجة واحدة للصمود.</x:v>
      </x:c>
      <x:c r="H44" s="24" t="str">
        <x:v>Whether adults aged 15 and over in the areas the survey covered could raise emergency funds within 7 days or within 30 days, in the answer categories of the Yemen Findex 2021 survey; no weighted values have yet been produced.</x:v>
      </x:c>
      <x:c r="I44" s="28" t="str">
        <x:v>قدرة البالغين بعمر 15 سنة فأكثر في المناطق التي شملها المسح على تدبير أموال للطوارئ خلال 7 أيام أو خلال 30 يومًا، وفق فئات الإجابة في مسح Findex 2021 لليمن؛ ولم تُنتج بعد قيم موزونة لها.</x:v>
      </x:c>
      <x:c r="J44" s="24" t="str">
        <x:v>2021 Findex wave; Yemen fieldwork November 2022 to January 2023</x:v>
      </x:c>
      <x:c r="K44" s="28" t="str">
        <x:v>موجة Findex 2021؛ العمل الميداني في اليمن من نوفمبر 2022 إلى يناير 2023</x:v>
      </x:c>
      <x:c r="L44" s="24" t="str">
        <x:v>The populations and categories defined by the Findex questions on raising money and financial resilience, with the measurement base and missing answers kept for each question. The survey frame excludes Al Baydaa, Al Jawf, Mareb, Sadah, Socotra and several districts elsewhere: areas with about 23% of the population.</x:v>
      </x:c>
      <x:c r="M44" s="28" t="str">
        <x:v>المجتمعات والفئات التي تعرفها أسئلة القدرة على تدبير المال والصمود المالي في Findex، مع الحفاظ على قاعدة الاحتساب والإجابات المفقودة لكل سؤال. ويستبعد إطار المسح محافظات البيضاء والجوف ومأرب وصعدة وسقطرى وعددًا من المديريات في محافظات أخرى، وهي مناطق تضم نحو 23% من السكان.</x:v>
      </x:c>
      <x:c r="N44" s="24" t="str">
        <x:v>The estimates require weighted calculation from the respondent-level Findex 2021 data, keeping the source's answer categories, the inability to raise money, the population base and missing answers; that calculation has not yet been completed.</x:v>
      </x:c>
      <x:c r="O44" s="28" t="str">
        <x:v>تتطلب التقديرات احتسابًا موزونًا من بيانات المستجيبين في مسح Findex 2021، مع الحفاظ على فئات الإجابة في المصدر وحالة عدم القدرة على تدبير المال وقاعدة الاحتساب والإجابات المفقودة؛ ولم يُستكمل هذا الاحتساب بعد.</x:v>
      </x:c>
      <x:c r="P44" s="24" t="str">
        <x:v>The ordered answer categories do not form a resilience score, and no separately approved method for combining them is used here.</x:v>
      </x:c>
      <x:c r="Q44" s="28" t="str">
        <x:v>لا تشكل فئات الإجابة الترتيبية درجة مركبة للصمود، ولا تُستخدم هنا طريقة معتمدة مستقلة لدمجها.</x:v>
      </x:c>
      <x:c r="R44" s="24" t="str">
        <x:v>No values are shown yet. When they are produced, they will refer to the 2021 Findex wave, with Yemen fieldwork from 7 November 2022 to 9 January 2023, the latest wave available for Yemen. The Global Findex 2025 edition adds no newer Yemen observation.</x:v>
      </x:c>
      <x:c r="S44"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x:v>
      </x:c>
      <x:c r="Y44" s="24" t="str">
        <x:v>[]</x:v>
      </x:c>
      <x:c r="Z44" t="str">
        <x:v>BOUND_EXACT</x:v>
      </x:c>
      <x:c r="AA44" t="str">
        <x:v>NO_GOVERNED_CONTRACT__TABLE_ONLY</x:v>
      </x:c>
    </x:row>
    <x:row r="45">
      <x:c r="A45" s="24" t="str">
        <x:v>VIS-FINDEX-FLOW-CHANNELS</x:v>
      </x:c>
      <x:c r="B45" s="24" t="str">
        <x:v>VISUAL</x:v>
      </x:c>
      <x:c r="C45" s="24" t="str">
        <x:v>/people/ | /remittances/</x:v>
      </x:c>
      <x:c r="D45" s="24" t="str">
        <x:v>How money reaches people — wages, government transfers, agricultural payments and domestic remittances</x:v>
      </x:c>
      <x:c r="E45" s="28" t="str">
        <x:v>كيف تصل الأموال إلى الأفراد: الأجور والتحويلات الحكومية والمدفوعات الزراعية والحوالات المحلية</x:v>
      </x:c>
      <x:c r="F45" s="24" t="str">
        <x:v>Weighted estimates for the 2021 wave of how adults received wages, government transfers, agricultural payments and domestic remittances, and through which channels, have not yet been produced, so no values are shown. When published, each will apply only to the adults who received that type of payment, and channels (account, mobile phone, cash or card) will be shown only where the questionnaire asks about them; these values are not administrative transaction volumes.</x:v>
      </x:c>
      <x:c r="G45" s="28" t="str">
        <x:v>لم تُنتج بعد تقديرات موزونة لموجة 2021 عن كيفية تلقي البالغين للأجور والتحويلات الحكومية والمدفوعات الزراعية والحوالات المحلية، ولا عن القنوات التي تلقوها عبرها، لذلك لا تُعرض أي قيم. وعند نشرها سينطبق كل تقدير فقط على البالغين الذين تلقوا ذلك النوع من المدفوعات، ولن تُعرض القنوات (الحساب أو الهاتف المحمول أو النقد أو البطاقة) إلا حيث يسأل الاستبيان عنها؛ وهذه القيم ليست أحجام معاملات إدارية.</x:v>
      </x:c>
      <x:c r="H45" s="24" t="str">
        <x:v>Among adults aged 15 and over in the areas the survey covered who received wages, government transfers, agricultural payments or domestic remittances, the channels through which they received them, as asked in the Yemen Findex 2021 survey; no weighted values have yet been produced.</x:v>
      </x:c>
      <x:c r="I45" s="28" t="str">
        <x:v>القنوات التي تلقى عبرها البالغون بعمر 15 سنة فأكثر، في المناطق التي شملها المسح، أجورهم أو تحويلاتهم الحكومية أو مدفوعاتهم الزراعية أو حوالاتهم المحلية، بين من تلقوا كلًّا منها، كما وردت في مسح Findex 2021 لليمن؛ ولم تُنتج بعد قيم موزونة لها.</x:v>
      </x:c>
      <x:c r="J45" s="24" t="str">
        <x:v>2021 wave / Yemen fieldwork 2022-23</x:v>
      </x:c>
      <x:c r="K45" s="28" t="str">
        <x:v>موجة 2021 / العمل الميداني في اليمن 2022–2023</x:v>
      </x:c>
      <x:c r="L45" s="24" t="str">
        <x:v>Adults who received wages, government transfers, agricultural payments or remittances, each group taken separately in Findex; not shares of all adults unless the source says so. The survey frame excludes Al Baydaa, Al Jawf, Mareb, Sadah, Socotra and several districts elsewhere: areas with about 23% of the population.</x:v>
      </x:c>
      <x:c r="M45" s="28" t="str">
        <x:v>البالغون الذين تلقوا أجورًا أو تحويلات حكومية أو مدفوعات زراعية أو حوالات، كل فئة على حدة، في Findex؛ ولا تُعامل كنسبة من جميع البالغين ما لم ينص المصدر على ذلك. ويستبعد إطار المسح محافظات البيضاء والجوف ومأرب وصعدة وسقطرى وعددًا من المديريات في محافظات أخرى، وهي مناطق تضم نحو 23% من السكان.</x:v>
      </x:c>
      <x:c r="N45" s="24" t="str">
        <x:v>The estimates require weighted calculation from the respondent-level Findex 2021 data, with each payment type measured among the adults who received it and channels recorded only where the questionnaire asks about them; that calculation has not yet been completed.</x:v>
      </x:c>
      <x:c r="O45" s="28" t="str">
        <x:v>تتطلب التقديرات احتسابًا موزونًا من بيانات المستجيبين في مسح Findex 2021، بحيث يُقاس كل نوع من المدفوعات بين البالغين الذين تلقوه، ولا تُسجل القنوات إلا حيث يسأل الاستبيان عنها؛ ولم يُستكمل هذا الاحتساب بعد.</x:v>
      </x:c>
      <x:c r="P45" s="24" t="str">
        <x:v>Channel shares among recipients are not shares of all adults, and they do not measure programme outcomes or remittance volumes for the economy as a whole.</x:v>
      </x:c>
      <x:c r="Q45" s="28" t="str">
        <x:v>حصص القنوات بين المتلقين ليست نسبًا من جميع البالغين، ولا تقيس نتائج البرامج ولا حجم التحويلات على المستوى الكلي.</x:v>
      </x:c>
      <x:c r="R45" s="24" t="str">
        <x:v>No values are shown yet. When they are produced, they will refer to the 2021 Findex wave, with Yemen fieldwork from 7 November 2022 to 9 January 2023, the latest wave available for Yemen. The Global Findex 2025 edition adds no newer Yemen observation.</x:v>
      </x:c>
      <x:c r="S45"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x:v>
      </x:c>
      <x:c r="Y45" s="24" t="str">
        <x:v>[]</x:v>
      </x:c>
      <x:c r="Z45" t="str">
        <x:v>BOUND_EXACT</x:v>
      </x:c>
      <x:c r="AA45" t="str">
        <x:v>NO_GOVERNED_CONTRACT__TABLE_ONLY</x:v>
      </x:c>
    </x:row>
    <x:row r="46">
      <x:c r="A46" s="24" t="str">
        <x:v>CLM-027</x:v>
      </x:c>
      <x:c r="B46" s="24" t="str">
        <x:v>CLAIM</x:v>
      </x:c>
      <x:c r="C46" s="24" t="str">
        <x:v>/people/</x:v>
      </x:c>
      <x:c r="D46" s="24" t="str">
        <x:v>Three observed survey waves, not an annual series</x:v>
      </x:c>
      <x:c r="E46" s="28" t="str">
        <x:v>ثلاث موجات مسحية مرصودة، لا سلسلة سنوية</x:v>
      </x:c>
      <x:c r="F46"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6"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6" s="24" t="str">
        <x:v>Account ownership among adults aged 15 and over in Yemen, as published by the World Bank for three separate survey waves (2011, 2014 and 2022); the three values do not form an annual series.</x:v>
      </x:c>
      <x:c r="I46"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6" s="24" t="str">
        <x:v>2011 / 2014 / 2022</x:v>
      </x:c>
      <x:c r="K46" s="28" t="str">
        <x:v>2011 / 2014 / 2022</x:v>
      </x:c>
      <x:c r="L46" s="24" t="str">
        <x:v>Adults 15+ under each source wave's survey coverage</x:v>
      </x:c>
      <x:c r="M46" s="28" t="str">
        <x:v>الأشخاص بعمر 15 سنة فأكثر ضمن التغطية الخاصة بكل موجة مسحية.</x:v>
      </x:c>
      <x:c r="N46" s="24" t="str">
        <x:v>Official weighted public aggregates; no annual interpolation</x:v>
      </x:c>
      <x:c r="O46" s="28" t="str">
        <x:v>إجماليات عامة موزونة ورسمية؛ من دون استيفاء سنوي بين الموجات.</x:v>
      </x:c>
      <x:c r="P46" s="24" t="str">
        <x:v>It does not establish values for the years between waves or a smooth growth path, and 11.9% is not a 2026 rate. | The 2011 comparator counts accounts at financial institutions only, which differs from the later account definition that also counts mobile-money use; the 2014 values are rounded; the 2022 value comes from fieldwork conducted from 7 November 2022 to 9 January 2023 that excluded areas holding about 23% of the population.</x:v>
      </x:c>
      <x:c r="Q46"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ويختلف بذلك عن تعريف الحساب اللاحق الذي يشمل أيضًا استخدام خدمات الأموال عبر الهاتف المحمول؛ وقيم 2014 مقرّبة؛ وتأتي قيمة 2022 من عمل ميداني نُفذ من 7 نوفمبر 2022 إلى 9 يناير 2023 واستبعد مناطق يقطنها نحو 23% من السكان.</x:v>
      </x:c>
      <x:c r="R46" s="24" t="str">
        <x:v>The latest of the three waves is the 2021 Findex wave, reported by the World Bank for 2022 (Yemen fieldwork 7 November 2022 to 9 January 2023); the Global Findex 2025 edition adds no newer Yemen observation. The series should not be read as describing any later year.</x:v>
      </x:c>
      <x:c r="S46" s="28" t="str">
        <x:v>أحدث الموجات الثلاث هي موجة Findex 2021، التي نشر البنك الدولي قيمتها لسنة 2022 (العمل الميداني في اليمن من 7 نوفمبر 2022 إلى 9 يناير 2023)، ولا تضيف نسخة Global Findex 2025 مشاهدة أحدث لليمن. ولا تُقرأ هذه القيم على أنها تصف أي سنة لاحقة.</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SRC-WB-FINDEX-LDB-2015-001; SRC-WB-FINDEX-AGG-2022</x:v>
      </x:c>
      <x:c r="Y46" s="24" t="str">
        <x:v>[]</x:v>
      </x:c>
      <x:c r="Z46" t="str">
        <x:v>BOUND_EXACT</x:v>
      </x:c>
    </x:row>
    <x:row r="47">
      <x:c r="A47" s="24" t="str">
        <x:v>CLM-028</x:v>
      </x:c>
      <x:c r="B47" s="24" t="str">
        <x:v>CLAIM</x:v>
      </x:c>
      <x:c r="C47" s="24" t="str">
        <x:v>/people/</x:v>
      </x:c>
      <x:c r="D47" s="24" t="str">
        <x:v>Historical borrowing patterns in 2014</x:v>
      </x:c>
      <x:c r="E47" s="28" t="str">
        <x:v>أنماط اقتراض تاريخية في 2014</x:v>
      </x:c>
      <x:c r="F47" s="24" t="str">
        <x:v>In the 2014 World Bank weighted country profile, 65.9% of adults reported borrowing any money, while 51.7% reported borrowing from family or friends, 15.0% from a private informal lender and 0.4% from a financial institution.</x:v>
      </x:c>
      <x:c r="G47"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7" s="24" t="str">
        <x:v>Shares of adults aged 15 and over who reported borrowing any money, or borrowing from particular sources, as published in the World Bank's 2014 weighted country profile for Yemen.</x:v>
      </x:c>
      <x:c r="I47"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7" s="24" t="str">
        <x:v>2014</x:v>
      </x:c>
      <x:c r="K47" s="28" t="str">
        <x:v>2014</x:v>
      </x:c>
      <x:c r="L47" s="24" t="str">
        <x:v>Civilian non-institutionalized population age 15+; some channel measures use sender, recipient or account-holder sub-groups</x:v>
      </x:c>
      <x:c r="M47" s="28" t="str">
        <x:v>السكان المدنيون بعمر 15 سنة فأكثر من غير نزلاء المؤسسات؛ وبعض مؤشرات القنوات تستخدم مجتمعات فرعية من المرسلين أو المستلمين أو أصحاب الحسابات.</x:v>
      </x:c>
      <x:c r="N47" s="24" t="str">
        <x:v>Official weighted public country-profile aggregates</x:v>
      </x:c>
      <x:c r="O47" s="28" t="str">
        <x:v>إجماليات موزونة منشورة رسميًا في ملف الدولة.</x:v>
      </x:c>
      <x:c r="P47"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7"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7"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7"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x:v>
      </x:c>
      <x:c r="Y47" s="24" t="str">
        <x:v>[]</x:v>
      </x:c>
      <x:c r="Z47" t="str">
        <x:v>BOUND_EXACT</x:v>
      </x:c>
    </x:row>
    <x:row r="48">
      <x:c r="A48" s="24" t="str">
        <x:v>CLM-029</x:v>
      </x:c>
      <x:c r="B48" s="24" t="str">
        <x:v>CLAIM</x:v>
      </x:c>
      <x:c r="C48" s="24" t="str">
        <x:v>/people/</x:v>
      </x:c>
      <x:c r="D48" s="24" t="str">
        <x:v>Historical saving patterns in 2014</x:v>
      </x:c>
      <x:c r="E48" s="28" t="str">
        <x:v>أنماط ادخار تاريخية في 2014</x:v>
      </x:c>
      <x:c r="F48" s="24" t="str">
        <x:v>In the 2014 World Bank weighted country profile, 20.6% of adults reported saving any money, compared with 0.9% reporting saving at a financial institution and 4.5% using a savings club or person outside the family.</x:v>
      </x:c>
      <x:c r="G48"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8" s="24" t="str">
        <x:v>Shares of adults aged 15 and over who reported saving any money, or saving in particular ways, as published in the World Bank's 2014 weighted country profile for Yemen.</x:v>
      </x:c>
      <x:c r="I48"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8"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8"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row>
    <x:row r="49">
      <x:c r="A49" s="24" t="str">
        <x:v>CLM-030</x:v>
      </x:c>
      <x:c r="B49" s="24" t="str">
        <x:v>CLAIM</x:v>
      </x:c>
      <x:c r="C49" s="24" t="str">
        <x:v>/people/ | /remittances/</x:v>
      </x:c>
      <x:c r="D49" s="24" t="str">
        <x:v>Domestic-remittance pathways in 2014</x:v>
      </x:c>
      <x:c r="E49" s="28" t="str">
        <x:v>مسارات الحوالات المحلية في 2014</x:v>
      </x:c>
      <x:c r="F49" s="24" t="str">
        <x:v>The 2014 World Bank weighted country profile reports 18.3% of adults receiving domestic remittances. Among recipients, 31.1% received via a money transfer operator, 2.0% via a financial institution and 0.0% via mobile phone in that source profile.</x:v>
      </x:c>
      <x:c r="G49"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49"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49"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49"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49"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9"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row>
    <x:row r="50">
      <x:c r="A50" s="24" t="str">
        <x:v>CLM-031</x:v>
      </x:c>
      <x:c r="B50" s="24" t="str">
        <x:v>CLAIM</x:v>
      </x:c>
      <x:c r="C50" s="24" t="str">
        <x:v>/people/ | /evidence/</x:v>
      </x:c>
      <x:c r="D50" s="24" t="str">
        <x:v>There is no single latest year for all people-side evidence</x:v>
      </x:c>
      <x:c r="E50" s="28" t="str">
        <x:v>لا توجد سنة واحدة هي الأحدث لكل أدلة الأفراد</x:v>
      </x:c>
      <x:c r="F50" s="24" t="str">
        <x:v>The people-side evidence here does not have one latest year: account ownership has a latest verified Yemen aggregate in 2022, while weighted public evidence currently available here for account use, saving, borrowing and domestic-remittance behaviour is centered on 2014; latest-wave resilience and barrier values remain unpublished until the required weighted computation is complete. Historical results stay separate from any newer estimate until that computation and its verification are complete.</x:v>
      </x:c>
      <x:c r="G50" s="28" t="str">
        <x:v>لا توجد سنة حديثة واحدة لجميع أدلة جانب الأفراد: أحدث قياس موزون منشور لامتلاك الحساب يعود إلى 2022، بينما تتركز الأدلة العامة الموزونة المتاحة هنا لاستخدام الحساب والادخار والاقتراض والحوالات المحلية في 2014؛ ولا تُنشر بعد قيم الصمود المالي وأسباب عدم امتلاك الحساب للموجة الأحدث إلى أن تكتمل الحسابات الموزونة اللازمة. وتبقى النتائج التاريخية منفصلة عن أي تقدير أحدث إلى أن يكتمل هذا الاحتساب ويُتحقق منه.</x:v>
      </x:c>
      <x:c r="H50" s="24" t="str">
        <x:v>An evidence-timing comparison showing that different people-side measures have different latest observation dates.</x:v>
      </x:c>
      <x:c r="I50" s="28" t="str">
        <x:v>مقارنة في توقيت الأدلة توضح أن مقاييس جانب الأفراد لا تشترك جميعها في أحدث سنة قياس واحدة.</x:v>
      </x:c>
      <x:c r="J50" s="24" t="str">
        <x:v>Function-specific people-side evidence: weighted public evidence on financial behaviour centered on 2014, with the latest verified account-ownership value from the Findex 2021 wave and Yemen fieldwork in 2022–2023.</x:v>
      </x:c>
      <x:c r="K50" s="28" t="str">
        <x:v>أدلة جانب الأفراد تختلف بحسب الوظيفة المالية: تتركز الأدلة العامة الموزونة للسلوك في 2014، بينما يأتي أحدث قياس موثق لامتلاك الحساب من موجة Findex 2021 والعمل الميداني في اليمن خلال 2022–2023.</x:v>
      </x:c>
      <x:c r="L50" s="24" t="str">
        <x:v>People-side evidence by financial function; each function keeps its own survey wave, population base, denominator and publication status.</x:v>
      </x:c>
      <x:c r="M50" s="28" t="str">
        <x:v>أدلة تخص الأشخاص بحسب الوظيفة المالية، مع احتفاظ كل وظيفة بموجة المسح ومجتمع القياس وقاعدة الاحتساب وحالة النشر الخاصة بها.</x:v>
      </x:c>
      <x:c r="N50" s="24" t="str">
        <x:v>Each people-side financial function is matched to its latest documented weighted evidence: account ownership to the 2021 Findex wave (World Bank data year 2022), and account use, saving, borrowing and domestic remittances to the World Bank's 2014 country profile. No single 'latest year' is applied across functions.</x:v>
      </x:c>
      <x:c r="O50" s="28" t="str">
        <x:v>تُربط كل وظيفة مالية على جانب الأفراد بأحدث دليل موزون موثق لها: امتلاك الحساب بموجة Findex 2021 (سنة البيانات لدى البنك الدولي 2022)، واستخدام الحساب والادخار والاقتراض والحوالات المحلية بالملف القطري للبنك الدولي لعام 2014؛ ولا تُفرض سنة واحدة «أحدث» على جميع الوظائف.</x:v>
      </x:c>
      <x:c r="P50" s="24" t="str">
        <x:v>The 2014 behaviour values do not describe current behaviour, and raw case percentages from the 2021 wave are not a substitute for weighted population estimates.</x:v>
      </x:c>
      <x:c r="Q50" s="28" t="str">
        <x:v>لا تصف قيم السلوك لعام 2014 السلوك الحالي، ولا تُعد نسب الحالات الخام في موجة 2021 بديلًا عن التقديرات السكانية الموزونة.</x:v>
      </x:c>
      <x:c r="R50" s="24" t="str">
        <x:v>Each function has its own latest observation: account ownership refers to the 2021 Findex wave, with Yemen fieldwork from 7 November 2022 to 9 January 2023; account use, saving, borrowing and domestic remittances refer to 2014. Each is updated separately when newer comparable evidence is published.</x:v>
      </x:c>
      <x:c r="S50" s="28" t="str">
        <x:v>لكل وظيفة أحدث مشاهدة خاصة بها: يعود امتلاك الحساب إلى موجة Findex 2021، التي نُفذ عملها الميداني في اليمن من 7 نوفمبر 2022 إلى 9 يناير 2023، ويعود استخدام الحساب والادخار والاقتراض والحوالات المحلية إلى 2014. ويُحدَّث كل منها على حدة عند نشر دليل أحدث قابل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view assembles other evidence records. Check each linked record against its own source.</x:v>
      </x:c>
      <x:c r="W50" s="28" t="str">
        <x:v>يجمع هذا العرض سجلات أدلة أخرى، فطابِق كل سجل مرتبط مع مصدره.</x:v>
      </x:c>
      <x:c r="X50" s="24" t="str">
        <x:v>CLM-001; CLM-027; CLM-028; CLM-029; CLM-030</x:v>
      </x:c>
      <x:c r="Y50" s="24" t="str">
        <x:v>[]</x:v>
      </x:c>
      <x:c r="Z50" t="str">
        <x:v>COMPOSITE_OF_OBJECTS</x:v>
      </x:c>
    </x:row>
    <x:row r="51">
      <x:c r="A51" s="24" t="str">
        <x:v>VIS-FINDEX-OBSERVED-WAVES</x:v>
      </x:c>
      <x:c r="B51" s="24" t="str">
        <x:v>VISUAL</x:v>
      </x:c>
      <x:c r="C51" s="24" t="str">
        <x:v>/people/</x:v>
      </x:c>
      <x:c r="D51" s="24" t="str">
        <x:v>Account ownership — observed waves, not an annual line</x:v>
      </x:c>
      <x:c r="E51" s="28" t="str">
        <x:v>امتلاك الحساب في موجات Findex المرصودة لليمن، لا سلسلة سنوية</x:v>
      </x:c>
      <x:c r="F51" s="24" t="str">
        <x:v>The World Bank has published three observations of account ownership for Yemen: 3.7% in 2011 (accounts at financial institutions only), 6.4% in 2014 and 11.9% in the 2021 Findex wave, reported for 2022 from fieldwork conducted from 7 November 2022 to 9 January 2023 that excluded areas holding about 23% of the population. The years between these waves were not observed.</x:v>
      </x:c>
      <x:c r="G51"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7 نوفمبر 2022 إلى 9 يناير 2023 واستبعد مناطق يقطنها نحو 23% من السكان. ولم تُرصد السنوات الواقعة بين هذه الموجات.</x:v>
      </x:c>
      <x:c r="H51" s="24" t="str">
        <x:v>Account ownership among adults aged 15 and over in Yemen at each observed Global Findex wave (2011, 2014 and 2022), in the areas each survey covered, as published by the World Bank.</x:v>
      </x:c>
      <x:c r="I51"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1" s="24" t="str">
        <x:v>2011 / 2014 / 2022</x:v>
      </x:c>
      <x:c r="K51" s="28" t="str">
        <x:v>2011 / 2014 / 2022</x:v>
      </x:c>
      <x:c r="L51" s="24" t="str">
        <x:v>Verified Yemen Findex wave points only, each with its scope, period and coverage.</x:v>
      </x:c>
      <x:c r="M51" s="28" t="str">
        <x:v>قيم موجات Findex الخاصة باليمن التي جرى التحقق منها فقط، مع نطاق كل موجة وفترتها وتغطيتها.</x:v>
      </x:c>
      <x:c r="N51" s="24" t="str">
        <x:v>Weighted aggregates published by the World Bank for each observed wave: 2011 and 2014 from The Little Data Book on Financial Inclusion 2015, and the 2021 wave from World Bank Data. No values are estimated for the years between waves.</x:v>
      </x:c>
      <x:c r="O51"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1" s="24" t="str">
        <x:v>It does not establish values for the years between waves, an average annual growth rate or the causes of the change, and it is not a 2026 value. There is no Yemen observation for 2017 or 2024.</x:v>
      </x:c>
      <x:c r="Q51"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1" s="24" t="str">
        <x:v>The latest observation is from the 2021 Findex wave, reported by the World Bank for 2022 (Yemen fieldwork 7 November 2022 to 9 January 2023); the Global Findex 2025 edition adds no newer Yemen observation. It should not be read as describing a later period unless a newer comparable observation is published.</x:v>
      </x:c>
      <x:c r="S51" s="28" t="str">
        <x:v>تعود أحدث مشاهدة إلى موجة Findex 2021، التي نشر البنك الدولي قيمتها لسنة 2022 (العمل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record is drawn from the source(s) listed on this page. Open a source record to reach the original document, and check that the definition, period, population and geography match what is stated here.</x:v>
      </x:c>
      <x:c r="W5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1" s="24" t="str">
        <x:v>SRC-WB-FINDEX-LDB-2015-001; SRC-WB-FINDEX-AGG-2022</x:v>
      </x:c>
      <x:c r="Y51" s="24" t="str">
        <x:v>[]</x:v>
      </x:c>
      <x:c r="Z51" t="str">
        <x:v>BOUND_EXACT</x:v>
      </x:c>
      <x:c r="AA51" t="str">
        <x:v>NO_GOVERNED_CONTRACT__TABLE_ONLY</x:v>
      </x:c>
    </x:row>
    <x:row r="52">
      <x:c r="A52" s="24" t="str">
        <x:v>VIS-DEMAND-VINTAGE-LADDER</x:v>
      </x:c>
      <x:c r="B52" s="24" t="str">
        <x:v>VISUAL</x:v>
      </x:c>
      <x:c r="C52" s="24" t="str">
        <x:v>/people/ | /evidence/</x:v>
      </x:c>
      <x:c r="D52" s="24" t="str">
        <x:v>Year of the last weighted value for each people-side financial function</x:v>
      </x:c>
      <x:c r="E52" s="28" t="str">
        <x:v>سنة آخر قيمة موزونة لكل وظيفة مالية على جانب الأفراد</x:v>
      </x:c>
      <x:c r="F52" s="24" t="str">
        <x:v>The latest weighted evidence differs by financial function: account ownership has a value from the 2021 Findex wave (11.9%, reported for 2022), while the latest weighted values for saving, borrowing and domestic remittances date from 2014 (20.6% of adults saved any money, 65.9% borrowed any money and 18.3% received domestic remittances), and weighted estimates of resilience and of the reasons for not having an account have not yet been calculated for the 2021 wave.</x:v>
      </x:c>
      <x:c r="G52" s="28" t="str">
        <x:v>يختلف أحدث دليل موزون بحسب الوظيفة المالية: فلامتلاك الحساب قيمة من موجة Findex 2021 (11.9%، منشورة لسنة 2022)، بينما تعود أحدث القيم الموزونة للادخار والاقتراض والحوالات المحلية إلى 2014 (ادخر 20.6% من البالغين أي مبلغ، واقترض 65.9% أي مبلغ، وتلقى 18.3% حوالات محلية)، ولا تزال تقديرات الصمود المالي وأسباب عدم امتلاك الحساب لموجة 2021 بانتظار الاحتساب.</x:v>
      </x:c>
      <x:c r="H52" s="24" t="str">
        <x:v>The latest observation period available for each people-side financial function (account ownership, saving, borrowing, domestic remittances, resilience and reasons for not having an account), drawn from the Global Findex evidence for Yemen.</x:v>
      </x:c>
      <x:c r="I52"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2" s="24" t="str">
        <x:v>2014 to 2022; no weighted values yet for some measures in the 2021 wave</x:v>
      </x:c>
      <x:c r="K52" s="28" t="str">
        <x:v>من 2014 إلى 2022؛ ولا توجد بعد قيم موزونة لبعض مقاييس موجة 2021</x:v>
      </x:c>
      <x:c r="L52" s="24" t="str">
        <x:v>The latest period with a supported numeric value for each people-side financial function, with account ownership, saving, borrowing, remittances, resilience and barriers kept separate.</x:v>
      </x:c>
      <x:c r="M52" s="28" t="str">
        <x:v>أحدث فترة تتوفر لها قيمة رقمية معتمدة لكل وظيفة مالية على جانب الأفراد، مع فصل امتلاك الحساب والادخار والاقتراض والحوالات والصمود والعوائق.</x:v>
      </x:c>
      <x:c r="N52" s="24" t="str">
        <x:v>Compiled from the evidence records listed on this page: each function is matched to its own latest weighted Findex evidence, and no value or date is carried from one function to another.</x:v>
      </x:c>
      <x:c r="O52" s="28" t="str">
        <x:v>مجمّع من سجلات الأدلة المدرجة في هذه الصفحة: تُربط كل وظيفة بأحدث دليل موزون خاص بها من مسح Findex، ولا تُنقل قيمة أو تاريخ من وظيفة إلى أخرى.</x:v>
      </x:c>
      <x:c r="P52" s="24" t="str">
        <x:v>It is not a composite inclusion score. There is no single latest year for people-side evidence, and a recent date for one function does not make the evidence for another function current.</x:v>
      </x:c>
      <x:c r="Q52" s="28" t="str">
        <x:v>ليس هذا درجة مركبة للشمول المالي. ولا توجد سنة واحدة هي الأحدث لأدلة جانب الأفراد، وحداثة تاريخ وظيفة ما لا تجعل أدلة وظيفة أخرى حديثة.</x:v>
      </x:c>
      <x:c r="R52" s="24" t="str">
        <x:v>The latest observations differ by function: 2022 for account ownership (2021 Findex wave, fieldwork 7 November 2022 to 9 January 2023) and 2014 for saving, borrowing and domestic remittances; resilience and reasons for not having an account have no weighted value yet. None of them describes a later period unless a newer comparable observation is published.</x:v>
      </x:c>
      <x:c r="S52" s="28" t="str">
        <x:v>تختلف أحدث المشاهدات بحسب الوظيفة: 2022 لامتلاك الحساب (موجة Findex 2021، والعمل الميداني من 7 نوفمبر 2022 إلى 9 يناير 2023)، و2014 للادخار والاقتراض والحوالات المحلية؛ ولا توجد بعد قيمة موزونة للصمود المالي ولأسباب عدم امتلاك الحساب. ولا يصف أي منها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view assembles other evidence records. Check each linked record against its own source.</x:v>
      </x:c>
      <x:c r="W52" s="28" t="str">
        <x:v>يجمع هذا العرض سجلات أدلة أخرى، فطابِق كل سجل مرتبط مع مصدره.</x:v>
      </x:c>
      <x:c r="X52" s="24" t="str">
        <x:v>CLM-001; CLM-027; CLM-028; CLM-029; CLM-030; VIS-FINDEX-RESILIENCE; VIS-FINDEX-BARRIERS</x:v>
      </x:c>
      <x:c r="Y52" s="24" t="str">
        <x:v>[]</x:v>
      </x:c>
      <x:c r="Z52" t="str">
        <x:v>COMPOSITE_OF_OBJECTS</x:v>
      </x:c>
      <x:c r="AA52" t="str">
        <x:v>NO_GOVERNED_CONTRACT__TABLE_ONLY</x:v>
      </x:c>
    </x:row>
    <x:row r="53">
      <x:c r="A53" s="24" t="str">
        <x:v>VIS-BORROWING-SOURCES-2014</x:v>
      </x:c>
      <x:c r="B53" s="24" t="str">
        <x:v>VISUAL</x:v>
      </x:c>
      <x:c r="C53" s="24" t="str">
        <x:v>/people/</x:v>
      </x:c>
      <x:c r="D53" s="24" t="str">
        <x:v>Borrowing and its sources in 2014</x:v>
      </x:c>
      <x:c r="E53" s="28" t="str">
        <x:v>الاقتراض ومصادره في 2014</x:v>
      </x:c>
      <x:c r="F53"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3"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3" s="24" t="str">
        <x:v>Shares of adults aged 15 and over in Yemen who reported borrowing any money, and borrowing from particular sources or for particular purposes, in 2014, as published by the World Bank.</x:v>
      </x:c>
      <x:c r="I53" s="28" t="str">
        <x:v>نسب البالغين بعمر 15 سنة فأكثر في اليمن الذين أفادوا باقتراض أي مبلغ، وبالاقتراض من مصادر محددة أو لأغراض محددة، في 2014، كما نشرها البنك الدولي.</x:v>
      </x:c>
      <x:c r="J53" s="24" t="str">
        <x:v>2014</x:v>
      </x:c>
      <x:c r="K53" s="28" t="str">
        <x:v>2014</x:v>
      </x:c>
      <x:c r="L53" s="24" t="str">
        <x:v>Adults covered by the 2014 Findex data for Yemen; borrowing from any source is shown separately from source or purpose indicators.</x:v>
      </x:c>
      <x:c r="M53" s="28" t="str">
        <x:v>البالغون المشمولون ببيانات Findex لليمن لعام 2014؛ ويُعرض الاقتراض من أي مصدر منفصلًا عن مؤشرات المصدر أو الغرض.</x:v>
      </x:c>
      <x:c r="N53" s="24" t="str">
        <x:v>Weighted aggregates published in the World Bank's 2014 country profile for Yemen (The Little Data Book on Financial Inclusion 2015); each indicator is a share of all adults.</x:v>
      </x:c>
      <x:c r="O53" s="28" t="str">
        <x:v>إجماليات موزونة منشورة في الملف القطري لليمن الذي أصدره البنك الدولي لعام 2014 (The Little Data Book on Financial Inclusion 2015)؛ وكل مؤشر نسبة من جميع البالغين.</x:v>
      </x:c>
      <x:c r="P53" s="24" t="str">
        <x:v>Each source is a separate share of all adults, not of borrowers. The shares overlap, so they do not add up to a total or to 100%, and no 'informal borrowing share' can be derived by subtracting one from another.</x:v>
      </x:c>
      <x:c r="Q53"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3"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3"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record is drawn from the source(s) listed on this page. Open a source record to reach the original document, and check that the definition, period, population and geography match what is stated here.</x:v>
      </x:c>
      <x:c r="W5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3" s="24" t="str">
        <x:v>SRC-WB-FINDEX-LDB-2015-001</x:v>
      </x:c>
      <x:c r="Y53" s="24" t="str">
        <x:v>[]</x:v>
      </x:c>
      <x:c r="Z53" t="str">
        <x:v>BOUND_EXACT</x:v>
      </x:c>
      <x:c r="AA53" t="str">
        <x:v>NO_GOVERNED_CONTRACT__TABLE_ONLY</x:v>
      </x:c>
    </x:row>
    <x:row r="54">
      <x:c r="A54" s="24" t="str">
        <x:v>VIS-DOMESTIC-REMITTANCE-PATH-2014</x:v>
      </x:c>
      <x:c r="B54" s="24" t="str">
        <x:v>VISUAL</x:v>
      </x:c>
      <x:c r="C54" s="24" t="str">
        <x:v>/people/ | /remittances/</x:v>
      </x:c>
      <x:c r="D54" s="24" t="str">
        <x:v>Domestic remittances in 2014 — population reach vs recipient channels</x:v>
      </x:c>
      <x:c r="E54" s="28" t="str">
        <x:v>الحوالات المحلية في 2014: نطاق الإرسال والاستلام وقنوات المستلمين</x:v>
      </x:c>
      <x:c r="F54"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4"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وليست صفرًا.</x:v>
      </x:c>
      <x:c r="H54" s="24" t="str">
        <x:v>The shares of adults aged 15 and over in Yemen who sent or received domestic remittances in 2014 and, among senders and recipients, the channels they used, as published by the World Bank.</x:v>
      </x:c>
      <x:c r="I54"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4" s="24" t="str">
        <x:v>2014</x:v>
      </x:c>
      <x:c r="K54" s="28" t="str">
        <x:v>2014</x:v>
      </x:c>
      <x:c r="L54" s="24" t="str">
        <x:v>All adults in the 2014 Findex data for sending and receiving; for channels, only the adults who sent, or who received, domestic remittances.</x:v>
      </x:c>
      <x:c r="M54" s="28" t="str">
        <x:v>جميع البالغين في بيانات Findex لعام 2014 لنسب الإرسال والاستلام؛ وللقنوات، البالغون الذين أرسلوا حوالات محلية أو الذين تلقوها فقط.</x:v>
      </x:c>
      <x:c r="N54"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4"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4" s="24" t="str">
        <x:v>Shares of all adults and channel shares among recipients use different bases and cannot be read on one scale. They do not show how much money flowed through each channel or the composition of remittances in the economy as a whole.</x:v>
      </x:c>
      <x:c r="Q54"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التحويلات على المستوى الكلي.</x:v>
      </x:c>
      <x:c r="R54"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4"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row>
    <x:row r="55">
      <x:c r="A55" s="24" t="str">
        <x:v>DS-FINDEX-PUBLIC-HISTORY</x:v>
      </x:c>
      <x:c r="B55" s="24" t="str">
        <x:v>DATASET</x:v>
      </x:c>
      <x:c r="C55" s="24" t="str">
        <x:v>/people/ | /evidence/</x:v>
      </x:c>
      <x:c r="D55" s="24" t="str">
        <x:v>Published historical Findex results for Yemen</x:v>
      </x:c>
      <x:c r="E55" s="28" t="str">
        <x:v>نتائج Findex التاريخية المنشورة لليمن</x:v>
      </x:c>
      <x:c r="F55" s="24" t="str">
        <x:v>Weighted Findex values for Yemen from the 2011 and 2014 waves, one value per measure and wave, each with its population base, missing values and publication status, so older measures stay interpretable without being presented as current.</x:v>
      </x:c>
      <x:c r="G55"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5" s="24" t="str">
        <x:v>Weighted Global Findex values for Yemen published by the World Bank for the 2011 and 2014 waves, covering account ownership, account use, digital payments, domestic remittances, saving and borrowing among adults aged 15 and over.</x:v>
      </x:c>
      <x:c r="I55"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5" s="24" t="str">
        <x:v>2011 to 2014</x:v>
      </x:c>
      <x:c r="K55" s="28" t="str">
        <x:v>2011 إلى 2014</x:v>
      </x:c>
      <x:c r="L55" s="24" t="str">
        <x:v>Adults aged 15 and over in Yemen in the 2011 and 2014 Findex waves; some channel values apply only to adults who sent or received domestic remittances or who have an account.</x:v>
      </x:c>
      <x:c r="M55"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5" s="24" t="str">
        <x:v>Published weighted Findex observations are preserved by wave, source definition and reporting year; no values are interpolated between waves.</x:v>
      </x:c>
      <x:c r="O55" s="28" t="str">
        <x:v>تُحفظ مشاهدات Findex الموزونة المنشورة بحسب الموجة وتعريف المصدر وسنة الإبلاغ، من دون استيفاء قيم بين الموجات.</x:v>
      </x:c>
      <x:c r="P55" s="24" t="str">
        <x:v>Historical weighted values hold for their stated wave and base, but they do not establish current 2026 behaviour and do not describe later years unless newer comparable evidence is published.</x:v>
      </x:c>
      <x:c r="Q55"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5" s="24" t="str">
        <x:v>The latest observations in this dataset refer to 2014, with selected 2011 comparators. They should not be read as describing a later period unless a newer comparable observation is published.</x:v>
      </x:c>
      <x:c r="S55"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row>
    <x:row r="56">
      <x:c r="A56" s="24" t="str">
        <x:v>DS-FINDEX-HISTORY-CROSSWALK</x:v>
      </x:c>
      <x:c r="B56" s="24" t="str">
        <x:v>DATASET</x:v>
      </x:c>
      <x:c r="C56" s="24" t="str">
        <x:v>/people/ | /methodology/</x:v>
      </x:c>
      <x:c r="D56" s="24" t="str">
        <x:v>Which historical Findex measures can be compared with the 2021 wave</x:v>
      </x:c>
      <x:c r="E56" s="28" t="str">
        <x:v>مقاييس Findex التاريخية التي يمكن مقارنتها بموجة 2021</x:v>
      </x:c>
      <x:c r="F56" s="24" t="str">
        <x:v>A comparability map linking 36 historical Findex measures to the measures specified for the latest wave, while separating publishable historical values from latest-wave measures whose required computation is not yet complete.</x:v>
      </x:c>
      <x:c r="G56" s="28" t="str">
        <x:v>خريطة قابلية مقارنة تربط 36 مقياسًا تاريخيًا من Findex بأحدث مجموعة مقاييس مخطط لها، مع الفصل الصريح بين القيم التاريخية القابلة للنشر والمقاييس الأحدث التي لم تُستكمل حساباتها المطلوبة بعد.</x:v>
      </x:c>
      <x:c r="H56" s="24" t="str">
        <x:v>For each of 36 historical Findex measures for Yemen, whether a comparable measure exists in the latest (2021) wave and whether its values can be compared; it reports no new value.</x:v>
      </x:c>
      <x:c r="I56"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6" s="24" t="str">
        <x:v>2011 to 2022</x:v>
      </x:c>
      <x:c r="K56" s="28" t="str">
        <x:v>من 2011 إلى 2022</x:v>
      </x:c>
      <x:c r="L56" s="24" t="str">
        <x:v>The 36 historical Findex measures for Yemen published for 2011 and 2014, and the measures specified for the 2021 wave.</x:v>
      </x:c>
      <x:c r="M56" s="28" t="str">
        <x:v>مقاييس Findex التاريخية الـ36 لليمن المنشورة لعامي 2011 و2014، والمقاييس المحددة لموجة 2021.</x:v>
      </x:c>
      <x:c r="N56" s="24" t="str">
        <x:v>Cross-wave comparison uses published Findex definitions and methodological notes to identify which concepts can be compared and which require qualification.</x:v>
      </x:c>
      <x:c r="O56"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6" s="24" t="str">
        <x:v>A crosswalk identifies conceptual comparability; it does not make every historical and latest-wave metric numerically interchangeable, and latest-wave values remain unavailable until the required computation and quality checks are complete.</x:v>
      </x:c>
      <x:c r="Q56" s="28" t="str">
        <x:v>تحدد المطابقة قابلية المقارنة المفاهيمية، لكنها لا تجعل كل مقياس تاريخي ومقياس من أحدث موجة قابلًا للاستبدال رقميًا. ولا تُنشر القيم الأحدث حتى تكتمل الحسابات المطلوبة وتنجح فحوص الجودة.</x:v>
      </x:c>
      <x:c r="R56" s="24" t="str">
        <x:v>It compares published values for 2011 and 2014 with the 2021 Findex wave, the latest wave available for Yemen (fieldwork 7 November 2022 to 9 January 2023). It should not be read as describing a later wave unless one is published.</x:v>
      </x:c>
      <x:c r="S56" s="28" t="str">
        <x:v>يقارن هذا السجل القيم المنشورة لعامي 2011 و2014 بموجة Findex 2021، وهي أحدث موجة متاحة لليمن (العمل الميداني من 7 نوفمبر 2022 إلى 9 يناير 2023). ولا يُقرأ على أنه يصف موجة لاحقة ما لم تُنشر موجة أحدث.</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view assembles other evidence records. Check each linked record against its own source.</x:v>
      </x:c>
      <x:c r="W56" s="28" t="str">
        <x:v>يجمع هذا العرض سجلات أدلة أخرى، فطابِق كل سجل مرتبط مع مصدره.</x:v>
      </x:c>
      <x:c r="X56" s="24" t="str">
        <x:v>DS-FINDEX-PUBLIC-HISTORY; CLM-026</x:v>
      </x:c>
      <x:c r="Y56" s="24" t="str">
        <x:v>[]</x:v>
      </x:c>
      <x:c r="Z56" t="str">
        <x:v>COMPOSITE_OF_OBJECTS</x:v>
      </x:c>
    </x:row>
    <x:row r="57">
      <x:c r="A57" s="24" t="str">
        <x:v>DS-DEMAND-VINTAGE-LENS</x:v>
      </x:c>
      <x:c r="B57" s="24" t="str">
        <x:v>DATASET</x:v>
      </x:c>
      <x:c r="C57" s="24" t="str">
        <x:v>/people/ | /evidence/</x:v>
      </x:c>
      <x:c r="D57" s="24" t="str">
        <x:v>How recent the people-side evidence is, by financial function</x:v>
      </x:c>
      <x:c r="E57" s="28" t="str">
        <x:v>حداثة أدلة الأفراد بحسب الوظيفة المالية</x:v>
      </x:c>
      <x:c r="F57" s="24" t="str">
        <x:v>Shows, for ten financial functions, the period that each function's evidence refers to, so that the people-side answer does not imply one common latest year.</x:v>
      </x:c>
      <x:c r="G57" s="28" t="str">
        <x:v>يبين لعشر وظائف مالية الفترة التي يعود إليها دليل كل منها، حتى لا توحي الإجابة الخاصة بالأفراد بسنة واحدة مشتركة بوصفها الأحدث.</x:v>
      </x:c>
      <x:c r="H57" s="24" t="str">
        <x:v>For each of ten people-side financial functions, the period of the latest evidence available and whether a numeric value is available; it reports no new value.</x:v>
      </x:c>
      <x:c r="I57" s="28" t="str">
        <x:v>يبين لكل من عشر وظائف مالية على جانب الأفراد فترة أحدث دليل متاح وما إذا كانت تتوفر لها قيمة رقمية، ولا يعرض أي قيمة جديدة.</x:v>
      </x:c>
      <x:c r="J57" s="24" t="str">
        <x:v>2014 to 2022; no newer weighted values yet</x:v>
      </x:c>
      <x:c r="K57" s="28" t="str">
        <x:v>من 2014 إلى 2022؛ ولا توجد بعد قيم موزونة أحدث</x:v>
      </x:c>
      <x:c r="L57" s="24" t="str">
        <x:v>Ten people-side financial functions covered by Global Findex evidence for Yemen.</x:v>
      </x:c>
      <x:c r="M57" s="28" t="str">
        <x:v>عشر وظائف مالية على جانب الأفراد تغطيها أدلة المؤشر العالمي للشمول المالي (Global Findex) لليمن.</x:v>
      </x:c>
      <x:c r="N57" s="24" t="str">
        <x:v>A cross-wave summary of the Findex evidence used in this resource that preserves each financial function’s source wave, definition and availability. It shows how recent the evidence is for each function; it is not a new population estimate.</x:v>
      </x:c>
      <x:c r="O57"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7" s="24" t="str">
        <x:v>The currentness map does not make older evidence current, and a function with no newer numeric observation remains an evidence gap rather than zero or an interpolated value.</x:v>
      </x:c>
      <x:c r="Q57"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7" s="24" t="str">
        <x:v>The latest evidence differs by function, from 2014 to 2022 (the 2021 Findex wave, fieldwork 7 November 2022 to 9 January 2023); for a function with no newer value, the older evidence is not current. None of it describes a later period unless a newer comparable observation is published.</x:v>
      </x:c>
      <x:c r="S57" s="28" t="str">
        <x:v>يختلف أحدث دليل بحسب الوظيفة، من 2014 إلى 2022 (موجة Findex 2021، والعمل الميداني من 7 نوفمبر 2022 إلى 9 يناير 2023)؛ وأي وظيفة لا تتوفر لها قيمة أحدث يبقى دليلها الأقدم غير حديث. ولا يصف أي منها فترة لاحقة ما لم تُنشر مشاهدة أحدث قابلة للمقارنة.</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summarises other evidence records, which are not yet linked individually here. Before reusing a figure, open the evidence record that reports it and check that record against its own source.</x:v>
      </x:c>
      <x:c r="W57" s="28" t="str">
        <x:v>يلخص هذا العرض سجلات أدلة أخرى لم تُربط بعدُ هنا كلٌّ على حدة. وقبل إعادة استخدام أي رقم، افتح سجل الدليل الذي يورده وطابِقه مع مصدره.</x:v>
      </x:c>
      <x:c r="X57" s="24"/>
      <x:c r="Y57" s="24" t="str">
        <x:v>[]</x:v>
      </x:c>
      <x:c r="Z57" t="str">
        <x:v>COMPOSITE_OF_OBJECTS</x:v>
      </x:c>
    </x:row>
    <x:row r="58">
      <x:c r="A58" s="24" t="str">
        <x:v>CLM-004</x:v>
      </x:c>
      <x:c r="B58" s="24" t="str">
        <x:v>CLAIM</x:v>
      </x:c>
      <x:c r="C58" s="24" t="str">
        <x:v>/payments/ | /methodology/</x:v>
      </x:c>
      <x:c r="D58" s="24" t="str">
        <x:v>Accounts and transactions are not unique people</x:v>
      </x:c>
      <x:c r="E58" s="28" t="str">
        <x:v>الحسابات والمعاملات ليست أشخاصًا فريدين</x:v>
      </x:c>
      <x:c r="F58" s="24" t="str">
        <x:v>Administrative accounts, e-wallet subscribers and payment transactions are not equivalent to unique people measured by Findex.</x:v>
      </x:c>
      <x:c r="G58"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8" s="24" t="str">
        <x:v>This record sets out a measurement rule and reports no value: counts of administrative accounts, subscribers, terminals and transactions are not counts of unique people unless the evidence establishes that unit.</x:v>
      </x:c>
      <x:c r="I58"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8" s="24" t="str">
        <x:v>No observation period: a measurement rule that applies whenever administrative accounts, subscribers or transactions are compared with survey measures of people.</x:v>
      </x:c>
      <x:c r="K58" s="28" t="str">
        <x:v>لا فترة رصد: قاعدة قياس تنطبق كلما قورنت الحسابات أو المشتركون أو المعاملات الإدارية بقياسات مسحية تخص الأشخاص.</x:v>
      </x:c>
      <x:c r="L58" s="24" t="str">
        <x:v>Different units of measurement: administrative accounts, wallet subscribers and transactions versus unique people represented by a population survey.</x:v>
      </x:c>
      <x:c r="M58" s="28" t="str">
        <x:v>وحدات قياس مختلفة: حسابات إدارية ومشتركو محافظ ومعاملات، مقابل أشخاص فريدين يمثلهم مسح سكاني.</x:v>
      </x:c>
      <x:c r="N58"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8"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8" s="24" t="str">
        <x:v>Dividing administrative counts by population does not produce a share of people unless a documented unique-person method exists; no such share is established here.</x:v>
      </x:c>
      <x:c r="Q58"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8" s="24" t="str">
        <x:v>This is a method rule with no observation date; it applies until a documented source provides a valid way to link the administrative series to unique people.</x:v>
      </x:c>
      <x:c r="S58" s="28" t="str">
        <x:v>هذه قاعدة منهجية بلا تاريخ رصد، وتظل سارية إلى أن يوفر مصدر موثق طريقة صالحة لربط السلاسل الإدارية بأشخاص فريدين.</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record sets out a rule for measuring or reading the evidence. It does not report a figure from a source, so there is no original source to check.</x:v>
      </x:c>
      <x:c r="W58" s="28" t="str">
        <x:v>يحدد هذا السجل قاعدة لقياس الأدلة أو قراءتها، ولا يورد رقمًا مأخوذًا من مصدر، ولذلك لا يوجد مصدر أصلي يُتحقق منه.</x:v>
      </x:c>
      <x:c r="X58" s="24"/>
      <x:c r="Y58" s="24" t="str">
        <x:v>[]</x:v>
      </x:c>
      <x:c r="Z58" t="str">
        <x:v>FRAMING_NO_FACT</x:v>
      </x:c>
    </x:row>
    <x:row r="59">
      <x:c r="A59" s="24" t="str">
        <x:v>CLM-005</x:v>
      </x:c>
      <x:c r="B59" s="24" t="str">
        <x:v>CLAIM</x:v>
      </x:c>
      <x:c r="C59" s="24" t="str">
        <x:v>/firms/</x:v>
      </x:c>
      <x:c r="D59" s="24" t="str">
        <x:v>Finance was not the most frequently cited constraint in this survey</x:v>
      </x:c>
      <x:c r="E59" s="28" t="str">
        <x:v>التمويل ليس التحدي الأكثر ذكرًا في هذا المسح</x:v>
      </x:c>
      <x:c r="F59" s="24" t="str">
        <x:v>Among formal firms in the 2022 Yemen Enterprise Survey of seven governorates, electricity and fuel shortages were each named as a business challenge more often than access to finance.</x:v>
      </x:c>
      <x:c r="G59"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59" s="24" t="str">
        <x:v>The share of surveyed formal firms in seven governorates that named each item as a business challenge in 2022, with access to finance compared against the other items.</x:v>
      </x:c>
      <x:c r="I59"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59" s="24" t="str">
        <x:v>September 2022</x:v>
      </x:c>
      <x:c r="K59" s="28" t="str">
        <x:v>سبتمبر 2022</x:v>
      </x:c>
      <x:c r="L59" s="24" t="str">
        <x:v>Formal enterprises in seven selected governorates</x:v>
      </x:c>
      <x:c r="M59" s="28" t="str">
        <x:v>المنشآت الرسمية في المحافظات السبع التي شملها المسح.</x:v>
      </x:c>
      <x:c r="N59"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59"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59"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59"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59" s="24" t="str">
        <x:v>The latest observation in this record refers to the 2022 survey (September 2022). It should not be read as describing a later period unless a newer comparable observation is published.</x:v>
      </x:c>
      <x:c r="S59" s="28" t="str">
        <x:v>تعود أحدث مشاهدة في هذا السجل إلى مسح 2022 (سبتمبر 2022)، ولا تُقرأ على أنها تصف فترة لاحقة ما لم تُنشر مشاهدة أحدث قابلة للمقارنة.</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is drawn from the source(s) listed on this page. Open a source record to reach the original document, and check that the definition, period, population and geography match what is stated here.</x:v>
      </x:c>
      <x:c r="W5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9" s="24" t="str">
        <x:v>SRC-WB-FSD-2024-001</x:v>
      </x:c>
      <x:c r="Y59" s="24" t="str">
        <x:v>[]</x:v>
      </x:c>
      <x:c r="Z59" t="str">
        <x:v>BOUND_EXACT</x:v>
      </x:c>
    </x:row>
    <x:row r="60">
      <x:c r="A60" s="24" t="str">
        <x:v>CLM-006</x:v>
      </x:c>
      <x:c r="B60" s="24" t="str">
        <x:v>CLAIM</x:v>
      </x:c>
      <x:c r="C60" s="24" t="str">
        <x:v>/firms/</x:v>
      </x:c>
      <x:c r="D60" s="24" t="str">
        <x:v>Finance severity within a specific denominator</x:v>
      </x:c>
      <x:c r="E60" s="28" t="str">
        <x:v>شدة عائق التمويل ضمن قاعدة احتساب محددة</x:v>
      </x:c>
      <x:c r="F60" s="24" t="str">
        <x:v>Among the formal firms in the report's finance-obstacle tabulation, which excludes firms that said they did not need a loan, the shares rating finance as a major or a moderate obstacle together total 91.84%.</x:v>
      </x:c>
      <x:c r="G60"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0" s="24" t="str">
        <x:v>The combined share of formal firms rating access to finance as a major or moderate obstacle, among firms in the survey report's finance-obstacle tabulation (firms that said they did not need a loan are excluded), seven governorates, 2022.</x:v>
      </x:c>
      <x:c r="I60"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0"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0"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0"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row>
    <x:row r="61">
      <x:c r="A61" s="24" t="str">
        <x:v>CLM-008</x:v>
      </x:c>
      <x:c r="B61" s="24" t="str">
        <x:v>CLAIM</x:v>
      </x:c>
      <x:c r="C61" s="24" t="str">
        <x:v>/providers/ | /access/</x:v>
      </x:c>
      <x:c r="D61" s="24" t="str">
        <x:v>Listing or licensing does not establish operation</x:v>
      </x:c>
      <x:c r="E61" s="28" t="str">
        <x:v>الإدراج أو الترخيص لا يثبت التشغيل</x:v>
      </x:c>
      <x:c r="F61" s="24" t="str">
        <x:v>The list of licensed banks of the Central Bank of Yemen – Aden (CBY-Aden), as checked on 3 October 2026, names 26 banks. Appearing on the list establishes listing or licensing in that source, not operation.</x:v>
      </x:c>
      <x:c r="G61" s="28" t="str">
        <x:v>تضم قائمة البنوك المرخصة الصادرة عن البنك المركزي اليمني – عدن، كما اطُّلع عليها في 3 أكتوبر 2026، 26 بنكًا. ويثبت الظهور في القائمة الإدراج أو الترخيص وفق ذلك المصدر، لا التشغيل الفعلي.</x:v>
      </x:c>
      <x:c r="H61" s="24" t="str">
        <x:v>The number of banks named on the licensed-bank list of the Central Bank of Yemen – Aden (CBY-Aden), as checked on 3 October 2026.</x:v>
      </x:c>
      <x:c r="I61" s="28" t="str">
        <x:v>عدد البنوك الواردة في قائمة البنوك المرخصة لدى البنك المركزي اليمني – عدن، كما اطُّلع عليها في 3 أكتوبر 2026.</x:v>
      </x:c>
      <x:c r="J61" s="24" t="str">
        <x:v>List as checked on 3 October 2026</x:v>
      </x:c>
      <x:c r="K61" s="28" t="str">
        <x:v>القائمة كما اطُّلع عليها في 3 أكتوبر 2026</x:v>
      </x:c>
      <x:c r="L61" s="24" t="str">
        <x:v>Banks named on the licensed-bank list of the Central Bank of Yemen – Aden (CBY-Aden); list presence is not proof of current operation, branch footprint, product availability or market share</x:v>
      </x:c>
      <x:c r="M61"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1" s="24" t="str">
        <x:v>A count of the banks named on the licensed-bank list published by the Central Bank of Yemen – Aden (CBY-Aden), as checked on 3 October 2026. The list establishes listing or licensing by CBY-Aden; it does not by itself establish current operation, service availability or geographic reach.</x:v>
      </x:c>
      <x:c r="O61" s="28" t="str">
        <x:v>عدّ البنوك الواردة في قائمة البنوك المرخصة التي ينشرها البنك المركزي اليمني – عدن، كما اطُّلع عليها في 3 أكتوبر 2026. وتثبت القائمة الإدراج أو الترخيص لدى البنك المركزي اليمني – عدن، ولا تثبت بذاتها التشغيل الحالي أو توفر الخدمة أو الانتشار الجغرافي.</x:v>
      </x:c>
      <x:c r="P61" s="24" t="str">
        <x:v>It does not establish which branches are active, which products are offered, market share or participation in payment systems. | Appearing on the list establishes listing or licensing in that source only; it does not establish operation, all branches, participation, or national coverage beyond the scope of the issuing authority.</x:v>
      </x:c>
      <x:c r="Q61" s="28" t="str">
        <x:v>لا يثبت هذا الدليل أي الفروع عاملة، ولا المنتجات المتاحة، ولا الحصة السوقية، ولا المشاركة في أنظمة الدفع. | الظهور في القائمة يثبت الإدراج/الترخيص في المصدر فقط، ولا يثبت التشغيل أو جميع الفروع أو المشاركة أو التغطية الوطنية خارج نطاق سلطة المصدر.</x:v>
      </x:c>
      <x:c r="R61" s="24" t="str">
        <x:v>This record reflects the licensed-bank list of the Central Bank of Yemen – Aden (CBY-Aden) as checked on 3 October 2026. It should not be read as describing a later date unless a newer version of the list is checked.</x:v>
      </x:c>
      <x:c r="S61"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SRC-CBY-BANKLIST-AR-2026-001</x:v>
      </x:c>
      <x:c r="Y61" s="24" t="str">
        <x:v>[]</x:v>
      </x:c>
      <x:c r="Z61" t="str">
        <x:v>BOUND_EXACT</x:v>
      </x:c>
    </x:row>
    <x:row r="62">
      <x:c r="A62" s="24" t="str">
        <x:v>CLM-014</x:v>
      </x:c>
      <x:c r="B62" s="24" t="str">
        <x:v>CLAIM</x:v>
      </x:c>
      <x:c r="C62" s="24" t="str">
        <x:v>/evidence/ | /methodology/</x:v>
      </x:c>
      <x:c r="D62" s="24" t="str">
        <x:v>Evidence freshness differs by domain</x:v>
      </x:c>
      <x:c r="E62" s="28" t="str">
        <x:v>حداثة الأدلة غير متساوية بين المجالات</x:v>
      </x:c>
      <x:c r="F62" s="24" t="str">
        <x:v>The evidence here is not equally current across domains: several payments/regulatory observations are from 2025–2026, while key representative people-side evidence is older.</x:v>
      </x:c>
      <x:c r="G62"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2" s="24" t="str">
        <x:v>A comparison of evidence dates across domains showing that some areas are measured more recently than others.</x:v>
      </x:c>
      <x:c r="I62" s="28" t="str">
        <x:v>مقارنة لحداثة الأدلة بين المجالات، توضح أن بعض الجوانب مقاسة في تواريخ أحدث من غيرها.</x:v>
      </x:c>
      <x:c r="J62" s="24" t="str">
        <x:v>Evidence observed from 2014 through 2026, depending on domain, as compared in the current edition of this resource.</x:v>
      </x:c>
      <x:c r="K62" s="28" t="str">
        <x:v>مقارنة في الإصدار الحالي بين أدلة تعود فترات رصدها إلى 2014–2026 بحسب المجال.</x:v>
      </x:c>
      <x:c r="L62" s="24" t="str">
        <x:v>Evidence records across people, payments, providers, reforms and other domains, each with its own observation period and evidence class.</x:v>
      </x:c>
      <x:c r="M62" s="28" t="str">
        <x:v>سجلات أدلة معتمدة عبر مجالات الأفراد والمدفوعات ومقدمي الخدمات والإصلاحات وغيرها، ولكل سجل فترة رصد وفئة دليل تخصه.</x:v>
      </x:c>
      <x:c r="N62" s="24" t="str">
        <x:v>The observation or publication date and the evidence class of each record are compared by domain; the date or evidential meaning of one domain's evidence is not carried over to another.</x:v>
      </x:c>
      <x:c r="O62" s="28" t="str">
        <x:v>تُقارن حداثة الأدلة وفئتها بحسب المجال، ولا تُنقل فترة دليل أو دلالته من مجال إلى آخر.</x:v>
      </x:c>
      <x:c r="P62" s="24" t="str">
        <x:v>Older evidence is not invalid because of its age, and recent administrative evidence does not measure current financial inclusion across the population.</x:v>
      </x:c>
      <x:c r="Q62" s="28" t="str">
        <x:v>ليس الدليل الأقدم باطلًا لمجرد قدمه، ولا تقيس البيانات الإدارية الحديثة الشمول المالي الراهن على مستوى السكان.</x:v>
      </x:c>
      <x:c r="R62" s="24" t="str">
        <x:v>This comparison reflects the evidence records in the edition of this resource dated 3 October 2026 and changes whenever a newer record is added. A recent administrative observation does not make older population evidence current, and older evidence is not invalid merely because it is older.</x:v>
      </x:c>
      <x:c r="S62" s="28" t="str">
        <x:v>تعكس هذه المقارنة سجلات الأدلة الواردة في إصدار هذا المورد المؤرخ في 3 أكتوبر 2026، وتتغير كلما أُضيف سجل أحدث. ولا تجعل المشاهدة الإدارية الحديثة الدليل السكاني الأقدم حديثًا، كما لا يصبح الدليل الأقدم غير صالح لمجرد قدمه.</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view summarises other evidence records, which are not yet linked individually here. Before reusing a figure, open the evidence record that reports it and check that record against its own source.</x:v>
      </x:c>
      <x:c r="W62" s="28" t="str">
        <x:v>يلخص هذا العرض سجلات أدلة أخرى لم تُربط بعدُ هنا كلٌّ على حدة. وقبل إعادة استخدام أي رقم، افتح سجل الدليل الذي يورده وطابِقه مع مصدره.</x:v>
      </x:c>
      <x:c r="X62" s="24"/>
      <x:c r="Y62" s="24" t="str">
        <x:v>[]</x:v>
      </x:c>
      <x:c r="Z62" t="str">
        <x:v>COMPOSITE_OF_OBJECTS</x:v>
      </x:c>
    </x:row>
    <x:row r="63">
      <x:c r="A63" s="24" t="str">
        <x:v>CLM-022</x:v>
      </x:c>
      <x:c r="B63" s="24" t="str">
        <x:v>CLAIM</x:v>
      </x:c>
      <x:c r="C63" s="24" t="str">
        <x:v>/finance/ | /methodology/</x:v>
      </x:c>
      <x:c r="D63" s="24" t="str">
        <x:v>Informative history without a continuous annual series</x:v>
      </x:c>
      <x:c r="E63" s="28" t="str">
        <x:v>سجل مفيد لكنه غير سنوي متصل</x:v>
      </x:c>
      <x:c r="F63"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3"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3" s="24" t="str">
        <x:v>Dated microfinance observations (active borrowers, savers and loan portfolio) reported by programmes supported by the Social Fund for Development (SFD), with years that have no usable observation marked as gaps.</x:v>
      </x:c>
      <x:c r="I63"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3" s="24" t="str">
        <x:v>Observed points and explicit gaps in microfinance evidence, 2010 to 2024</x:v>
      </x:c>
      <x:c r="K63" s="28" t="str">
        <x:v>نقاط مرصودة وفجوات معلنة في أدلة التمويل الأصغر من 2010 إلى 2024</x:v>
      </x:c>
      <x:c r="L63" s="24" t="str">
        <x:v>Source-specific microfinance observations whose provider/reporting universe can vary by point; each observation retains its own source and status.</x:v>
      </x:c>
      <x:c r="M63" s="28" t="str">
        <x:v>مشاهدات للتمويل الأصغر تختلف بحسب المصدر وقد يختلف نطاق مقدمي الخدمات أو الإبلاغ من نقطة إلى أخرى؛ وتحتفظ كل مشاهدة بمصدرها وحالتها.</x:v>
      </x:c>
      <x:c r="N63" s="24" t="str">
        <x:v>Quarterly and year-end observations are recorded at the dates the sources give, together with within-source contradictions, periods known only through another source, and periods with no data; missing years are not interpolated or smoothed.</x:v>
      </x:c>
      <x:c r="O63"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3" s="24" t="str">
        <x:v>A year with no observation does not indicate zero microfinance activity, and the observations do not establish a trend across the missing years.</x:v>
      </x:c>
      <x:c r="Q63" s="28" t="str">
        <x:v>لا تدل السنة الخالية من المشاهدات على انعدام نشاط التمويل الأصغر، ولا تثبت المشاهدات اتجاهًا زمنيًا عبر السنوات المفقودة.</x:v>
      </x:c>
      <x:c r="R63"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3"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record is drawn from the source(s) listed on this page. Open a source record to reach the original document, and check that the definition, period, population and geography match what is stated here.</x:v>
      </x:c>
      <x:c r="W6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3" s="24" t="str">
        <x:v>SRC-SFD-MF-HISTORY-TOR-2012-001; SRC-SFD-Q1-2012-001; SRC-SFD-Q1-2015-001; SRC-SFD-Q1-2019-001; SRC-SFD-Q2-2013-001; SRC-SFD-Q2-2014-001; SRC-SFD-Q3-2015-001; SRC-SFD-Q3-2016-001; SRC-SFD-Q4-2009-001; SRC-SFD-Q4-2010-001; SRC-SFD-Q4-2011-001; SRC-SFD-Q4-2012-001; SRC-SFD-Q4-2015-001; SRC-SFD-Q4-2017-001; SRC-SFD-Q4-2018-001; SRC-SFD-Q4-2020-001</x:v>
      </x:c>
      <x:c r="Y63" s="24" t="str">
        <x:v>[]</x:v>
      </x:c>
      <x:c r="Z63" t="str">
        <x:v>BOUND_EXACT</x:v>
      </x:c>
    </x:row>
    <x:row r="64">
      <x:c r="A64" s="24" t="str">
        <x:v>VIS-FINDEX-GAPS</x:v>
      </x:c>
      <x:c r="B64" s="24" t="str">
        <x:v>VISUAL</x:v>
      </x:c>
      <x:c r="C64" s="24" t="str">
        <x:v>/people/</x:v>
      </x:c>
      <x:c r="D64" s="24" t="str">
        <x:v>Account ownership and measured gaps: Global Findex 2021 wave (Yemen fieldwork 2022–23)</x:v>
      </x:c>
      <x:c r="E64" s="28" t="str">
        <x:v>امتلاك الحساب والفجوات المقاسة: موجة Global Findex 2021 (العمل الميداني في اليمن 2022–2023)</x:v>
      </x:c>
      <x:c r="F64"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G64"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H64"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7 November 2022 to 9 January 2023).</x:v>
      </x:c>
      <x:c r="I64"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7 نوفمبر 2022 إلى 9 يناير 2023).</x:v>
      </x:c>
      <x:c r="J64" s="24" t="str">
        <x:v>World Bank reporting year 2022; Global Findex 2021 study; Yemen fieldwork 2022-11-07 to 2023-01-09</x:v>
      </x:c>
      <x:c r="K64" s="28" t="str">
        <x:v>سنة الإبلاغ في بيانات البنك الدولي: 2022؛ دراسة Global Findex 2021؛ العمل الميداني في اليمن من 2022-11-07 إلى 2023-01-09</x:v>
      </x:c>
      <x:c r="L64" s="24" t="str">
        <x:v>Adults aged 15 and over in the areas the survey covered (the survey frame excludes areas with about 23% of the population); subgroups as defined within the same wave.</x:v>
      </x:c>
      <x:c r="M64"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4" s="24" t="str">
        <x:v>Weighted estimates published by the World Bank from the Global Findex survey of Yemen (1,000 respondents; fieldwork 7 November 2022 to 9 January 2023; World Bank data year 2022) for all adults and for subgroups by sex, household income, education and age. Each of the four differences is calculated by this resource by subtracting the lower published value in a pair from the higher one.</x:v>
      </x:c>
      <x:c r="O64"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x:v>
      </x:c>
      <x:c r="P64"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No standard errors or confidence intervals are published with these values; the Yemen sample is 1,000 respondents, so subgroup values and the gaps carry sampling uncertainty that is not quantified here.</x:v>
      </x:c>
      <x:c r="Q64"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والفجوات بينها على عدم يقين ناتج عن المعاينة لا يُقدَّر كميًا هنا.</x:v>
      </x:c>
      <x:c r="R64"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4"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SRC-WB-FINDEX-AGG-2022</x:v>
      </x:c>
      <x:c r="Y64" s="24" t="str">
        <x:v>[]</x:v>
      </x:c>
      <x:c r="Z64" t="str">
        <x:v>BOUND_EXACT</x:v>
      </x:c>
    </x:row>
    <x:row r="65">
      <x:c r="A65" s="24" t="str">
        <x:v>VIS-POS-TERMINALS</x:v>
      </x:c>
      <x:c r="B65" s="24" t="str">
        <x:v>VISUAL</x:v>
      </x:c>
      <x:c r="C65" s="24" t="str">
        <x:v>/payments/</x:v>
      </x:c>
      <x:c r="D65" s="24" t="str">
        <x:v>Reported POS terminals, monthly</x:v>
      </x:c>
      <x:c r="E65" s="28" t="str">
        <x:v>أجهزة نقاط البيع المبلغ عنها شهريًا</x:v>
      </x:c>
      <x:c r="F65"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G65"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H65" s="24" t="str">
        <x:v>The monthly number of point-of-sale (POS) terminals reported by the Central Bank of Yemen – Aden (CBY-Aden) within its reporting scope, March 2025 to June 2026.</x:v>
      </x:c>
      <x:c r="I65" s="28" t="str">
        <x:v>العدد الشهري لأجهزة نقاط البيع التي يُبلغ عنها البنك المركزي اليمني – عدن ضمن نطاق إبلاغه، من مارس 2025 إلى يونيو 2026.</x:v>
      </x:c>
      <x:c r="J65" s="24" t="str">
        <x:v>Mar-2025–Jun-2026 monthly</x:v>
      </x:c>
      <x:c r="K65" s="28" t="str">
        <x:v>شهريًا من مارس 2025 إلى يونيو 2026</x:v>
      </x:c>
      <x:c r="L65" s="24" t="str">
        <x:v>POS terminals within the payment-system reporting scope of the Central Bank of Yemen – Aden (CBY-Aden); how far that scope covers each area of Yemen is not established.</x:v>
      </x:c>
      <x:c r="M65" s="28" t="str">
        <x:v>أجهزة نقاط البيع ضمن نطاق الإبلاغ عن نظام المدفوعات لدى البنك المركزي اليمني – عدن؛ ولا يثبت الدليل مدى تغطية هذا النطاق لكل مناطق اليمن.</x:v>
      </x:c>
      <x:c r="N65"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The May 2026 release displays +2.4%, which the published April (1,583) and May (1,636) totals do not yield; because the release contradicts itself, no April to May change is derived, and the two totals and the displayed percentage are shown as published. A smaller mismatch in June 2025 is also kept: 733 to 791 terminals implies 7.91%, while the June release displays +7.6%.</x:v>
      </x:c>
      <x:c r="O65"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ويعرض إصدار مايو 2026 نسبة +2.4%، ولا يعطيها الإجماليان المنشوران لشهري أبريل (1,583) ومايو (1,636)؛ ولأن الإصدار يناقض نفسه، لا يُشتق تغير بين أبريل ومايو، ويُعرض الإجماليان والنسبة المعروضة كما نُشرت. ويُبقى أيضًا على اختلاف أصغر في يونيو 2025: فالانتقال من 733 إلى 791 جهازًا يعطي 7.91%، بينما يعرض إصدار يونيو +7.6%.</x:v>
      </x:c>
      <x:c r="P65"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5"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5"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5"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SRC-CBY-POS-2025-03; SRC-CBY-POS-2025-04; SRC-CBY-POS-2025-05; SRC-CBY-POS-2025-06; SRC-CBY-POS-2025-07; SRC-CBY-POS-2025-08; SRC-CBY-POS-2025-09; SRC-CBY-POS-2025-10; SRC-CBY-POS-2025-11; SRC-CBY-POS-2025-12; SRC-CBY-POS-2026-01; SRC-CBY-POS-2026-02; SRC-CBY-POS-2026-03; SRC-CBY-POS-2026-04; SRC-CBY-POS-2026-05; SRC-CBY-POS-2026-06</x:v>
      </x:c>
      <x:c r="Y65" s="24" t="str">
        <x:v>[]</x:v>
      </x:c>
      <x:c r="Z65" t="str">
        <x:v>BOUND_EXACT</x:v>
      </x:c>
    </x:row>
    <x:row r="66">
      <x:c r="A66" s="24" t="str">
        <x:v>VIS-POS-TRANSACTIONS</x:v>
      </x:c>
      <x:c r="B66" s="24" t="str">
        <x:v>VISUAL</x:v>
      </x:c>
      <x:c r="C66" s="24" t="str">
        <x:v>/payments/</x:v>
      </x:c>
      <x:c r="D66" s="24" t="str">
        <x:v>Reported POS transactions, monthly</x:v>
      </x:c>
      <x:c r="E66" s="28" t="str">
        <x:v>معاملات نقاط البيع المبلغ عنها شهريًا</x:v>
      </x:c>
      <x:c r="F66"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G66"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H66" s="24" t="str">
        <x:v>The monthly number of POS transactions reported by the Central Bank of Yemen – Aden (CBY-Aden) within its reporting scope, March 2025 to June 2026.</x:v>
      </x:c>
      <x:c r="I66" s="28" t="str">
        <x:v>العدد الشهري لمعاملات نقاط البيع التي يُبلغ عنها البنك المركزي اليمني – عدن ضمن نطاق إبلاغه، من مارس 2025 إلى يونيو 2026.</x:v>
      </x:c>
      <x:c r="J66" s="24" t="str">
        <x:v>Mar-2025–Jun-2026 monthly</x:v>
      </x:c>
      <x:c r="K66" s="28" t="str">
        <x:v>شهريًا من مارس 2025 إلى يونيو 2026</x:v>
      </x:c>
      <x:c r="L66" s="24" t="str">
        <x:v>POS transactions within the payment-system reporting scope of the Central Bank of Yemen – Aden (CBY-Aden); how far that scope covers each area of Yemen is not established.</x:v>
      </x:c>
      <x:c r="M66" s="28" t="str">
        <x:v>معاملات نقاط البيع ضمن نطاق الإبلاغ عن نظام المدفوعات لدى البنك المركزي اليمني – عدن؛ ولا يثبت الدليل مدى تغطية هذا النطاق لكل مناطق اليمن.</x:v>
      </x:c>
      <x:c r="N66"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 The May 2026 release displays +9.9%, which the published April (30,559) and May (36,201) totals do not yield; because the release contradicts itself, no April to May change is derived, and the two totals and the displayed percentage are shown as published.</x:v>
      </x:c>
      <x:c r="O66"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 ويعرض إصدار مايو 2026 نسبة +9.9%، ولا يعطيها الإجماليان المنشوران لشهري أبريل (30,559) ومايو (36,201)؛ ولأن الإصدار يناقض نفسه، لا يُشتق تغير بين أبريل ومايو، ويُعرض الإجماليان والنسبة المعروضة كما نُشرت.</x:v>
      </x:c>
      <x:c r="P66"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6"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 SRC-CBY-POS-2026-02; SRC-CBY-POS-2026-03; SRC-CBY-POS-2026-04; SRC-CBY-POS-2026-05; SRC-CBY-POS-2026-06</x:v>
      </x:c>
      <x:c r="Y66" s="24" t="str">
        <x:v>[]</x:v>
      </x:c>
      <x:c r="Z66" t="str">
        <x:v>BOUND_EXACT</x:v>
      </x:c>
    </x:row>
    <x:row r="67">
      <x:c r="A67" s="24" t="str">
        <x:v>VIS-POS-VALUE</x:v>
      </x:c>
      <x:c r="B67" s="24" t="str">
        <x:v>VISUAL</x:v>
      </x:c>
      <x:c r="C67" s="24" t="str">
        <x:v>/payments/</x:v>
      </x:c>
      <x:c r="D67" s="24" t="str">
        <x:v>Nominal value of reported POS transactions, monthly</x:v>
      </x:c>
      <x:c r="E67" s="28" t="str">
        <x:v>القيمة الاسمية لمعاملات نقاط البيع المبلغ عنها شهريًا</x:v>
      </x:c>
      <x:c r="F67"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G67"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H67" s="24" t="str">
        <x:v>The monthly nominal value, in Yemeni rials, of POS transactions reported by the Central Bank of Yemen – Aden (CBY-Aden) within its reporting scope, March 2025 to June 2026, with no value for September 2025.</x:v>
      </x:c>
      <x:c r="I67" s="28" t="str">
        <x:v>القيمة الاسمية الشهرية بالريال اليمني لمعاملات نقاط البيع التي يُبلغ عنها البنك المركزي اليمني – عدن ضمن نطاق إبلاغه، من مارس 2025 إلى يونيو 2026، من دون قيمة لشهر سبتمبر 2025.</x:v>
      </x:c>
      <x:c r="J67" s="24" t="str">
        <x:v>Mar-2025–Jun-2026; Sep-2025 gap</x:v>
      </x:c>
      <x:c r="K67" s="28" t="str">
        <x:v>مارس 2025 – يونيو 2026؛ مع فجوة في سبتمبر 2025</x:v>
      </x:c>
      <x:c r="L67" s="24" t="str">
        <x:v>Nominal value of POS transactions within the payment-system reporting scope of the Central Bank of Yemen – Aden (CBY-Aden); how far that scope covers each area of Yemen is not established.</x:v>
      </x:c>
      <x:c r="M67"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values in Yemeni rials as published in the monthly POS releases of the Central Bank of Yemen – Aden (CBY-Aden), normalised to millions of rials; the values are nominal and are not adjusted for inflation or exchange-rate changes. From the January 2026 release onward the value is stated in billions, while the earlier releases state millions; all of them write the decimal mark as a comma, so the January figure printed as 1,262 billion is 1.262 billion, that is YER 1,262 million, and this resource keeps the series in YER million. No value is available for September 2025, and none is interpolated. Each value is shown to the nearest million rials (for example, 317.639 million is shown as 318).</x:v>
      </x:c>
      <x:c r="O67"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وابتداءً من إصدار يناير 2026 تُذكر القيمة بالمليار، بينما تذكرها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بملايين الريالات. ولا تتوفر قيمة لشهر سبتمبر 2025، ولا تُقدَّر بالاستيفاء. وتُعرض كل قيمة مقرّبة إلى أقرب مليون ريال (فمثلًا تُعرض 317.639 مليون ريال على أنها 318).</x:v>
      </x:c>
      <x:c r="P67"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7"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7" s="24" t="str">
        <x:v>The latest observation in this record refers to June 2026; the series runs monthly from March 2025, with no value for September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7" s="28" t="str">
        <x:v>تعود أحدث مشاهدة في هذا السجل إلى يونيو 2026، وتمتد السلسلة شهريًا منذ مارس 2025 من دون قيمة لشهر سبتمبر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SRC-CBY-POS-2025-10; SRC-CBY-POS-2025-11; SRC-CBY-POS-2025-12; SRC-CBY-POS-2026-01; SRC-CBY-POS-2026-02; SRC-CBY-POS-2026-03; SRC-CBY-POS-2026-04; SRC-CBY-POS-2026-05; SRC-CBY-POS-2026-06</x:v>
      </x:c>
      <x:c r="Y67" s="24" t="str">
        <x:v>[]</x:v>
      </x:c>
      <x:c r="Z67" t="str">
        <x:v>BOUND_EXACT</x:v>
      </x:c>
    </x:row>
    <x:row r="68">
      <x:c r="A68" s="24" t="str">
        <x:v>VIS-PAYMENT-ANATOMY</x:v>
      </x:c>
      <x:c r="B68" s="24" t="str">
        <x:v>VISUAL</x:v>
      </x:c>
      <x:c r="C68" s="24" t="str">
        <x:v>/payments/</x:v>
      </x:c>
      <x:c r="D68" s="24" t="str">
        <x:v>What does the payment system actually count?</x:v>
      </x:c>
      <x:c r="E68" s="28" t="str">
        <x:v>ما الذي يقيسه نظام المدفوعات فعلًا؟</x:v>
      </x:c>
      <x:c r="F68"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G68"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H68" s="24" t="str">
        <x:v>Counts of payment-system items — cards, ATMs, POS terminals, POS transactions, e-wallets, e-wallet subscribers and accounts — reported by the Central Bank of Yemen – Aden (CBY-Aden) for the first half of 2025, each in its own unit.</x:v>
      </x:c>
      <x:c r="I68" s="28" t="str">
        <x:v>أعداد عناصر نظام المدفوعات، أي البطاقات وأجهزة الصراف الآلي وأجهزة نقاط البيع ومعاملات نقاط البيع والمحافظ الإلكترونية ومشتركيها والحسابات، التي أبلغ عنها البنك المركزي اليمني – عدن للنصف الأول من 2025، كلٌّ بوحدته.</x:v>
      </x:c>
      <x:c r="J68" s="24" t="str">
        <x:v>2025 H1</x:v>
      </x:c>
      <x:c r="K68" s="28" t="str">
        <x:v>النصف الأول من 2025</x:v>
      </x:c>
      <x:c r="L68" s="24" t="str">
        <x:v>Cards, ATMs, POS terminals, transactions, e-wallets, subscribers and accounts within the payment-system reporting scope of the Central Bank of Yemen – Aden (CBY-Aden), first half of 2025; each has its own unit.</x:v>
      </x:c>
      <x:c r="M68" s="28" t="str">
        <x:v>البطاقات وأجهزة الصراف الآلي ونقاط البيع والمعاملات والمحافظ والمشتركون والحسابات ضمن نطاق الإبلاغ عن نظام المدفوعات لدى البنك المركزي اليمني – عدن في النصف الأول من 2025، كلٌّ بوحدته وقاعدة قياسه.</x:v>
      </x:c>
      <x:c r="N68" s="24" t="str">
        <x:v>Each count is taken as published in the first-half 2025 payment report (an infographic) of the Central Bank of Yemen – Aden (CBY-Aden) and kept in its own unit; the counts are not added together or combined into an index.</x:v>
      </x:c>
      <x:c r="O68" s="28" t="str">
        <x:v>يؤخذ كل عدد كما نُشر في تقرير المدفوعات للنصف الأول من 2025 (إنفوغرافيك) الصادر عن البنك المركزي اليمني – عدن، ويبقى بوحدته؛ ولا تُجمع الأعداد ولا تُدمج في مؤشر مركّب.</x:v>
      </x:c>
      <x:c r="P68"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Q68"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R68" s="24" t="str">
        <x:v>The counts refer to the first half of 2025. They should not be read as describing a later period unless a newer comparable payment report is published.</x:v>
      </x:c>
      <x:c r="S68" s="28" t="str">
        <x:v>تعود الأعداد إلى النصف الأول من 2025، ولا تُقرأ على أنها تصف فترة لاحقة ما لم يُنشر تقرير مدفوعات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SRC-CBY-PAYREPORT-H1-2025</x:v>
      </x:c>
      <x:c r="Y68" s="24" t="str">
        <x:v>[]</x:v>
      </x:c>
      <x:c r="Z68" t="str">
        <x:v>BOUND_EXACT</x:v>
      </x:c>
    </x:row>
    <x:row r="69">
      <x:c r="A69" s="24" t="str">
        <x:v>VIS-MFI-2014-PANEL</x:v>
      </x:c>
      <x:c r="B69" s="24" t="str">
        <x:v>VISUAL</x:v>
      </x:c>
      <x:c r="C69" s="24" t="str">
        <x:v>/finance/</x:v>
      </x:c>
      <x:c r="D69" s="24" t="str">
        <x:v>Microfinance in 2014 — two comparable quarters, not a long trend</x:v>
      </x:c>
      <x:c r="E69" s="28" t="str">
        <x:v>التمويل الأصغر في 2014: ربعان قابلان للمقارنة، لا اتجاه طويل الأمد</x:v>
      </x:c>
      <x:c r="F69"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69"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69" s="24" t="str">
        <x:v>Active borrowers, voluntary savers and outstanding loan portfolio (nominal Yemeni rials) reported by the same nine microfinance providers in Yemen Microfinance Network (YMN) tables for the first and second quarters of 2014.</x:v>
      </x:c>
      <x:c r="I69"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69" s="24" t="str">
        <x:v>2014 Q1/Q2</x:v>
      </x:c>
      <x:c r="K69" s="28" t="str">
        <x:v>الربعان الأول والثاني من 2014</x:v>
      </x:c>
      <x:c r="L69" s="24" t="str">
        <x:v>The same 2014 reporting panel of nine microfinance providers for borrowers, savers and nominal portfolio.</x:v>
      </x:c>
      <x:c r="M69" s="28" t="str">
        <x:v>مجموعة الجهات المُبلِّغة نفسها لعام 2014، المكونة من تسعة مقدمي تمويل أصغر، عند عرض المقترضين والمدخرين ومحفظة القروض الاسمية.</x:v>
      </x:c>
      <x:c r="N69" s="24" t="str">
        <x:v>Totals as published in the quarterly SEEP reporting tables of the Yemen Microfinance Network (YMN) for March and June 2014, covering the same nine reporting providers; one provider's first-quarter figures are reported from December 2013 data.</x:v>
      </x:c>
      <x:c r="O69"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69" s="24" t="str">
        <x:v>It does not form one continuous national series with the 2012 or 2021 figures. | The nine providers are those reporting to YMN, not a census of the whole sector, and one provider's first-quarter figures date from December 2013.</x:v>
      </x:c>
      <x:c r="Q69"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69" s="24" t="str">
        <x:v>The latest observation in this record refers to the second quarter of 2014 (end of June 2014). It should not be read as describing a later period.</x:v>
      </x:c>
      <x:c r="S69" s="28" t="str">
        <x:v>تعود أحدث مشاهدة في هذا السجل إلى الربع الثاني من 2014 (نهاية يونيو 2014)، ولا تُقرأ على أنها تصف فترة لاحقة.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SRC-YMN-MFMAG-2014-Q1-001; SRC-YMN-MFMAG-2014-Q2-001</x:v>
      </x:c>
      <x:c r="Y69" s="24" t="str">
        <x:v>[]</x:v>
      </x:c>
      <x:c r="Z69" t="str">
        <x:v>BOUND_EXACT</x:v>
      </x:c>
      <x:c r="AA69" t="str">
        <x:v>NO_GOVERNED_CONTRACT__TABLE_ONLY</x:v>
      </x:c>
    </x:row>
    <x:row r="70">
      <x:c r="A70" s="24" t="str">
        <x:v>VIS-REMITTANCE-MACRO</x:v>
      </x:c>
      <x:c r="B70" s="24" t="str">
        <x:v>VISUAL</x:v>
      </x:c>
      <x:c r="C70" s="24" t="str">
        <x:v>/remittances/</x:v>
      </x:c>
      <x:c r="D70" s="24" t="str">
        <x:v>Remittances — IMF-reported history, estimate and projections</x:v>
      </x:c>
      <x:c r="E70" s="28" t="str">
        <x:v>التحويلات: القيم التاريخية الواردة في تقارير صندوق النقد الدولي والتقدير والتوقعات</x:v>
      </x:c>
      <x:c r="F70"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0"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0" s="24" t="str">
        <x:v>Annual external-sector remittances, in US$ million, in the IMF series for 2018–2030, with each year labelled as reported history (2018–2024), estimate (2025) or projection (2026–2030).</x:v>
      </x:c>
      <x:c r="I70" s="28" t="str">
        <x:v>التحويلات السنوية في القطاع الخارجي بملايين الدولارات الأمريكية في سلسلة صندوق النقد الدولي للفترة 2018–2030، مع وسم كل سنة بوصفها قيمة تاريخية (2018–2024) أو تقديرًا (2025) أو توقعًا (2026–2030).</x:v>
      </x:c>
      <x:c r="J70" s="24" t="str">
        <x:v>2018–2030</x:v>
      </x:c>
      <x:c r="K70" s="28" t="str">
        <x:v>2018–2030</x:v>
      </x:c>
      <x:c r="L70" s="24" t="str">
        <x:v>IMF external-sector remittance series on the IMF’s analytical scope for areas under the internationally recognized government; each year labelled as reported history, estimate or projection, with its source document</x:v>
      </x:c>
      <x:c r="M70" s="28" t="str">
        <x:v>سلسلة صندوق النقد الدولي للتحويلات في القطاع الخارجي ضمن النطاق التحليلي للصندوق الخاص بمناطق الحكومة المعترف بها دوليًا، مع نوع الدليل لكل سنة ووثيقة مصدرها.</x:v>
      </x:c>
      <x:c r="N70" s="24" t="str">
        <x:v>Values as published by the IMF: 2018–2024 in the 2025 Article IV staff report, based on staff calculations (Table 4, external sector), and 2025–2030 in a later supplement to the same consultation (Supplementary Table 2).</x:v>
      </x:c>
      <x:c r="O70"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70"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0"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0" s="24" t="str">
        <x:v>Reported history runs to 2024 (IMF staff report, staff calculations); 2025 is an estimate and 2026–2030 are projections from a later supplement. Estimates and projections are not observations, so the 2025–2030 values are not current evidence, and the 2024 value should not be read as a current level unless a newer comparable observation is published.</x:v>
      </x:c>
      <x:c r="S70" s="28" t="str">
        <x:v>تمتد القيم التاريخية الواردة في المصدر حتى 2024 (تقرير خبراء صندوق النقد الدولي، وفق حسابات الخبراء)؛ أما 2025 فتقدير، و2026–2030 توقعات من ملحق لاحق. والتقديرات والتوقعات ليست مشاهدات، لذلك ليست قيم 2025–2030 أدلة حالية، ولا تُقرأ قيمة 2024 على أنها مستوى حالي ما لم تُنشر مشاهدة أحدث قابلة للمقارنة.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SRC-IMF-AIV-2025-STAFF-001; SRC-IMF-AIV-2025-SUPP-001</x:v>
      </x:c>
      <x:c r="Y70" s="24" t="str">
        <x:v>[]</x:v>
      </x:c>
      <x:c r="Z70" t="str">
        <x:v>BOUND_EXACT</x:v>
      </x:c>
    </x:row>
    <x:row r="71">
      <x:c r="A71" s="24" t="str">
        <x:v>VIS-REMITTANCE-COST</x:v>
      </x:c>
      <x:c r="B71" s="24" t="str">
        <x:v>VISUAL</x:v>
      </x:c>
      <x:c r="C71" s="24" t="str">
        <x:v>/remittances/</x:v>
      </x:c>
      <x:c r="D71" s="24" t="str">
        <x:v>Quoted cost of sending US$200 and US$500 to Yemen from Saudi Arabia and the UAE, 2025 Q3</x:v>
      </x:c>
      <x:c r="E71" s="28" t="str">
        <x:v>التكلفة المعلنة لإرسال 200 و500 دولار أمريكي إلى اليمن من السعودية والإمارات، الربع الثالث من 2025</x:v>
      </x:c>
      <x:c r="F71"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G71"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H71" s="24" t="str">
        <x:v>The total cost of sending US$200 or US$500 from Saudi Arabia or the United Arab Emirates to Yemen, as a percentage of the amount sent, averaged over quotes for formal products in 2025 Q3.</x:v>
      </x:c>
      <x:c r="I71"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x:v>
      </x:c>
      <x:c r="J71" s="24" t="str">
        <x:v>2025 Q3</x:v>
      </x:c>
      <x:c r="K71" s="28" t="str">
        <x:v>الربع الثالث من 2025</x:v>
      </x:c>
      <x:c r="L71" s="24" t="str">
        <x:v>Formal remittance products listed by the World Bank Remittance Prices Worldwide database for the Saudi Arabia–Yemen and United Arab Emirates–Yemen corridors, by send amount, 2025 Q3</x:v>
      </x:c>
      <x:c r="M71"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x:v>
      </x:c>
      <x:c r="N71"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x:v>
      </x:c>
      <x:c r="O71"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x:v>
      </x:c>
      <x:c r="P71" s="24" t="str">
        <x:v>These averages cover two corridors, two send amounts and formal products listed by Remittance Prices Worldwide; they are not a national average cost of remittances to Yemen and do not represent all providers, all remittances or informal channels. | Each average is specific to its send amount and can vary by provider, payment instrument, receiving method, fee and exchange-rate margin; the number of providers and quotes behind it is not recorded in the evidence base.</x:v>
      </x:c>
      <x:c r="Q71"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 | كل متوسط خاص بمبلغ الإرسال المحدد، وقد يختلف باختلاف مقدم الخدمة وأداة الدفع وطريقة الاستلام والرسوم وهامش سعر الصرف؛ ولا تتضمن قاعدة الأدلة عدد مقدمي الخدمة وعروض الأسعار التي يستند إليها.</x:v>
      </x:c>
      <x:c r="R71" s="24" t="str">
        <x:v>The averages refer to the third quarter of 2025. As checked on 26 September 2026, both corridor pages still showed the third quarter of 2025 as the latest quarter.</x:v>
      </x:c>
      <x:c r="S71" s="28" t="str">
        <x:v>تعود المتوسطات إلى الربع الثالث من 2025. وبحسب ما اطُّلع عليه في 26 سبتمبر 2026، كانت صفحتا الممرين لا تزالان تعرضان الربع الثالث من 2025 بوصفه أحدث ربع متاح.</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SRC-WB-RPW-SA-YEM-2025Q3-001; SRC-WB-RPW-UAE-YEM-2025Q3-001</x:v>
      </x:c>
      <x:c r="Y71" s="24" t="str">
        <x:v>[]</x:v>
      </x:c>
      <x:c r="Z71" t="str">
        <x:v>BOUND_EXACT</x:v>
      </x:c>
    </x:row>
    <x:row r="72">
      <x:c r="A72" s="24" t="str">
        <x:v>VIS-FIRM-CONSTRAINTS</x:v>
      </x:c>
      <x:c r="B72" s="24" t="str">
        <x:v>VISUAL</x:v>
      </x:c>
      <x:c r="C72" s="24" t="str">
        <x:v>/firms/</x:v>
      </x:c>
      <x:c r="D72" s="24" t="str">
        <x:v>Finance is not the only constraint surveyed formal firms report, 2022</x:v>
      </x:c>
      <x:c r="E72" s="28" t="str">
        <x:v>التمويل ليس القيد الوحيد الذي تذكره المنشآت الرسمية المشمولة بالمسح، 2022</x:v>
      </x:c>
      <x:c r="F72"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2"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2" s="24" t="str">
        <x:v>The share of surveyed formal firms in seven governorates that named each item as a business challenge, 2022.</x:v>
      </x:c>
      <x:c r="I72" s="28" t="str">
        <x:v>نسبة المنشآت الرسمية المشمولة بالمسح في سبع محافظات التي ذكرت كل بند بوصفه تحديًا للأعمال، 2022.</x:v>
      </x:c>
      <x:c r="J72" s="24" t="str">
        <x:v>2022</x:v>
      </x:c>
      <x:c r="K72" s="28" t="str">
        <x:v>2022</x:v>
      </x:c>
      <x:c r="L72" s="24" t="str">
        <x:v>Formal enterprises in seven selected governorates covered by the 2022 Yemen Enterprise Survey</x:v>
      </x:c>
      <x:c r="M72" s="28" t="str">
        <x:v>المنشآت الرسمية في المحافظات السبع المختارة التي شملها مسح المنشآت في اليمن لعام 2022.</x:v>
      </x:c>
      <x:c r="N72"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2"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2"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2"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2" s="24" t="str">
        <x:v>The latest observation in this record refers to the 2022 survey (September 2022). It should not be read as describing a later period unless a newer comparable observation is published.</x:v>
      </x:c>
      <x:c r="S72" s="28" t="str">
        <x:v>تعود أحدث مشاهدة في هذا السجل إلى مسح 2022 (سبتمبر 2022)، ولا تُقرأ على أنها تصف فترة لاحقة ما لم تُنشر مشاهدة أحدث قابلة للمقارنة.</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SRC-WB-FSD-2024-001</x:v>
      </x:c>
      <x:c r="Y72" s="24" t="str">
        <x:v>[]</x:v>
      </x:c>
      <x:c r="Z72" t="str">
        <x:v>BOUND_EXACT</x:v>
      </x:c>
    </x:row>
    <x:row r="73">
      <x:c r="A73" s="24" t="str">
        <x:v>VIS-FIRM-FINANCE-PATH</x:v>
      </x:c>
      <x:c r="B73" s="24" t="str">
        <x:v>VISUAL</x:v>
      </x:c>
      <x:c r="C73" s="24" t="str">
        <x:v>/firms/</x:v>
      </x:c>
      <x:c r="D73" s="24" t="str">
        <x:v>Loan sources in 18 valid responses from surveyed formal firms, 2022</x:v>
      </x:c>
      <x:c r="E73" s="28" t="str">
        <x:v>مصادر القروض في 18 استجابة صالحة من المنشآت الرسمية المشمولة بالمسح، 2022</x:v>
      </x:c>
      <x:c r="F73"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3"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3" s="24" t="str">
        <x:v>Counts of surveyed formal firms in seven governorates reporting a line of credit, and counts of loan sources named in valid responses, 2022.</x:v>
      </x:c>
      <x:c r="I73" s="28" t="str">
        <x:v>أعداد المنشآت الرسمية المشمولة بالمسح في سبع محافظات التي أفادت بامتلاك خط ائتمان، وأعداد مصادر القروض المذكورة في الاستجابات الصالحة، 2022.</x:v>
      </x:c>
      <x:c r="J73" s="24" t="str">
        <x:v>2022</x:v>
      </x:c>
      <x:c r="K73" s="28" t="str">
        <x:v>2022</x:v>
      </x:c>
      <x:c r="L73" s="24" t="str">
        <x:v>Formal firms in seven selected governorates: 328 surveyed; 31 report a line of credit; 18 valid loan-source responses</x:v>
      </x:c>
      <x:c r="M73" s="28" t="str">
        <x:v>منشآت رسمية في سبع محافظات مختارة: 328 منشأة في العينة؛ 31 أفادت بخط ائتمان؛ 18 استجابة صالحة لسؤال مصدر القرض.</x:v>
      </x:c>
      <x:c r="N73"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3"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3"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row>
    <x:row r="74">
      <x:c r="A74" s="24" t="str">
        <x:v>VIS-FIRM-FINANCE-SEVERITY</x:v>
      </x:c>
      <x:c r="B74" s="24" t="str">
        <x:v>VISUAL</x:v>
      </x:c>
      <x:c r="C74" s="24" t="str">
        <x:v>/firms/</x:v>
      </x:c>
      <x:c r="D74" s="24" t="str">
        <x:v>Finance obstacle severity among surveyed formal firms, excluding those that said they needed no loan, 2022</x:v>
      </x:c>
      <x:c r="E74" s="28" t="str">
        <x:v>شدة عائق التمويل لدى المنشآت الرسمية المشمولة بالمسح، باستثناء التي قالت إنها لا تحتاج إلى قرض، 2022</x:v>
      </x:c>
      <x:c r="F74"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4"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4" s="24" t="str">
        <x:v>The shares of formal firms rating access to finance as a major or a moderate obstacle, among firms in the survey report's finance-obstacle tabulation (firms that said they did not need a loan are excluded), seven governorates, 2022.</x:v>
      </x:c>
      <x:c r="I74"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4" s="24" t="str">
        <x:v>2022</x:v>
      </x:c>
      <x:c r="K74" s="28" t="str">
        <x:v>2022</x:v>
      </x:c>
      <x:c r="L74" s="24" t="str">
        <x:v>Formal firms in seven selected governorates in the survey report's finance-obstacle tabulation, which excludes firms that said they did not need a loan; the number of firms is not recorded in the evidence base</x:v>
      </x:c>
      <x:c r="M74"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4"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4"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4"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 The source introduces the tabulation 'when asking for the reasons of not applying' (p. 145), so its base may be narrower still: firms that did not apply for a loan, less those that said they did not need one. Which base the source used is not established here.</x:v>
      </x:c>
      <x:c r="Q74"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 ويعرض المصدر هذا الجدول في سياق السؤال عن أسباب عدم التقدم بطلب قرض (الصفحة 145)، لذا قد تكون قاعدته أضيق: المنشآت التي لم تتقدم بطلب قرض، باستثناء التي قالت إنها لا تحتاج إليه. ولم يُثبت هنا أي القاعدتين استخدمها المصدر.</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row>
    <x:row r="75">
      <x:c r="A75" s="24" t="str">
        <x:v>VIS-OECD-FCP-TIMELINE</x:v>
      </x:c>
      <x:c r="B75" s="24" t="str">
        <x:v>VISUAL</x:v>
      </x:c>
      <x:c r="C75" s="24" t="str">
        <x:v>/reforms/</x:v>
      </x:c>
      <x:c r="D75" s="24" t="str">
        <x:v>Financial consumer protection: which steps from framework to outcome are evidenced?</x:v>
      </x:c>
      <x:c r="E75" s="28" t="str">
        <x:v>حماية المستهلك المالي: أي المراحل من الإطار إلى النتيجة تسندها الأدلة؟</x:v>
      </x:c>
      <x:c r="F75"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5"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5" s="24" t="str">
        <x:v>The stages of financial consumer protection in Yemen — framework, stated purpose, awareness activity, implementation, complaints and redress, enforcement and consumer outcomes — and the evidence recorded for each.</x:v>
      </x:c>
      <x:c r="I75"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5" s="24" t="str">
        <x:v>2023 to 2024 (official sources), with OECD context from 2026; later stages have no evidence</x:v>
      </x:c>
      <x:c r="K75" s="28" t="str">
        <x:v>من 2023 إلى 2024 (المصادر الرسمية)، مع سياق من منظمة التعاون الاقتصادي والتنمية في 2026؛ ولا تتوفر أدلة على المراحل اللاحقة</x:v>
      </x:c>
      <x:c r="L75" s="24" t="str">
        <x:v>Official instruments and guidance of the Central Bank of Yemen – Aden (CBY-Aden), with context attributed to the OECD, keeping the framework separate from implementation and outcomes</x:v>
      </x:c>
      <x:c r="M75"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5"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5"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5" s="24" t="str">
        <x:v>The existence of an instrument does not by itself establish a complaint path, implementation or effective protection, and OECD analysis or other secondary material does not raise the evidence to that level.</x:v>
      </x:c>
      <x:c r="Q75"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5" s="24" t="str">
        <x:v>The latest official source in this record dates from 23 March 2024, and the OECD analysis from 2026. The evidence base holds no evidence on implementation, enforcement or consumer outcomes for any date.</x:v>
      </x:c>
      <x:c r="S75"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SRC-CBY-FCP-INSTR-2023-001; SRC-CBY-FCP-AWARE-2024-001; SRC-CBY-FCP-BROCHURE-2024-001; SRC-OECD-YEM-RESILIENCE-001</x:v>
      </x:c>
      <x:c r="Y75" s="24" t="str">
        <x:v>[]</x:v>
      </x:c>
      <x:c r="Z75" t="str">
        <x:v>BOUND_EXACT</x:v>
      </x:c>
    </x:row>
    <x:row r="76">
      <x:c r="A76" s="24" t="str">
        <x:v>VIS-CAPITAL-CONTEXT</x:v>
      </x:c>
      <x:c r="B76" s="24" t="str">
        <x:v>VISUAL</x:v>
      </x:c>
      <x:c r="C76" s="24" t="str">
        <x:v>/reforms/</x:v>
      </x:c>
      <x:c r="D76" s="24" t="str">
        <x:v>Humanitarian, development and project finance: separate pathways</x:v>
      </x:c>
      <x:c r="E76" s="28" t="str">
        <x:v>التمويل الإنساني والتنموي وتمويل المشروعات: مسارات منفصلة</x:v>
      </x:c>
      <x:c r="F76"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6"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6" s="24" t="str">
        <x:v>This record sets out a distinction between finance pathways; it reports no funding amount.</x:v>
      </x:c>
      <x:c r="I76" s="28" t="str">
        <x:v>يحدد هذا السجل تمييزًا بين مسارات التمويل، ولا يورد أي مبلغ تمويلي.</x:v>
      </x:c>
      <x:c r="J76" s="24" t="str">
        <x:v>Individual event dates; context as of 2026</x:v>
      </x:c>
      <x:c r="K76" s="28" t="str">
        <x:v>تواريخ الأحداث المنفردة؛ والسياق كما هو في 2026</x:v>
      </x:c>
      <x:c r="L76" s="24" t="str">
        <x:v>Funding and programme relationships as each source defines them, with flow types and funding states kept separate</x:v>
      </x:c>
      <x:c r="M76" s="28" t="str">
        <x:v>علاقات التمويل والبرامج كما يحددها كل مصدر، مع فصل فئات التدفق وحالاته.</x:v>
      </x:c>
      <x:c r="N76" s="24" t="str">
        <x:v>Each pathway is described by its type of flow and the kind of evidence available for it; amounts in different funding states are not added together, and no amount is reported in this record.</x:v>
      </x:c>
      <x:c r="O76" s="28" t="str">
        <x:v>يوصف كل مسار بنوع التدفق ونوع الأدلة المتاحة له؛ ولا تُجمع مبالغ تمويل في مراحل مختلفة، ولا يورد هذا السجل أي مبلغ.</x:v>
      </x:c>
      <x:c r="P76" s="24" t="str">
        <x:v>Announced or recorded funding is not downstream lending, reach, use or an inclusion outcome. | The humanitarian funding flows linked to this record do not describe development, project or financial-institution finance.</x:v>
      </x:c>
      <x:c r="Q76"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6" s="24" t="str">
        <x:v>This record sets out a distinction and reports no observation, so it has no observation date.</x:v>
      </x:c>
      <x:c r="S76" s="28" t="str">
        <x:v>يحدد هذا السجل تمييزًا ولا يورد مشاهدة، فليس له تاريخ رصد.</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SRC-OCHA-FTS-YEM-2026-001</x:v>
      </x:c>
      <x:c r="Y76" s="24" t="str">
        <x:v>[]</x:v>
      </x:c>
      <x:c r="Z76" t="str">
        <x:v>BOUND_EXACT</x:v>
      </x:c>
    </x:row>
    <x:row r="77">
      <x:c r="A77" s="24" t="str">
        <x:v>VIS-EVIDENCE-GAPS</x:v>
      </x:c>
      <x:c r="B77" s="24" t="str">
        <x:v>VISUAL</x:v>
      </x:c>
      <x:c r="C77" s="24" t="str">
        <x:v>/measurement/</x:v>
      </x:c>
      <x:c r="D77" s="24" t="str">
        <x:v>What we still do not know</x:v>
      </x:c>
      <x:c r="E77" s="28" t="str">
        <x:v>ما الذي ما زلنا لا نعرفه؟</x:v>
      </x:c>
      <x:c r="F77"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7"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H77" s="24" t="str">
        <x:v>This record describes the types of evidence gap recorded in this resource; it reports no value.</x:v>
      </x:c>
      <x:c r="I77" s="28" t="str">
        <x:v>يصف هذا السجل أنواع فجوات الأدلة المسجلة في هذا المورد، ولا يورد أي قيمة.</x:v>
      </x:c>
      <x:c r="J77" s="24" t="str">
        <x:v>As of the edition of this resource dated 3 October 2026</x:v>
      </x:c>
      <x:c r="K77" s="28" t="str">
        <x:v>وفق إصدار هذا المورد المؤرخ في 3 أكتوبر 2026</x:v>
      </x:c>
      <x:c r="L77" s="24" t="str">
        <x:v>Documented gaps that block an answer: missing periods, unavailable sources, missing calculation bases and primary files not yet available</x:v>
      </x:c>
      <x:c r="M77" s="28" t="str">
        <x:v>الفجوات الموثقة التي تحول دون الإجابة: فترات مفقودة، ومصادر غير متاحة، وقواعد احتساب غير موثقة، وملفات أصلية لم تتح بعد.</x:v>
      </x:c>
      <x:c r="N77" s="24" t="str">
        <x:v>Each gap is recorded with an explicit type; a blank or unknown value is recorded as missing, not as zero.</x:v>
      </x:c>
      <x:c r="O77" s="28" t="str">
        <x:v>تُسجَّل كل فجوة بنوع صريح، ويُسجَّل الفراغ أو المجهول بوصفه مفقودًا لا صفرًا.</x:v>
      </x:c>
      <x:c r="P77" s="24" t="str">
        <x:v>A gap is not zero, and it is not evidence of absence or failure.</x:v>
      </x:c>
      <x:c r="Q77" s="28" t="str">
        <x:v>الفجوة ليست صفرًا وليست دليلًا على الغياب أو الفشل.</x:v>
      </x:c>
      <x:c r="R77" s="24" t="str">
        <x:v>The gaps are those recorded as of the edition of this resource dated 3 October 2026. A gap closes when new evidence fills it, and the list changes accordingly.</x:v>
      </x:c>
      <x:c r="S77" s="28" t="str">
        <x:v>الفجوات هي المسجلة وفق إصدار هذا المورد المؤرخ في 3 أكتوبر 2026. وتُغلق الفجوة عندما يسدّها دليل جديد، وتتغير القائمة تبعًا لذلك.</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view summarises other evidence records, which are not yet linked individually here. Before reusing a figure, open the evidence record that reports it and check that record against its own source.</x:v>
      </x:c>
      <x:c r="W77" s="28" t="str">
        <x:v>يلخص هذا العرض سجلات أدلة أخرى لم تُربط بعدُ هنا كلٌّ على حدة. وقبل إعادة استخدام أي رقم، افتح سجل الدليل الذي يورده وطابِقه مع مصدره.</x:v>
      </x:c>
      <x:c r="X77" s="24"/>
      <x:c r="Y77" s="24" t="str">
        <x:v>[]</x:v>
      </x:c>
      <x:c r="Z77" t="str">
        <x:v>COMPOSITE_OF_OBJECTS</x:v>
      </x:c>
    </x:row>
    <x:row r="78">
      <x:c r="A78" s="24" t="str">
        <x:v>VIS-PAYMENT-RAILS</x:v>
      </x:c>
      <x:c r="B78" s="24" t="str">
        <x:v>VISUAL</x:v>
      </x:c>
      <x:c r="C78" s="24" t="str">
        <x:v>/reforms/</x:v>
      </x:c>
      <x:c r="D78" s="24" t="str">
        <x:v>How the payment architecture is changing</x:v>
      </x:c>
      <x:c r="E78" s="28" t="str">
        <x:v>كيف تتغير بنية المدفوعات؟</x:v>
      </x:c>
      <x:c r="F78"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G78"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8" s="24" t="str">
        <x:v>Dated payment-reform steps — rules, project components, decisions, integration work and new institutions — recorded between June 2024 and August 2026, each at the furthest stage its evidence supports.</x:v>
      </x:c>
      <x:c r="I78"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8" s="24" t="str">
        <x:v>2024–2026</x:v>
      </x:c>
      <x:c r="K78" s="28" t="str">
        <x:v>2024–2026</x:v>
      </x:c>
      <x:c r="L78" s="24" t="str">
        <x:v>Payment-reform rules, projects, decisions and institutions documented by the Central Bank of Yemen – Aden (CBY-Aden), the World Bank and the United Nations Development Programme (UNDP), with rules, projects, integration, institutions, operation and use kept separate</x:v>
      </x:c>
      <x:c r="M78"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8"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8"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8"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Q78"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R78"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8"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record is drawn from the source(s) listed on this page. Open a source record to reach the original document, and check that the definition, period, population and geography match what is stated here.</x:v>
      </x:c>
      <x:c r="W7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8" s="24" t="str">
        <x:v>SRC-UNDP-FMIIP-001; SRC-WB-FMIIP-P180708; SRC-WB-FMIIP-ISR2-2026-001; SRC-CBY-EMONEY-AMD-2025-001; SRC-CBY-DIGITAL-EXPO-2026-001; SRC-CBY-PAY-BOARD-2026-001; SRC-CBY-BANK-NETWORK-MTG-2026-001; SRC-CBY-UNIFIED-NET-2026-001; SRC-CBY-YPCC-FOUND-2026-001; SRC-CBY-YPCC-BOARD-2026-001; SRC-CBY-DEC-23-2024-001</x:v>
      </x:c>
      <x:c r="Y78" s="24" t="str">
        <x:v>[]</x:v>
      </x:c>
      <x:c r="Z78" t="str">
        <x:v>BOUND_EXACT</x:v>
      </x:c>
    </x:row>
    <x:row r="79">
      <x:c r="A79" s="24" t="str">
        <x:v>VIS-EVIDENCE-CLASS-LADDER</x:v>
      </x:c>
      <x:c r="B79" s="24" t="str">
        <x:v>VISUAL</x:v>
      </x:c>
      <x:c r="C79" s="24" t="str">
        <x:v>/evidence/</x:v>
      </x:c>
      <x:c r="D79" s="24" t="str">
        <x:v>What kind of evidence is this?</x:v>
      </x:c>
      <x:c r="E79" s="28" t="str">
        <x:v>ما نوع هذا الدليل؟</x:v>
      </x:c>
      <x:c r="F79"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79"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79" s="24" t="str">
        <x:v>This record sets out the types of evidence used in this resource and what each type can support; it reports no value.</x:v>
      </x:c>
      <x:c r="I79" s="28" t="str">
        <x:v>يحدد هذا السجل أنواع الأدلة المستخدمة في هذا المورد وما يمكن لكل نوع أن يدعمه، ولا يورد أي قيمة.</x:v>
      </x:c>
      <x:c r="J79" s="24" t="str">
        <x:v>Edition of this resource dated 3 October 2026</x:v>
      </x:c>
      <x:c r="K79" s="28" t="str">
        <x:v>إصدار هذا المورد المؤرخ في 3 أكتوبر 2026</x:v>
      </x:c>
      <x:c r="L79" s="24" t="str">
        <x:v>Evidence records published in this resource only, classified by their nature and by what each can establish</x:v>
      </x:c>
      <x:c r="M79" s="28" t="str">
        <x:v>سجلات الأدلة المنشورة في هذا المورد فقط، مصنفة بحسب طبيعتها وما تسمح بإثباته.</x:v>
      </x:c>
      <x:c r="N79" s="24" t="str">
        <x:v>Each record is assigned to one evidence type according to how its source produced the evidence; the types are presented as separate categories, not ranked, and no numeric score is assigned.</x:v>
      </x:c>
      <x:c r="O79" s="28" t="str">
        <x:v>يُصنَّف كل سجل في نوع دليل واحد بحسب الطريقة التي أنتج بها مصدره الدليل؛ وتُعرض الأنواع فئاتٍ منفصلة لا ترتيب تفاضليًا بينها، ولا تُمنح أي درجة رقمية.</x:v>
      </x:c>
      <x:c r="P79"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79"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79" s="24" t="str">
        <x:v>This record sets out evidence types and has no observation date; the assignment of records to types reflects the edition of this resource dated 3 October 2026.</x:v>
      </x:c>
      <x:c r="S79" s="28" t="str">
        <x:v>يحدد هذا السجل أنواع الأدلة وليس له تاريخ رصد؛ ويعكس تصنيف السجلات في هذه الأنواع إصدار هذا المورد المؤرخ في 3 أكتوبر 2026.</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view summarises other evidence records, which are not yet linked individually here. Before reusing a figure, open the evidence record that reports it and check that record against its own source.</x:v>
      </x:c>
      <x:c r="W79" s="28" t="str">
        <x:v>يلخص هذا العرض سجلات أدلة أخرى لم تُربط بعدُ هنا كلٌّ على حدة. وقبل إعادة استخدام أي رقم، افتح سجل الدليل الذي يورده وطابِقه مع مصدره.</x:v>
      </x:c>
      <x:c r="X79" s="24"/>
      <x:c r="Y79" s="24" t="str">
        <x:v>[]</x:v>
      </x:c>
      <x:c r="Z79" t="str">
        <x:v>COMPOSITE_OF_OBJECTS</x:v>
      </x:c>
    </x:row>
    <x:row r="80">
      <x:c r="A80" s="24" t="str">
        <x:v>VIS-FL-EVIDENCE-LADDER</x:v>
      </x:c>
      <x:c r="B80" s="24" t="str">
        <x:v>VISUAL</x:v>
      </x:c>
      <x:c r="C80" s="24" t="str">
        <x:v>/people/</x:v>
      </x:c>
      <x:c r="D80" s="24" t="str">
        <x:v>Financial literacy — activity is not outcome</x:v>
      </x:c>
      <x:c r="E80" s="28" t="str">
        <x:v>الثقافة المالية: النشاط لا يساوي نتيجة</x:v>
      </x:c>
      <x:c r="F80"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0"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0"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0"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0" s="24" t="str">
        <x:v>Activity 2023–2025, and the latest available capability survey (2023)</x:v>
      </x:c>
      <x:c r="K80" s="28" t="str">
        <x:v>أنشطة 2023–2025، وأحدث مسح متاح للقدرات المالية (2023)</x:v>
      </x:c>
      <x:c r="L80" s="24" t="str">
        <x:v>Three kinds of evidence: programme activity and its documented outputs or completion, population capability measured by survey, and programme outcomes established by evaluation.</x:v>
      </x:c>
      <x:c r="M80" s="28" t="str">
        <x:v>نشاط البرنامج ومخرجاته أو إكماله، مقابل قدرات السكان المقاسة ونتائج البرنامج التي يثبتها التقييم؛ وهي مستويات أدلة مختلفة.</x:v>
      </x:c>
      <x:c r="N80"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0"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0" s="24" t="str">
        <x:v>It is not established that the OECD/INFE capability levels, or any change in them, result from Global Money Week. Activities, events, participating bodies and workshops are outputs; they do not establish improved financial capability or a causal impact.</x:v>
      </x:c>
      <x:c r="Q80"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0"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0"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record is drawn from the source(s) listed on this page. Open a source record to reach the original document, and check that the definition, period, population and geography match what is stated here.</x:v>
      </x:c>
      <x:c r="W8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0" s="24" t="str">
        <x:v>SRC-CBY-GMW-2023-001; SRC-CBY-GMW-2024-001; SRC-CBY-GMW-2024-CLOSE-001; SRC-CBY-GMW-2025-001; SRC-OECD-INFE-2023</x:v>
      </x:c>
      <x:c r="Y80" s="24" t="str">
        <x:v>[]</x:v>
      </x:c>
      <x:c r="Z80" t="str">
        <x:v>BOUND_EXACT</x:v>
      </x:c>
    </x:row>
    <x:row r="81">
      <x:c r="A81" s="24" t="str">
        <x:v>VIS-MFI-RUPTURE-LENS</x:v>
      </x:c>
      <x:c r="B81" s="24" t="str">
        <x:v>VISUAL</x:v>
      </x:c>
      <x:c r="C81" s="24" t="str">
        <x:v>/finance/</x:v>
      </x:c>
      <x:c r="D81" s="24" t="str">
        <x:v>2015: a sharp fall in active borrowers within the year</x:v>
      </x:c>
      <x:c r="E81" s="28" t="str">
        <x:v>2015: تراجع حاد في أعداد المقترضين النشطين خلال العام</x:v>
      </x:c>
      <x:c r="F81"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1"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1" s="24" t="str">
        <x:v>Active borrowers, savers and outstanding loan portfolio (nominal Yemeni rials) reported for SFD-supported microfinance programmes at 31 March, 30 September and 31 December 2015.</x:v>
      </x:c>
      <x:c r="I81"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1" s="24" t="str">
        <x:v>2015</x:v>
      </x:c>
      <x:c r="K81" s="28" t="str">
        <x:v>2015</x:v>
      </x:c>
      <x:c r="L81" s="24" t="str">
        <x:v>Microfinance observations for March, September and December 2015 as each source and reporting population defines them, with the conflicting year-end portfolio values kept visible.</x:v>
      </x:c>
      <x:c r="M81" s="28" t="str">
        <x:v>مشاهدات التمويل الأصغر في مارس وسبتمبر وديسمبر 2015 كما يحددها كل مصدر ومجتمع إبلاغ، مع إبقاء تعارض قيمتي محفظة القروض في نهاية السنة ظاهرًا.</x:v>
      </x:c>
      <x:c r="N81"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1"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1" s="24" t="str">
        <x:v>It does not estimate a cause of the fall or how large any cause's effect was, gives no values between the three dates, and does not establish which of the two year-end portfolio values, table or narrative, is correct.</x:v>
      </x:c>
      <x:c r="Q81"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1" s="24" t="str">
        <x:v>The latest observation in this record is dated 31 December 2015. It describes 2015 only and should not be read as describing a later period.</x:v>
      </x:c>
      <x:c r="S81" s="28" t="str">
        <x:v>أحدث مشاهدة في هذا السجل مؤرخة في 31 ديسمبر 2015، وهي تصف عام 2015 وحده ولا تُقرأ على أنها تصف فترة لاحقة.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SRC-SFD-Q1-2015-001; SRC-SFD-Q3-2015-001; SRC-SFD-Q4-2015-001</x:v>
      </x:c>
      <x:c r="Y81" s="24" t="str">
        <x:v>[]</x:v>
      </x:c>
      <x:c r="Z81" t="str">
        <x:v>BOUND_EXACT</x:v>
      </x:c>
      <x:c r="AA81" t="str">
        <x:v>NO_GOVERNED_CONTRACT__TABLE_ONLY</x:v>
      </x:c>
    </x:row>
    <x:row r="82">
      <x:c r="A82" s="24" t="str">
        <x:v>VIS-TARGET-RESULT-STATE</x:v>
      </x:c>
      <x:c r="B82" s="24" t="str">
        <x:v>VISUAL</x:v>
      </x:c>
      <x:c r="C82" s="24" t="str">
        <x:v>/reforms/</x:v>
      </x:c>
      <x:c r="D82" s="24" t="str">
        <x:v>FMIIP financial access points: January 2025 baseline and June 2030 target</x:v>
      </x:c>
      <x:c r="E82" s="28" t="str">
        <x:v>نقاط الوصول المالي في مشروع FMIIP: خط أساس يناير 2025 ومستهدف يونيو 2030</x:v>
      </x:c>
      <x:c r="F82"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2"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2" s="24" t="str">
        <x:v>The number of financial access points, as defined by the Financial Market Infrastructure and Inclusion Project (FMIIP), at its January 2025 baseline and its June 2030 target; no result against the target is recorded in the evidence base.</x:v>
      </x:c>
      <x:c r="I82"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2" s="24" t="str">
        <x:v>Baseline January 2025; target June 2030; no result recorded</x:v>
      </x:c>
      <x:c r="K82" s="28" t="str">
        <x:v>خط الأساس يناير 2025؛ المستهدف يونيو 2030؛ لا نتيجة متاحة</x:v>
      </x:c>
      <x:c r="L82" s="24" t="str">
        <x:v>Financial access points as defined in the results framework of the World Bank-financed Financial Market Infrastructure and Inclusion Project (FMIIP, P180708)</x:v>
      </x:c>
      <x:c r="M82" s="28" t="str">
        <x:v>نقاط الوصول المالي وفق تعريف إطار نتائج مشروع البنية التحتية للأسواق المالية والشمول المالي في اليمن (FMIIP، P180708) الممول من البنك الدولي</x:v>
      </x:c>
      <x:c r="N82"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2"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2"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2"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2" s="24" t="str">
        <x:v>The baseline refers to January 2025 and the target to June 2030; no observed result is recorded for any later date.</x:v>
      </x:c>
      <x:c r="S82" s="28" t="str">
        <x:v>يعود خط الأساس إلى يناير 2025 والمستهدف إلى يونيو 2030، ولا تتوفر نتيجة مرصودة لأي تاريخ لاحق.</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SRC-WB-FMIIP-P180708</x:v>
      </x:c>
      <x:c r="Y82" s="24" t="str">
        <x:v>[]</x:v>
      </x:c>
      <x:c r="Z82" t="str">
        <x:v>BOUND_EXACT</x:v>
      </x:c>
    </x:row>
    <x:row r="83">
      <x:c r="A83" s="24" t="str">
        <x:v>CLM-040</x:v>
      </x:c>
      <x:c r="B83" s="24" t="str">
        <x:v>CLAIM</x:v>
      </x:c>
      <x:c r="C83" s="24" t="str">
        <x:v>/remittances/</x:v>
      </x:c>
      <x:c r="D83" s="24" t="str">
        <x:v>The 2025 external-sector statistics mission produced a 2014–2024 historical series</x:v>
      </x:c>
      <x:c r="E83" s="28" t="str">
        <x:v>بعثة إحصاءات القطاع الخارجي في 2025 أنتجت سلسلة تاريخية للفترة 2014–2024</x:v>
      </x:c>
      <x:c r="F83"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3"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3" s="24" t="str">
        <x:v>A documented statistical reconstruction exercise that produced a revised historical external-sector series.</x:v>
      </x:c>
      <x:c r="I83" s="28" t="str">
        <x:v>عملية إعادة بناء إحصائية موثقة نتجت عنها سلسلة تاريخية منقحة لإحصاءات القطاع الخارجي.</x:v>
      </x:c>
      <x:c r="J83" s="24" t="str">
        <x:v>Statistics for 2014–2024 produced in July 2025; publication cycle 2025–2026</x:v>
      </x:c>
      <x:c r="K83" s="28" t="str">
        <x:v>إحصاءات للفترة 2014–2024 أُنتجت في يوليو 2025؛ دورة النشر 2025–2026</x:v>
      </x:c>
      <x:c r="L83" s="24" t="str">
        <x:v>The IMF's analytical framework for external-sector statistics for areas under the internationally recognized government; component scopes and source methods vary</x:v>
      </x:c>
      <x:c r="M83" s="28" t="str">
        <x:v>الإطار التحليلي لصندوق النقد الدولي لإحصاءات القطاع الخارجي الخاص بمناطق الحكومة المعترف بها دوليًا؛ وتختلف نطاقات المكونات وطرق مصادرها.</x:v>
      </x:c>
      <x:c r="N83" s="24" t="str">
        <x:v>IMF documents: a D4D-II capacity-development progress report and the statistical annex of the IMF 2025 Article IV consultation.</x:v>
      </x:c>
      <x:c r="O83" s="28" t="str">
        <x:v>وثائق صادرة عن صندوق النقد الدولي: تقرير مرحلي لبرنامج D4D-II لتنمية القدرات، والملحق الإحصائي لمشاورات المادة الرابعة لعام 2025.</x:v>
      </x:c>
      <x:c r="P83"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3"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3"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3"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SRC-IMF-D4D-YEM-ESS-2025; EP-IMF-CBY-REMIT-METHOD-K04</x:v>
      </x:c>
      <x:c r="Y83" s="24" t="str">
        <x:v>[]</x:v>
      </x:c>
      <x:c r="Z83" t="str">
        <x:v>BOUND_EXACT</x:v>
      </x:c>
    </x:row>
    <x:row r="84">
      <x:c r="A84" s="24" t="str">
        <x:v>CLM-041</x:v>
      </x:c>
      <x:c r="B84" s="24" t="str">
        <x:v>CLAIM</x:v>
      </x:c>
      <x:c r="C84" s="24" t="str">
        <x:v>/remittances/ | /evidence/compare/</x:v>
      </x:c>
      <x:c r="D84" s="24" t="str">
        <x:v>The published CBY and IMF balance-of-payments components tested do not support a single conversion factor</x:v>
      </x:c>
      <x:c r="E84" s="28" t="str">
        <x:v>لا تدعم مكونات ميزان المدفوعات المنشورة التي اختُبرت معامل تحويل واحدًا بين بيانات البنك المركزي وصندوق النقد</x:v>
      </x:c>
      <x:c r="F84"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4"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التحويلات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4" s="24" t="str">
        <x:v>Ratios between CBY-Aden and IMF values for each tested balance-of-payments component over 2021–2024, compared to see whether one conversion factor fits all components.</x:v>
      </x:c>
      <x:c r="I84"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4" s="24" t="str">
        <x:v>Overlapping reference years 2021–2024 in the Central Bank of Yemen – Aden (CBY-Aden) Annual Report 2025 and the IMF 2025 Article IV consultation</x:v>
      </x:c>
      <x:c r="K84" s="28" t="str">
        <x:v>السنوات المرجعية المتداخلة 2021–2024 في التقرير السنوي 2025 للبنك المركزي اليمني – عدن وفي مشاورات المادة الرابعة لعام 2025 لصندوق النقد الدولي</x:v>
      </x:c>
      <x:c r="L84" s="24" t="str">
        <x:v>Only the public CBY and IMF balance-of-payments components actually tested; each component retains its source definition, geography and transformation.</x:v>
      </x:c>
      <x:c r="M84"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4"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4"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4"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4" s="28" t="str">
        <x:v>لا تنطبق النسبة الثابتة البالغة 1.838 بين سلسلتي التحويلات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المنشورة التي اختُبرت.</x:v>
      </x:c>
      <x:c r="R84"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4"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SRC-CBY-AR2025-BOP; SRC-IMF-YEM-AIV-2025-2026; CON-046</x:v>
      </x:c>
      <x:c r="Y84" s="24" t="str">
        <x:v>[]</x:v>
      </x:c>
      <x:c r="Z84" t="str">
        <x:v>BOUND_EXACT</x:v>
      </x:c>
    </x:row>
    <x:row r="85">
      <x:c r="A85" s="24" t="str">
        <x:v>CLM-042</x:v>
      </x:c>
      <x:c r="B85" s="24" t="str">
        <x:v>CLAIM</x:v>
      </x:c>
      <x:c r="C85" s="24" t="str">
        <x:v>/remittances/ | /methodology/</x:v>
      </x:c>
      <x:c r="D85" s="24" t="str">
        <x:v>A stable remittance ratio exists; its meaning remains unknown</x:v>
      </x:c>
      <x:c r="E85" s="28" t="str">
        <x:v>توجد نسبة مستقرة بين سلسلتي التحويلات، لكن معناها ما يزال غير محسوم</x:v>
      </x:c>
      <x:c r="F85"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5" s="28" t="str">
        <x:v>خلال 2021–2024 تبلغ نسبة سلسلة التحويلات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5" s="24" t="str">
        <x:v>The ratio of the CBY-Aden remittance series to the IMF remittance series in each year from 2021 to 2024.</x:v>
      </x:c>
      <x:c r="I85" s="28" t="str">
        <x:v>نسبة سلسلة التحويلات لدى البنك المركزي اليمني – عدن إلى سلسلة التحويلات لدى صندوق النقد الدولي في كل سنة من 2021 إلى 2024.</x:v>
      </x:c>
      <x:c r="J85" s="24" t="str">
        <x:v>Overlapping years 2021–2024; IMF reconstruction covering 2014–2025</x:v>
      </x:c>
      <x:c r="K85" s="28" t="str">
        <x:v>السنوات المتداخلة 2021–2024؛ وإعادة البناء لدى صندوق النقد الدولي للفترة 2014–2025</x:v>
      </x:c>
      <x:c r="L85" s="24" t="str">
        <x:v>The CBY-Aden publication scope compared with the IMF's analytical scope for areas under the internationally recognized government</x:v>
      </x:c>
      <x:c r="M85" s="28" t="str">
        <x:v>نطاق سلسلة التحويلات المنشورة لدى البنك المركزي اليمني – عدن مقابل النطاق التحليلي لصندوق النقد الدولي الخاص بمناطق الحكومة المعترف بها دوليًا.</x:v>
      </x:c>
      <x:c r="N85"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5"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5" s="24" t="str">
        <x:v>The 1.838 ratio is not a population, geography, informal-share or coverage conversion. | Comparability is component-specific only; differences of sign, scope and method remain material.</x:v>
      </x:c>
      <x:c r="Q85"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5" s="24" t="str">
        <x:v>The ratio covers 2021 to 2024, from the CBY-Aden Annual Report 2025 and the IMF 2025 Article IV consultation. It should not be read as holding for later years unless newer comparable editions of both series are published.</x:v>
      </x:c>
      <x:c r="S85"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EP-YEM-BOP-COMPONENT-XWALK-K04</x:v>
      </x:c>
      <x:c r="Y85" s="24" t="str">
        <x:v>[]</x:v>
      </x:c>
      <x:c r="Z85" t="str">
        <x:v>BOUND_EXACT</x:v>
      </x:c>
    </x:row>
    <x:row r="86">
      <x:c r="A86" s="24" t="str">
        <x:v>CLM-043</x:v>
      </x:c>
      <x:c r="B86" s="24" t="str">
        <x:v>CLAIM</x:v>
      </x:c>
      <x:c r="C86" s="24" t="str">
        <x:v>/remittances/</x:v>
      </x:c>
      <x:c r="D86" s="24" t="str">
        <x:v>Before ranking flows, look at the balancing residual</x:v>
      </x:c>
      <x:c r="E86" s="28" t="str">
        <x:v>قبل ترتيب التدفقات الخارجية، افحص البند الموازِن (صافي السهو والخطأ)</x:v>
      </x:c>
      <x:c r="F86"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6" s="28" t="str">
        <x:v>في التقرير السنوي 2025 للبنك المركزي اليمني – عدن، يفوق صافي السهو والخطأ بند التحويلات المنشور في كل سنة من 2021 إلى 2025. ففي 2025 بلغ صافي السهو والخطأ 7.117 مليار دولار مقابل 3.614 مليار دولار للتحويلات، أي إن نسبته إلى بند التحويلات 1.97. وصافي السهو والخطأ بندٌ موازِن محاسبيًا، وليس تدفقًا مرصودًا ولا تقديرًا لتحويلات مخفية.</x:v>
      </x:c>
      <x:c r="H86" s="24" t="str">
        <x:v>Net errors and omissions in the CBY-Aden balance of payments for 2021–2025, compared in size with the published remittance line.</x:v>
      </x:c>
      <x:c r="I86" s="28" t="str">
        <x:v>صافي السهو والخطأ في ميزان المدفوعات لدى البنك المركزي اليمني – عدن للفترة 2021–2025، مقارنًا من حيث الحجم ببند التحويلات المنشور.</x:v>
      </x:c>
      <x:c r="J86" s="24" t="str">
        <x:v>2021–2025</x:v>
      </x:c>
      <x:c r="K86" s="28" t="str">
        <x:v>2021–2025</x:v>
      </x:c>
      <x:c r="L86" s="24" t="str">
        <x:v>The balance of payments as each source defines it</x:v>
      </x:c>
      <x:c r="M86" s="28" t="str">
        <x:v>نطاق ميزان المدفوعات كما يعرفه كل مصدر على حدة.</x:v>
      </x:c>
      <x:c r="N86"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6" s="28" t="str">
        <x:v>قيم من جدول ميزان المدفوعات في التقرير السنوي 2025 للبنك المركزي اليمني – عدن. واحتسب هذا المورد النسبة بقسمة صافي السهو والخطأ على بند التحويلات (2025: 7.117 مقسومًا على 3.614 يساوي 1.97). ويُقرأ صافي السهو والخطأ بوصفه البند الموازِن كما يعرّفه دليل ميزان المدفوعات الصادر عن صندوق النقد الدولي.</x:v>
      </x:c>
      <x:c r="P86" s="24" t="str">
        <x:v>Net errors and omissions are not hidden remittances or an observed flow, and no established decomposition shows the residual to be unrecorded capital. | Errors and omissions is a net balancing residual; it cannot identify a missing component or gross offsetting errors.</x:v>
      </x:c>
      <x:c r="Q86" s="28" t="str">
        <x:v>ليس صافي السهو والخطأ تحويلات مخفية ولا تدفقًا مرصودًا، ولا يوجد تفكيك مثبت يبين أن المتبقي رأسُ مال غير مسجل. | صافي السهو والخطأ بندٌ موازِن صافٍ، ولا يحدد مكونًا مفقودًا بعينه ولا الأخطاء الإجمالية المتقابلة.</x:v>
      </x:c>
      <x:c r="R86" s="24" t="str">
        <x:v>The latest year in this record is 2025, from the CBY-Aden Annual Report 2025. It should not be read as describing a later year unless a newer comparable observation is published.</x:v>
      </x:c>
      <x:c r="S86" s="28" t="str">
        <x:v>آخر سنة في هذا السجل هي 2025، من التقرير السنوي 2025 للبنك المركزي اليمني – عدن، ولا تُقرأ على أنها تصف سنة لاحقة ما لم تُنشر مشاهدة أحدث قابلة للمقارنة.</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EP-YEM-BOP-RESIDUAL-K04</x:v>
      </x:c>
      <x:c r="Y86" s="24" t="str">
        <x:v>[]</x:v>
      </x:c>
      <x:c r="Z86" t="str">
        <x:v>BOUND_EXACT</x:v>
      </x:c>
    </x:row>
    <x:row r="87">
      <x:c r="A87" s="24" t="str">
        <x:v>CLM-044</x:v>
      </x:c>
      <x:c r="B87" s="24" t="str">
        <x:v>CLAIM</x:v>
      </x:c>
      <x:c r="C87" s="24" t="str">
        <x:v>/remittances/ | /evidence/compare/</x:v>
      </x:c>
      <x:c r="D87" s="24" t="str">
        <x:v>An alternative residual model is not the canonical remittance baseline</x:v>
      </x:c>
      <x:c r="E87" s="28" t="str">
        <x:v>نموذج بديل قائم على متبقي ميزان المدفوعات ليس خط الأساس المعتمد للتحويلات</x:v>
      </x:c>
      <x:c r="F87"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7" s="28" t="str">
        <x:v>يقدّر نموذج قائم على متبقي ميزان المدفوعات التحويلات بإسناد فرق متبقٍّ مفترض إليها. ومثل هذا التقدير نموذج بديل، لا مشاهدة مباشرة ولا خط الأساس المعتمد للتحويلات. ويستند التقدير المعني هنا إلى مادة لا يتوافر لها رابط أصلي عام، لذلك لا يعرض هذا المورد، وفق قاعدة النشر المعتمدة فيه، قيمته ولا الجهة التي أعدّته.</x:v>
      </x:c>
      <x:c r="H87" s="24" t="str">
        <x:v>An estimate of 2024 remittances produced by a balance-of-payments residual model, kept separate from the adopted remittance baseline.</x:v>
      </x:c>
      <x:c r="I87" s="28" t="str">
        <x:v>تقدير للتحويلات لعام 2024 ناتج عن نموذج متبقي ميزان المدفوعات، يبقى منفصلًا عن خط الأساس المعتمد للتحويلات.</x:v>
      </x:c>
      <x:c r="J87" s="24" t="str">
        <x:v>2024 estimate</x:v>
      </x:c>
      <x:c r="K87" s="28" t="str">
        <x:v>تقدير 2024</x:v>
      </x:c>
      <x:c r="L87" s="24" t="str">
        <x:v>Yemen as a whole, as an analytical estimate; not an observed official value</x:v>
      </x:c>
      <x:c r="M87" s="28" t="str">
        <x:v>تقدير تحليلي يسعى إلى تمثيل اليمن ككل، وليس قيمة رسمية مرصودة بذاتها.</x:v>
      </x:c>
      <x:c r="N87" s="24" t="str">
        <x:v>Balance-of-payments residual model. The underlying material has no publicly accessible original, so this record cannot be verified through this resource.</x:v>
      </x:c>
      <x:c r="O87" s="28" t="str">
        <x:v>نموذج متبقي ميزان المدفوعات. ولا يتوافر للمادة الأصلية رابط أصلي عام، لذلك لا يمكن التحقق من هذا السجل عبر هذا المورد.</x:v>
      </x:c>
      <x:c r="P87"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7" s="28" t="str">
        <x:v>ليس أي تقدير ناتج عن نموذج متبقي ميزان المدفوعات قيمة وطنية رسمية أو مرصودة، وليس المتبقي رصدًا مباشرًا للتحويلات عبر القنوات غير الرسمية. | تنتقل أخطاء مكونات ميزان المدفوعات الأخرى، والافتراض المعتمد لصافي السهو والخطأ، إلى متبقي التحويلات؛ والتحويلات عبر القنوات غير الرسمية ليست مرصودة مباشرة.</x:v>
      </x:c>
      <x:c r="R87" s="24" t="str">
        <x:v>The estimate refers to 2024. It is a model result rather than an observation and should not be read as describing a later year.</x:v>
      </x:c>
      <x:c r="S87" s="28" t="str">
        <x:v>يعود التقدير إلى عام 2024، وهو ناتج نموذج لا مشاهدة، ولا يُقرأ على أنه يصف سنة لاحقة.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The material behind this record has no public link to its original document, so no source is listed or linked here and no figure from that material is shown. Read the record as an explanation of method, not as a verifiable figure.</x:v>
      </x:c>
      <x:c r="W87"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7" s="24" t="str">
        <x:v>SRC-CCY-REMIT-ESTIMATE-2025; EP-CCY-REMIT-RESIDUAL-MODEL-K04</x:v>
      </x:c>
      <x:c r="Y87" s="24" t="str">
        <x:v>[]</x:v>
      </x:c>
      <x:c r="Z87" t="str">
        <x:v>BOUND_EXACT</x:v>
      </x:c>
    </x:row>
    <x:row r="88">
      <x:c r="A88" s="24" t="str">
        <x:v>CLM-045</x:v>
      </x:c>
      <x:c r="B88" s="24" t="str">
        <x:v>CLAIM</x:v>
      </x:c>
      <x:c r="C88" s="24" t="str">
        <x:v>/payments/ | /people/</x:v>
      </x:c>
      <x:c r="D88" s="24" t="str">
        <x:v>A successful cash payment is not yet durable financial use</x:v>
      </x:c>
      <x:c r="E88" s="28" t="str">
        <x:v>نجاح الدفع النقدي لا يعني بعدُ استخدامًا ماليًا مستمرًا</x:v>
      </x:c>
      <x:c r="F88"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8"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8" s="24" t="str">
        <x:v>This record sets out a measurement gap between successful delivery of a cash transfer and continued financial use after it; its only figure is the pilot's reported number of recipients.</x:v>
      </x:c>
      <x:c r="I88" s="28" t="str">
        <x:v>يحدد هذا السجل فجوة قياس بين نجاح إيصال التحويل النقدي واستمرار الاستخدام المالي بعده؛ والرقم الوحيد فيه هو عدد المستفيدين المُعلن للتجربة.</x:v>
      </x:c>
      <x:c r="J88" s="24" t="str">
        <x:v>Evidence published 2023–2026; the pilot material dates from May 2024, and the reference period of the 45,460 figure is not recorded here</x:v>
      </x:c>
      <x:c r="K88" s="28" t="str">
        <x:v>أدلة منشورة بين 2023 و2026؛ ومواد التجربة صادرة في مايو 2024، ولا يسجل هذا السجل الفترة المرجعية لرقم 45,460</x:v>
      </x:c>
      <x:c r="L88" s="24" t="str">
        <x:v>Local, programme and project populations as each source defines them</x:v>
      </x:c>
      <x:c r="M88" s="28" t="str">
        <x:v>النطاقات المحلية أو البرنامجية أو الخاصة بالمشروعات كما يحددها كل مصدر.</x:v>
      </x:c>
      <x:c r="N88" s="24" t="str">
        <x:v>A synthesis of programme and research evidence on each step from cash delivery to continued use, including World Bank/G2Px material on the pilot; no national prevalence figure is constructed.</x:v>
      </x:c>
      <x:c r="O88"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8" s="24" t="str">
        <x:v>Cash-transfer beneficiaries, village savings and loan associations (VSLAs), identity targets and opened accounts are not measures of durable financial use. The 45,460 figure is a programme-reported number of recipients, not a count of people who kept using an account. | Evidence exists for several intermediate links; durable use of an account or wallet after the transfer remains unobserved.</x:v>
      </x:c>
      <x:c r="Q88"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 توجد أدلة مفيدة على حلقات وسيطة، لكن الاستخدام المستمر للحساب/المحفظة بعد التحويل ما يزال غير مرصود.</x:v>
      </x:c>
      <x:c r="R88" s="24" t="str">
        <x:v>The latest evidence in this record was published in 2026; the pilot material dates from May 2024. The record should not be read as describing later programme reach or use unless newer evidence is published.</x:v>
      </x:c>
      <x:c r="S88" s="28" t="str">
        <x:v>نُشرت أحدث الأدلة في هذا السجل في 2026، أما مواد التجربة فصادرة في مايو 2024. ولا يُقرأ السجل على أنه يصف نطاقًا لاحقًا للبرنامج أو استخدامًا لاحقًا ما لم تُنشر أدلة أحدث.</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This record is drawn from the source(s) listed on this page. Open a source record to reach the original document, and check that the definition, period, population and geography match what is stated here.</x:v>
      </x:c>
      <x:c r="W8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8" s="24" t="str">
        <x:v>SRC-WB-G2PX-YEM-UCT-2024-001; SRC-CCY-SAM-2024; SRC-CCY-ISP-2024; SRC-CCY-PRESSURE-2026; EP-YEM-CASH-FIN-TRANSMISSION-K04</x:v>
      </x:c>
      <x:c r="Y88" s="24" t="str">
        <x:v>[{"source_id": "SRC-WB-G2PX-YEM-UCT-2024-001", "url": "https://www.worldbank.org/en/events/2024/05/30/digitalizing-g2p-payments-in-yemen", "audit_state": "PRIMARY_OFFICIAL_PROGRAMME_CONTEXT"}]</x:v>
      </x:c>
      <x:c r="Z88" t="str">
        <x:v>BOUND_EXACT</x:v>
      </x:c>
    </x:row>
    <x:row r="89">
      <x:c r="A89" s="24" t="str">
        <x:v>CLM-046</x:v>
      </x:c>
      <x:c r="B89" s="24" t="str">
        <x:v>CLAIM</x:v>
      </x:c>
      <x:c r="C89" s="24" t="str">
        <x:v>/reforms/ | /finance/</x:v>
      </x:c>
      <x:c r="D89" s="24" t="str">
        <x:v>Pledge, agreement, deposit and disbursement are different stages of support</x:v>
      </x:c>
      <x:c r="E89" s="28" t="str">
        <x:v>التعهد والاتفاق والإيداع والصرف مراحل مختلفة للدعم</x:v>
      </x:c>
      <x:c r="F89" s="24" t="str">
        <x:v>Saudi support is recorded by stage. A pledge, commitment, signed agreement, deposited amount, amount made available, budget disbursement, FX-auction use, in-kind support and project cost are not interchangeable, and they are not added into a cumulative total here.</x:v>
      </x:c>
      <x:c r="G89"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89" s="24" t="str">
        <x:v>This record sets out a distinction and reports no value: a pledge, commitment, signed agreement, deposit, amount made available, budget disbursement, use in foreign-exchange auctions, in-kind support and project cost are different stages of Saudi support to Yemen.</x:v>
      </x:c>
      <x:c r="I89"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89" s="24" t="str">
        <x:v>2010–2026</x:v>
      </x:c>
      <x:c r="K89" s="28" t="str">
        <x:v>2010–2026</x:v>
      </x:c>
      <x:c r="L89" s="24" t="str">
        <x:v>Specific to each source or funding or support package</x:v>
      </x:c>
      <x:c r="M89" s="28" t="str">
        <x:v>النطاق الخاص بكل مصدر أو حزمة تمويل أو دعم.</x:v>
      </x:c>
      <x:c r="N89" s="24" t="str">
        <x:v>Evidence from donor and multilateral sources, read with AidData's historical method for classifying Saudi support to Yemen; the stages are kept separate and are not added together.</x:v>
      </x:c>
      <x:c r="O89" s="28" t="str">
        <x:v>أدلة من مصادر المانحين والمؤسسات متعددة الأطراف، تُقرأ مع منهج AidData التاريخي في تصنيف الدعم السعودي لليمن؛ وتُحفظ المراحل منفصلة ولا تُجمع.</x:v>
      </x:c>
      <x:c r="P89"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89"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89" s="24" t="str">
        <x:v>The evidence in this record spans 2010 to 2026. It should not be read as describing later support unless newer evidence is published.</x:v>
      </x:c>
      <x:c r="S89" s="28" t="str">
        <x:v>تمتد الأدلة في هذا السجل من 2010 إلى 2026، ولا تُقرأ على أنها تصف دعمًا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Some figures in this record are drawn from the source(s) listed on this page; other inputs have not yet been linked to a specific original source. Check each figure against a listed source before reuse, and treat any figure you cannot match as unverified.</x:v>
      </x:c>
      <x:c r="W8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89" s="24" t="str">
        <x:v>SRC-AIDDATA-SAUDI-YEM-2015; EP-SAUDI-SUPPORT-FLOWSTATE-K04; DS-K04-SAUDI-SUPPORT-TRANSMISSION; SRC-SPA-SAU-CBY-DEPOSIT-2018-001; SRC-SPA-SAU-CBY-DEPOSIT-2023-001; SRC-SPA-SAU-BUDGET-2026-001</x:v>
      </x:c>
      <x:c r="Y89" s="24" t="str">
        <x:v>[]</x:v>
      </x:c>
      <x:c r="Z89" t="str">
        <x:v>BOUND_PARTIAL</x:v>
      </x:c>
      <x:c r="AB89" t="str">
        <x:v>SRC-SPA-SAU-CBY-DEPOSIT-2018-001=primary factual evidence; SRC-SPA-SAU-CBY-DEPOSIT-2023-001=primary factual evidence; SRC-SPA-SAU-BUDGET-2026-001=primary factual evidence</x:v>
      </x:c>
    </x:row>
    <x:row r="90">
      <x:c r="A90" s="24" t="str">
        <x:v>CLM-047</x:v>
      </x:c>
      <x:c r="B90" s="24" t="str">
        <x:v>CLAIM</x:v>
      </x:c>
      <x:c r="C90" s="24" t="str">
        <x:v>/remittances/ | /methodology/</x:v>
      </x:c>
      <x:c r="D90" s="24" t="str">
        <x:v>A change in an external position is not automatically a transaction</x:v>
      </x:c>
      <x:c r="E90" s="28" t="str">
        <x:v>تغير المركز الخارجي لا يساوي تلقائيًا تدفقًا أو معاملة</x:v>
      </x:c>
      <x:c r="F90"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0"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0" s="24" t="str">
        <x:v>This record sets out a method rule for separating balance-of-payments transactions from other changes in Yemen's external asset and liability positions; it reports no value.</x:v>
      </x:c>
      <x:c r="I90" s="28" t="str">
        <x:v>يحدد هذا السجل قاعدة منهجية للفصل بين معاملات ميزان المدفوعات والتغيرات الأخرى في مراكز الأصول والخصوم الخارجية لليمن؛ ولا يورد قيمة.</x:v>
      </x:c>
      <x:c r="J90" s="24" t="str">
        <x:v>No values yet; this record sets out a method rule</x:v>
      </x:c>
      <x:c r="K90" s="28" t="str">
        <x:v>لا توجد بعد قيم منشورة؛ هذا السجل قاعدة منهجية</x:v>
      </x:c>
      <x:c r="L90" s="24" t="str">
        <x:v>As defined by the source concerned</x:v>
      </x:c>
      <x:c r="M90" s="28" t="str">
        <x:v>النطاق كما يحدده المصدر المعني.</x:v>
      </x:c>
      <x:c r="N90" s="24" t="str">
        <x:v>Method drawn from the IMF Balance of Payments and International Investment Position Manual, sixth edition (BPM6), its compilation guide, and the IMF's published strategy for moving to the seventh edition (BPM7).</x:v>
      </x:c>
      <x:c r="O90"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0"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0"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0" s="24" t="str">
        <x:v>This record sets out a method rule and has no observation date; Yemen's international investment position data are not yet in the public evidence base.</x:v>
      </x:c>
      <x:c r="S90" s="28" t="str">
        <x:v>يحدد هذا السجل قاعدة منهجية وليس له تاريخ مشاهدة؛ ولم تدخل بيانات وضع الاستثمار الدولي لليمن بعد قاعدة الأدلة العامة.</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This record is drawn from the source(s) listed on this page. Open a source record to reach the original document, and check that the definition, period, population and geography match what is stated here.</x:v>
      </x:c>
      <x:c r="W9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0" s="24" t="str">
        <x:v>SRC-IMF-BPM6; SRC-IMF-BPM6-COMP-GUIDE; SRC-IMF-BPM7-IMPLEMENTATION; EP-YEM-BOP-IIP-RECON-K04</x:v>
      </x:c>
      <x:c r="Y90" s="24" t="str">
        <x:v>[]</x:v>
      </x:c>
      <x:c r="Z90" t="str">
        <x:v>BOUND_EXACT</x:v>
      </x:c>
    </x:row>
    <x:row r="91">
      <x:c r="A91" s="24" t="str">
        <x:v>CLM-048</x:v>
      </x:c>
      <x:c r="B91" s="24" t="str">
        <x:v>CLAIM</x:v>
      </x:c>
      <x:c r="C91" s="24" t="str">
        <x:v>/methodology/ | /remittances/</x:v>
      </x:c>
      <x:c r="D91" s="24" t="str">
        <x:v>BPM7 updates the standard; it does not rewrite Yemen’s statistical history overnight</x:v>
      </x:c>
      <x:c r="E91" s="28" t="str">
        <x:v>الإصدار BPM7 يحدّث المعيار، لكنه لا يعيد كتابة السلاسل الإحصائية التاريخية لليمن فورًا</x:v>
      </x:c>
      <x:c r="F91"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1"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1" s="24" t="str">
        <x:v>This record sets out how Yemen's external-sector series are labelled during the move from the sixth to the seventh edition of the IMF Balance of Payments and International Investment Position Manual (BPM6 to BPM7); it reports no value.</x:v>
      </x:c>
      <x:c r="I91"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1" s="24" t="str">
        <x:v>The BPM7 transition period, and the currently published editions of Yemen's historical external-sector series.</x:v>
      </x:c>
      <x:c r="K91" s="28" t="str">
        <x:v>فترة الانتقال إلى BPM7، والنسخ المنشورة حاليًا من السلاسل التاريخية لبيانات القطاع الخارجي في اليمن.</x:v>
      </x:c>
      <x:c r="L91" s="24" t="str">
        <x:v>The international external-sector statistical standard and Yemen historical series published under their source-native standard/version.</x:v>
      </x:c>
      <x:c r="M91" s="28" t="str">
        <x:v>المعيار الدولي لإحصاءات القطاع الخارجي والسلاسل التاريخية اليمنية المنشورة وفق المعيار أو النسخة التي استخدمها مصدرها.</x:v>
      </x:c>
      <x:c r="N91" s="24" t="str">
        <x:v>Each Yemen series is recorded under the statistical standard and version its source used; a series is recorded as BPM7 only when its source explicitly revises, converts or republishes it under that standard.</x:v>
      </x:c>
      <x:c r="O91"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1" s="24" t="str">
        <x:v>The release of BPM7 does not mean that Yemen's historical data have been restated under it, or that Yemeni sources have already adopted it.</x:v>
      </x:c>
      <x:c r="Q91" s="28" t="str">
        <x:v>لا يعني صدور BPM7 أن البيانات التاريخية لليمن أُعيد عرضها وفقه، ولا أن المصادر اليمنية اعتمدته بالفعل.</x:v>
      </x:c>
      <x:c r="R91" s="24" t="str">
        <x:v>This record sets out a rule for recording statistical-standard versions and has no observation date.</x:v>
      </x:c>
      <x:c r="S91" s="28" t="str">
        <x:v>يحدد هذا السجل قاعدة لتسجيل إصدارات المعيار الإحصائي، وليس له تاريخ مشاهدة.</x:v>
      </x:c>
      <x:c r="T91" s="24" t="str">
        <x:v>This record is updated when an authoritative Yemen source explicitly adopts BPM7 for a series, or republishes or revises its historical observations under the new standard, or when an authoritative source is revised or replaced.</x:v>
      </x:c>
      <x:c r="U91"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SRC-IMF-BPM7-IMPLEMENTATION; SRC-IMF-BPM6</x:v>
      </x:c>
      <x:c r="Y91" s="24" t="str">
        <x:v>[]</x:v>
      </x:c>
      <x:c r="Z91" t="str">
        <x:v>BOUND_EXACT</x:v>
      </x:c>
    </x:row>
    <x:row r="92">
      <x:c r="A92" s="24" t="str">
        <x:v>CLM-049</x:v>
      </x:c>
      <x:c r="B92" s="24" t="str">
        <x:v>CLAIM</x:v>
      </x:c>
      <x:c r="C92" s="24" t="str">
        <x:v>/reforms/ | /evidence/</x:v>
      </x:c>
      <x:c r="D92" s="24" t="str">
        <x:v>IMF Staff-Monitored Program (SMP) for Yemen: staff-level agreement of July 2026, subject to Management approval</x:v>
      </x:c>
      <x:c r="E92" s="28" t="str">
        <x:v>برنامج يراقبه خبراء صندوق النقد الدولي (SMP) لليمن: اتفاق على مستوى الخبراء في يوليو 2026، مشروط بموافقة الإدارة</x:v>
      </x:c>
      <x:c r="F92" s="24" t="str">
        <x:v>On 16 July 2026, staff of the International Monetary Fund (IMF) and the Yemeni authorities announced staff-level agreement on key policies and reforms that could underpin a proposed 18-month Staff-Monitored Program (SMP). The IMF stated that the agreement was subject to Management approval and would not result in Board discussion. It is not an IMF financing arrangement.</x:v>
      </x:c>
      <x:c r="G92" s="28" t="str">
        <x:v>في 16 يوليو 2026 أعلن خبراء صندوق النقد الدولي والسلطات اليمنية التوصل إلى اتفاق على مستوى الخبراء بشأن سياسات وإصلاحات رئيسية يمكن أن يستند إليها برنامج مقترح مدته 18 شهرًا يراقبه خبراء صندوق النقد الدولي (SMP). وأوضح الصندوق أن الاتفاق يخضع لموافقة الإدارة ولن يترتب عليه نقاش في المجلس التنفيذي. وليس هذا ترتيب تمويل من الصندوق.</x:v>
      </x:c>
      <x:c r="H92" s="24" t="str">
        <x:v>The approval status of a proposed 18-month Staff-Monitored Program (SMP) of the International Monetary Fund (IMF) for Yemen, as announced by the IMF on 16 July 2026.</x:v>
      </x:c>
      <x:c r="I92" s="28" t="str">
        <x:v>وضع الموافقة على برنامج مقترح مدته 18 شهرًا يراقبه خبراء صندوق النقد الدولي (SMP) لليمن، كما أعلنه الصندوق في 16 يوليو 2026.</x:v>
      </x:c>
      <x:c r="J92" s="24" t="str">
        <x:v>16 July 2026; proposed 18-month IMF Staff-Monitored Program at staff-level agreement stage.</x:v>
      </x:c>
      <x:c r="K92" s="28" t="str">
        <x:v>16 يوليو 2026؛ برنامج مقترح مدته 18 شهرًا يراقبه خبراء صندوق النقد الدولي (SMP)، في مرحلة الاتفاق على مستوى الخبراء.</x:v>
      </x:c>
      <x:c r="L92" s="24" t="str">
        <x:v>The staff-level policy agreement between IMF staff and the Yemeni authorities, and the status of the proposed Staff-Monitored Program (SMP); not an Executive Board-approved financing arrangement.</x:v>
      </x:c>
      <x:c r="M92" s="28" t="str">
        <x:v>الاتفاق على مستوى الخبراء بين فريق خبراء صندوق النقد الدولي والسلطات اليمنية، ووضع البرنامج المقترح الذي يراقبه خبراء الصندوق (SMP)؛ وليس ترتيب تمويل معتمدًا من المجلس التنفيذي.</x:v>
      </x:c>
      <x:c r="N92" s="24" t="str">
        <x:v>The status is taken from the wording of the press release of the International Monetary Fund (IMF) of 16 July 2026: staff-level agreement, subject to IMF Management approval, with no Executive Board discussion and no IMF financing.</x:v>
      </x:c>
      <x:c r="O92" s="28" t="str">
        <x:v>يؤخذ وضع البرنامج من نص البيان الصحفي لصندوق النقد الدولي المؤرخ في 16 يوليو 2026: اتفاق على مستوى الخبراء، يخضع لموافقة إدارة الصندوق، من دون نقاش في المجلس التنفيذي ومن دون تمويل من الصندوق.</x:v>
      </x:c>
      <x:c r="P92" s="24" t="str">
        <x:v>The proposed Staff-Monitored Program (SMP) is not an arrangement approved or endorsed by the Executive Board of the International Monetary Fund (IMF) and does not involve IMF financing; the agreement is also not evidence that external-sector statistics have been reconciled.</x:v>
      </x:c>
      <x:c r="Q92" s="28" t="str">
        <x:v>ليس البرنامج المقترح الذي يراقبه خبراء صندوق النقد الدولي (SMP) ترتيبًا معتمدًا أو مؤيدًا من المجلس التنفيذي للصندوق، ولا ينطوي على تمويل من الصندوق؛ كما أن الاتفاق ليس دليلًا على اكتمال مطابقة إحصاءات القطاع الخارجي.</x:v>
      </x:c>
      <x:c r="R92" s="24" t="str">
        <x:v>The latest information in this record is the announcement of the International Monetary Fund (IMF) of 16 July 2026, when the agreement was at staff level and subject to IMF Management approval. It should not be read as the programme's status at a later date unless a newer IMF notice is published.</x:v>
      </x:c>
      <x:c r="S92" s="28" t="str">
        <x:v>أحدث معلومة في هذا السجل هي إعلان صندوق النقد الدولي في 16 يوليو 2026، حين كان الاتفاق على مستوى الخبراء وخاضعًا لموافقة إدارة الصندوق. ولا يُقرأ على أنه يصف وضع البرنامج في تاريخ لاحق ما لم يُنشر إشعار أحدث من الصندوق.</x:v>
      </x:c>
      <x:c r="T92" s="24" t="str">
        <x:v>This record is updated when an authoritative source is revised or replaced, a newer comparable observation becomes available, the definition, population or method changes, or the conditions for public use change.</x:v>
      </x:c>
      <x:c r="U9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SRC-IMF-YEM-SMP-2026</x:v>
      </x:c>
      <x:c r="Y92" s="24" t="str">
        <x:v>[{"source_id":"SRC-IMF-YEM-SMP-2026","url":"https://www.imf.org/en/news/articles/2026/07/16/pr26249-yemen-imf-reaches-sla-on-new-staff-monitored-program","audit_state":"PASS_AUTHORITY_OR_PROVIDER_LOCATOR"}]</x:v>
      </x:c>
      <x:c r="Z92" t="str">
        <x:v>BOUND_EXACT</x:v>
      </x:c>
    </x:row>
    <x:row r="93">
      <x:c r="A93" s="24" t="str">
        <x:v>CLM-050</x:v>
      </x:c>
      <x:c r="B93" s="24" t="str">
        <x:v>CLAIM</x:v>
      </x:c>
      <x:c r="C93" s="24" t="str">
        <x:v>/payments/ | /people/ | /access/</x:v>
      </x:c>
      <x:c r="D93" s="24" t="str">
        <x:v>807,919 accounts did not mean 807,919 active people</x:v>
      </x:c>
      <x:c r="E93" s="28" t="str">
        <x:v>807,919 حسابًا لا تعني 807,919 شخصًا نشطًا</x:v>
      </x:c>
      <x:c r="F93"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3"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3" s="24" t="str">
        <x:v>The number of electronic-money accounts held with the five providers covered by the Institute of Banking Studies (IBS) study in December 2019, with the average share of those accounts that the study reports as dormant or inactive in 2019.</x:v>
      </x:c>
      <x:c r="I93"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3" s="24" t="str">
        <x:v>Dec-2019; contextual series 2016–2019</x:v>
      </x:c>
      <x:c r="K93" s="28" t="str">
        <x:v>ديسمبر 2019؛ سلسلة سياقية 2016–2019</x:v>
      </x:c>
      <x:c r="L93" s="24" t="str">
        <x:v>Five electronic-money providers/wallets captured by the study</x:v>
      </x:c>
      <x:c r="M93" s="28" t="str">
        <x:v>مقدمو خدمات/محافظ النقود الإلكترونية الخمسة الذين شملتهم الدراسة.</x:v>
      </x:c>
      <x:c r="N93" s="24" t="str">
        <x:v>Account totals and the dormant-account average as reported in the Institute of Banking Studies (IBS) study of electronic payment services in Yemen (2020), which compiled statistics from the five providers it covered.</x:v>
      </x:c>
      <x:c r="O93"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3" s="24" t="str">
        <x:v>The total is not a count of active users or unique people, a national inclusion rate or a 2026 level. Why the numbers differ: CBY-Aden's lower e-wallet subscriber counts for 2024 (record CLM-010) cannot be read as a fall from this total. This study covered five providers and counted accounts; CBY-Aden counts subscribers under its own definition and reporting scope. The two have not been reconciled, and neither counts people. | Accounts are not unique people and are not automatically active; the 23% is a source-wide average, not a provider-specific or current rate.</x:v>
      </x:c>
      <x:c r="Q93" s="28" t="str">
        <x:v>ليس الإجمالي عددًا لمستخدمين نشطين أو لأشخاص فريدين، ولا معدل شمول وطنيًا، ولا مستوى حاليًا لعام 2026. لماذا تختلف الأرقام: لا تُقرأ أعداد مشتركي المحافظ الإلكترونية الأدنى التي يوردها البنك المركزي اليمني – عدن لعام 2024 (السجل CLM-010) تراجعًا عن هذا الإجمالي. فهذه الدراسة شملت خمسة مقدمي خدمات وأحصت حسابات، أما البنك المركزي فيحصي مشتركين وفق تعريفه ونطاق إبلاغه. ولم يُطابَق بين الرقمين، ولا يحصي أيٌّ منهما أشخاصًا. | الحسابات لا تساوي أشخاصًا فريدين ولا تكون نشطة تلقائيًا؛ ونسبة 23% متوسط يورده المصدر وليست نسبة خاصة بكل مقدم خدمة أو نسبة حالية.</x:v>
      </x:c>
      <x:c r="R93" s="24" t="str">
        <x:v>The account total refers to December 2019, within a study series covering 2016 to 2019. It should not be read as describing a later period unless a newer comparable observation is published.</x:v>
      </x:c>
      <x:c r="S93" s="28" t="str">
        <x:v>يعود إجمالي الحسابات إلى ديسمبر 2019 ضمن سلسلة دراسة تغطي 2016–2019، ولا يُقرأ على أنه يصف فترة لاحقة ما لم تُنشر مشاهدة أحدث قابلة للمقارنة.</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SRC-IBS-EPAY-YEM-2020; EP-IBS-EMONEY-2019-K04</x:v>
      </x:c>
      <x:c r="Y93" s="24" t="str">
        <x:v>[]</x:v>
      </x:c>
      <x:c r="Z93" t="str">
        <x:v>BOUND_EXACT</x:v>
      </x:c>
    </x:row>
    <x:row r="94">
      <x:c r="A94" s="24" t="str">
        <x:v>CLM-051</x:v>
      </x:c>
      <x:c r="B94" s="24" t="str">
        <x:v>CLAIM</x:v>
      </x:c>
      <x:c r="C94" s="24" t="str">
        <x:v>/payments/ | /evidence/compare/</x:v>
      </x:c>
      <x:c r="D94" s="24" t="str">
        <x:v>Most recorded 2019 e-money value still revolved around cash and account transfers</x:v>
      </x:c>
      <x:c r="E94" s="28" t="str">
        <x:v>معظم قيمة معاملات النقود الإلكترونية المسجلة في 2019 ظلت تدور حول النقد والتحويل بين الحسابات</x:v>
      </x:c>
      <x:c r="F94"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4"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4" s="24" t="str">
        <x:v>Shares of the total value of e-money transactions recorded in 2019 by the five providers covered by the Institute of Banking Studies (IBS) study, grouped by function.</x:v>
      </x:c>
      <x:c r="I94"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4" s="24" t="str">
        <x:v>2016–2019; derived comparison 2018–2019</x:v>
      </x:c>
      <x:c r="K94" s="28" t="str">
        <x:v>2016–2019؛ مقارنة مشتقة للفترة 2018–2019</x:v>
      </x:c>
      <x:c r="L94" s="24" t="str">
        <x:v>Transactions reported by the source for the five providers covered by the study</x:v>
      </x:c>
      <x:c r="M94" s="28" t="str">
        <x:v>المعاملات التي أوردها المصدر ضمن نطاق الدراسة المكوّن من خمسة مقدمي خدمات.</x:v>
      </x:c>
      <x:c r="N94"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4"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4"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4"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4" s="24" t="str">
        <x:v>The values refer to 2019, within a study series covering 2016 to 2019 (the derived comparison covers 2018 and 2019). They should not be read as describing a later period unless a newer comparable observation is published.</x:v>
      </x:c>
      <x:c r="S94"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EP-IBS-EMONEY-VALUE-K04</x:v>
      </x:c>
      <x:c r="Y94" s="24" t="str">
        <x:v>[]</x:v>
      </x:c>
      <x:c r="Z94" t="str">
        <x:v>BOUND_EXACT</x:v>
      </x:c>
    </x:row>
    <x:row r="95">
      <x:c r="A95" s="24" t="str">
        <x:v>CLM-052</x:v>
      </x:c>
      <x:c r="B95" s="24" t="str">
        <x:v>CLAIM</x:v>
      </x:c>
      <x:c r="C95" s="24" t="str">
        <x:v>/people/ | /payments/ | /access/</x:v>
      </x:c>
      <x:c r="D95" s="24" t="str">
        <x:v>Historical provider data show concentration in cities and low female representation</x:v>
      </x:c>
      <x:c r="E95" s="28" t="str">
        <x:v>تُظهر بيانات المزودين التاريخية تمركزًا في المدن وتمثيلًا نسائيًا منخفضًا</x:v>
      </x:c>
      <x:c r="F95"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5"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5" s="24" t="str">
        <x:v>The average share of e-money accounts or users in cities, and the average share of women, in the provider data covered by the Institute of Banking Studies (IBS) study for 2016–2019.</x:v>
      </x:c>
      <x:c r="I95"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5" s="24" t="str">
        <x:v>2016–2019</x:v>
      </x:c>
      <x:c r="K95" s="28" t="str">
        <x:v>2016–2019</x:v>
      </x:c>
      <x:c r="L95" s="24" t="str">
        <x:v>E-money accounts or users as reported by the source or by providers</x:v>
      </x:c>
      <x:c r="M95" s="28" t="str">
        <x:v>بيانات الحسابات أو المستخدمين للنقود الإلكترونية كما يوردها المصدر أو مقدم الخدمة.</x:v>
      </x:c>
      <x:c r="N95" s="24" t="str">
        <x:v>Averages and distributions as reported in the Institute of Banking Studies (IBS) study of electronic payment services in Yemen (2020), based on data from the providers it covered.</x:v>
      </x:c>
      <x:c r="O95"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5"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5"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5" s="24" t="str">
        <x:v>The averages cover 2016 to 2019. They should not be read as describing a later period unless a newer comparable observation is published.</x:v>
      </x:c>
      <x:c r="S95" s="28" t="str">
        <x:v>تغطي المتوسطات الفترة 2016–2019،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EP-IBS-GEO-GENDER-K04</x:v>
      </x:c>
      <x:c r="Y95" s="24" t="str">
        <x:v>[]</x:v>
      </x:c>
      <x:c r="Z95" t="str">
        <x:v>BOUND_EXACT</x:v>
      </x:c>
    </x:row>
    <x:row r="96">
      <x:c r="A96" s="24" t="str">
        <x:v>CLM-053</x:v>
      </x:c>
      <x:c r="B96" s="24" t="str">
        <x:v>CLAIM</x:v>
      </x:c>
      <x:c r="C96" s="24" t="str">
        <x:v>/finance/</x:v>
      </x:c>
      <x:c r="D96" s="24" t="str">
        <x:v>End-2023 borrower evidence is useful, but still secondary</x:v>
      </x:c>
      <x:c r="E96" s="28" t="str">
        <x:v>رقم المقترضين في نهاية 2023 مفيد، لكنه ما يزال دليلًا ثانويًا</x:v>
      </x:c>
      <x:c r="F96"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6"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6" s="24" t="str">
        <x:v>The number of active microfinance borrowers at end-2023 reported by a 2024 policy paper citing SFD/SMED data, for a set of providers that has not been verified.</x:v>
      </x:c>
      <x:c r="I96"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6" s="24" t="str">
        <x:v>End-2023</x:v>
      </x:c>
      <x:c r="K96" s="28" t="str">
        <x:v>نهاية 2023</x:v>
      </x:c>
      <x:c r="L96" s="24" t="str">
        <x:v>Microfinance providers covered by the SFD/SMED data cited in the 2024 policy paper; which providers are included has not yet been verified against the primary source.</x:v>
      </x:c>
      <x:c r="M96"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6"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6"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6"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6"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6" s="24" t="str">
        <x:v>The latest observation in this record refers to the end of 2023. No SFD/SMED figure for 2024 has been located, so the value should not be read as describing 2024 or later.</x:v>
      </x:c>
      <x:c r="S96" s="28" t="str">
        <x:v>تعود أحدث مشاهدة في هذا السجل إلى نهاية 2023. ولم يُعثر على رقم لعام 2024 من SFD/SMED، لذلك لا يُقرأ الرقم على أنه يصف 2024 أو ما بعدها.</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SRC-SANAA-MFB-2024; EP-MFB-BORROWERS-2023-K04; SRC-SFD-SMED-LP-2023-NOV</x:v>
      </x:c>
      <x:c r="Y96" s="24" t="str">
        <x:v>[]</x:v>
      </x:c>
      <x:c r="Z96" t="str">
        <x:v>BOUND_EXACT</x:v>
      </x:c>
      <x:c r="AB96" t="str">
        <x:v>SRC-SFD-SMED-LP-2023-NOV=context</x:v>
      </x:c>
    </x:row>
    <x:row r="97">
      <x:c r="A97" s="24" t="str">
        <x:v>CLM-054</x:v>
      </x:c>
      <x:c r="B97" s="24" t="str">
        <x:v>CLAIM</x:v>
      </x:c>
      <x:c r="C97" s="24" t="str">
        <x:v>/finance/ | /evidence/compare/</x:v>
      </x:c>
      <x:c r="D97" s="24" t="str">
        <x:v>Borrower, saver and portfolio figures come from different sources and definitions and do not yet form one trend</x:v>
      </x:c>
      <x:c r="E97" s="28" t="str">
        <x:v>تأتي أرقام المقترضين والمدخرين ومحفظة القروض من مصادر وتعريفات مختلفة، ولا تشكل بعدُ اتجاهًا واحدًا</x:v>
      </x:c>
      <x:c r="F97"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7"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7"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7"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7" s="24" t="str">
        <x:v>End-2015 and end-2020 (verified primary tables), set beside end-2023 (a secondary figure citing SFD/SMED data).</x:v>
      </x:c>
      <x:c r="K97" s="28" t="str">
        <x:v>نهاية 2015 ونهاية 2020 (جداول أصلية موثقة)، إلى جانب نهاية 2023 (رقم ثانوي يستند إلى بيانات SFD/SMED).</x:v>
      </x:c>
      <x:c r="L97" s="24" t="str">
        <x:v>Microfinance borrower, saver/depositor and nominal-portfolio measures drawn from provider and reporting groups defined by each source, which are not yet fully harmonized across years.</x:v>
      </x:c>
      <x:c r="M97"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7"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7"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7" s="24" t="str">
        <x:v>The figures do not show broader inclusion, real credit deepening, a harmonized trend, improved borrower outcomes, a causal effect, growth in unique people or an unchanged set of providers.</x:v>
      </x:c>
      <x:c r="Q97"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7"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7"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SRC-SFD-Q4-2015-001; SRC-SFD-Q4-2020-001; SRC-SANAA-MFB-2024; SRC-CBY-001; INS-K04-023</x:v>
      </x:c>
      <x:c r="Y97" s="24" t="str">
        <x:v>[]</x:v>
      </x:c>
      <x:c r="Z97" t="str">
        <x:v>BOUND_EXACT</x:v>
      </x:c>
    </x:row>
    <x:row r="98">
      <x:c r="A98" s="24" t="str">
        <x:v>CLM-055</x:v>
      </x:c>
      <x:c r="B98" s="24" t="str">
        <x:v>CLAIM</x:v>
      </x:c>
      <x:c r="C98" s="24" t="str">
        <x:v>/providers/ | /finance/</x:v>
      </x:c>
      <x:c r="D98" s="24" t="str">
        <x:v>Being listed as a microfinance bank does not establish operation or outreach</x:v>
      </x:c>
      <x:c r="E98" s="28" t="str">
        <x:v>الإدراج كبنك تمويل أصغر لا يثبت التشغيل أو الوصول الفعلي</x:v>
      </x:c>
      <x:c r="F98" s="24" t="str">
        <x:v>The list of licensed banks of the Central Bank of Yemen – Aden (CBY-Aden), as checked on 3 October 2026, names 26 banks; 12 of them are classified as microfinance banks on the basis of their names in the source. This establishes a dated listing and classification only: being listed or licensed does not mean operating, active or reaching underserved clients.</x:v>
      </x:c>
      <x:c r="G9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ويثبت ذلك الإدراج والتصنيف في تاريخ محدد فقط؛ فالإدراج أو الترخيص لا يعني التشغيل أو النشاط أو الوصول إلى الفئات الأقل حصولًا على الخدمات.</x:v>
      </x:c>
      <x:c r="H98" s="24" t="str">
        <x:v>The number of banks on the licensed-bank list of the Central Bank of Yemen – Aden (CBY-Aden), as checked on 3 October 2026, that are classified as microfinance banks on the basis of their names in the list.</x:v>
      </x:c>
      <x:c r="I98" s="28" t="str">
        <x:v>عدد البنوك الواردة في قائمة البنوك المرخصة لدى البنك المركزي اليمني – عدن، كما اطُّلع عليها في 3 أكتوبر 2026، والمصنفة بنوكَ تمويل أصغر استنادًا إلى تسمياتها في القائمة.</x:v>
      </x:c>
      <x:c r="J98" s="24" t="str">
        <x:v>List as checked on 3 October 2026</x:v>
      </x:c>
      <x:c r="K98" s="28" t="str">
        <x:v>القائمة كما اطُّلع عليها في 3 أكتوبر 2026</x:v>
      </x:c>
      <x:c r="L98" s="24" t="str">
        <x:v>Banks named on the licensed-bank list of the Central Bank of Yemen – Aden (CBY-Aden); list presence is not proof of current operation, branch footprint, product availability or market share</x:v>
      </x:c>
      <x:c r="M98"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8" s="24" t="str">
        <x:v>A count of the banks named on the licensed-bank list published by the Central Bank of Yemen – Aden (CBY-Aden), as checked on 3 October 2026; 12 of them are classified as microfinance banks on the basis of their names in the list. The list establishes listing or licensing by CBY-Aden; it does not by itself establish current operation, service availability or geographic reach.</x:v>
      </x:c>
      <x:c r="O98" s="28" t="str">
        <x:v>عدّ البنوك الواردة في قائمة البنوك المرخصة التي ينشرها البنك المركزي اليمني – عدن، كما اطُّلع عليها في 3 أكتوبر 2026؛ ومنها 12 بنكًا مصنفة بنوكَ تمويل أصغر استنادًا إلى تسمياتها في القائمة. وتثبت القائمة الإدراج أو الترخيص لدى البنك المركزي في عدن، ولا تثبت بذاتها التشغيل الحالي أو توفر الخدمة أو الانتشار الجغرافي.</x:v>
      </x:c>
      <x:c r="P98"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8"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8" s="24" t="str">
        <x:v>This record reflects the licensed-bank list of the Central Bank of Yemen – Aden (CBY-Aden) as checked on 3 October 2026. It should not be read as describing a later date unless a newer version of the list is checked.</x:v>
      </x:c>
      <x:c r="S98"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SRC-CBY-BANKLIST-AR-2026-001; EP-CBY-BANK-ROSTER-2026</x:v>
      </x:c>
      <x:c r="Y98" s="24" t="str">
        <x:v>[]</x:v>
      </x:c>
      <x:c r="Z98" t="str">
        <x:v>BOUND_EXACT</x:v>
      </x:c>
    </x:row>
    <x:row r="99">
      <x:c r="A99" s="24" t="str">
        <x:v>CLM-056</x:v>
      </x:c>
      <x:c r="B99" s="24" t="str">
        <x:v>CLAIM</x:v>
      </x:c>
      <x:c r="C99" s="24" t="str">
        <x:v>/finance/ | /evidence/compare/</x:v>
      </x:c>
      <x:c r="D99" s="24" t="str">
        <x:v>The 91% figure is supportable only as a source-attributed share of saver growth—not as a verified 2023 depositor stock share</x:v>
      </x:c>
      <x:c r="E99" s="28" t="str">
        <x:v>يمكن إسناد نسبة 91% فقط بوصفها حصة من نمو المدخرين وفق المصدر، لا بوصفها حصة محققة من رصيد المودعين في 2023</x:v>
      </x:c>
      <x:c r="F99" s="24" t="str">
        <x:v>The 2024 Sana’a Center paper on microfinance banks attributes 91% to Al-Kuraimi's share of saver growth; the 2023 provider-level numerator, denominator and calculation have not been reproduced.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x:v>
      </x:c>
      <x:c r="G99" s="28" t="str">
        <x:v>تنسب ورقة مركز صنعاء لعام 2024 عن بنوك التمويل الأصغر إلى الكريمي 91% من نمو المدخرين، ولم يُعَد إنتاج البسط وقاعدة الاحتساب والحساب على مستوى مقدمي الخدمة لعام 2023.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x:v>
      </x:c>
      <x:c r="H99" s="24" t="str">
        <x:v>The 91% share of growth in microfinance savers that a 2024 policy paper attributes to Al-Kuraimi; the 2023 provider-level numerator, denominator and calculation behind it have not been reproduced.</x:v>
      </x:c>
      <x:c r="I99" s="28" t="str">
        <x:v>نسبة 91% من نمو المدخرين في التمويل الأصغر التي تنسبها ورقة سياسات منشورة في 2024 إلى الكريمي؛ ولم يُعَد إنتاج البسط وقاعدة الاحتساب والحساب على مستوى مقدمي الخدمة لعام 2023 الذي تستند إليه.</x:v>
      </x:c>
      <x:c r="J99" s="24" t="str">
        <x:v>A statement about 2023 published in 2024, and its restatement in 2025.</x:v>
      </x:c>
      <x:c r="K99" s="28" t="str">
        <x:v>عبارة تخص عام 2023 نُشرت في 2024، وإعادة عرضها في 2025.</x:v>
      </x:c>
      <x:c r="L99" s="24" t="str">
        <x:v>Two distinct metrics: share of saver growth versus share of depositor/saver stock. The 2023 figure of 91% cannot be moved from one measure to the other without a reproduced numerator and denominator.</x:v>
      </x:c>
      <x:c r="M99"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99"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99"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99" s="24" t="str">
        <x:v>It does not establish a verified 2023 stock share, a share of unique clients or a general market share for any provider. | The source's wording concerns a share of growth; the 2023 calculation and the later restatement remain unresolved.</x:v>
      </x:c>
      <x:c r="Q99"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99" s="24" t="str">
        <x:v>The statement refers to 2023 and was restated in 2025; the evidence base holds no later provider-level figure. Its status changes only if primary 2023 provider data reproduce the measure or the source issues an explicit correction or clarification.</x:v>
      </x:c>
      <x:c r="S99"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Some figures in this record are drawn from the source(s) listed on this page; other inputs have not yet been linked to a specific original source. Check each figure against a listed source before reuse, and treat any figure you cannot match as unverified.</x:v>
      </x:c>
      <x:c r="W9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99" s="24" t="str">
        <x:v>SRC-SANAA-MFB-2024; SRC-SANAA-YR-2025-Q2-MFB; CON-057; DS-V041-STRICT-COUNSEL</x:v>
      </x:c>
      <x:c r="Y99" s="24" t="str">
        <x:v>[]</x:v>
      </x:c>
      <x:c r="Z99" t="str">
        <x:v>BOUND_PARTIAL</x:v>
      </x:c>
    </x:row>
    <x:row r="100">
      <x:c r="A100" s="24" t="str">
        <x:v>CLM-057</x:v>
      </x:c>
      <x:c r="B100" s="24" t="str">
        <x:v>CLAIM</x:v>
      </x:c>
      <x:c r="C100" s="24" t="str">
        <x:v>/finance/ | /evidence/</x:v>
      </x:c>
      <x:c r="D100" s="24" t="str">
        <x:v>June and end-2023 borrower points are not one continuous series</x:v>
      </x:c>
      <x:c r="E100" s="28" t="str">
        <x:v>نقطتا يونيو ونهاية 2023 للمقترضين ليستا سلسلة مستمرة واحدة</x:v>
      </x:c>
      <x:c r="F100"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0"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0" s="24" t="str">
        <x:v>Two counts of active microfinance borrowers in 2023, about 80,800 cited for June and 78,686 for the end of the year, reported through different source chains.</x:v>
      </x:c>
      <x:c r="I100" s="28" t="str">
        <x:v>عددان للمقترضين النشطين في التمويل الأصغر في 2023: نحو 80,800 مذكوران ليونيو، و78,686 لنهاية السنة، وردا عبر سلسلتي مصادر مختلفتين.</x:v>
      </x:c>
      <x:c r="J100" s="24" t="str">
        <x:v>June 2023 and end-2023 active-borrower observations from separate source chains.</x:v>
      </x:c>
      <x:c r="K100" s="28" t="str">
        <x:v>مشاهدتان للمقترضين النشطين في يونيو 2023 ونهاية 2023 من سلسلتي مصادر مختلفتين.</x:v>
      </x:c>
      <x:c r="L100" s="24" t="str">
        <x:v>Active-borrower observations for which it has not yet been shown that the June and year-end points cover the same providers and use the same source method.</x:v>
      </x:c>
      <x:c r="M100" s="28" t="str">
        <x:v>مشاهدات للمقترضين النشطين لم يثبت بعد أن نطاق مقدمي الخدمات وطريقة المصدر متطابقان بين نقطة يونيو ونقطة نهاية العام.</x:v>
      </x:c>
      <x:c r="N100" s="24" t="str">
        <x:v>Both figures are taken as reported in two 2024 policy papers that cite different upstream sources. The observations are kept separate, and no change between them is calculated, because their provider sets and methods have not been compared and reconciled.</x:v>
      </x:c>
      <x:c r="O100"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0" s="24" t="str">
        <x:v>The two figures do not establish a decline between June and the end of 2023, monthly values between them, or a continuous series, while the provider sets behind them remain unreconciled.</x:v>
      </x:c>
      <x:c r="Q100"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0" s="24" t="str">
        <x:v>Both observations refer to 2023, the later one to the end of the year; neither describes microfinance after 2023. They remain separate points unless the sources and provider sets are reconciled.</x:v>
      </x:c>
      <x:c r="S100"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This record is drawn from the source(s) listed on this page. Open a source record to reach the original document, and check that the definition, period, population and geography match what is stated here.</x:v>
      </x:c>
      <x:c r="W10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0" s="24" t="str">
        <x:v>SRC-SANAA-SOCPROT-2024; SRC-SANAA-MFB-2024; CON-058</x:v>
      </x:c>
      <x:c r="Y100" s="24" t="str">
        <x:v>[]</x:v>
      </x:c>
      <x:c r="Z100" t="str">
        <x:v>BOUND_EXACT</x:v>
      </x:c>
    </x:row>
    <x:row r="101">
      <x:c r="A101" s="24" t="str">
        <x:v>CLM-058</x:v>
      </x:c>
      <x:c r="B101" s="24" t="str">
        <x:v>CLAIM</x:v>
      </x:c>
      <x:c r="C101" s="24" t="str">
        <x:v>/finance/</x:v>
      </x:c>
      <x:c r="D101" s="24" t="str">
        <x:v>Through 2021, the World Bank reports a broadly flat borrower base while average loan amounts rose</x:v>
      </x:c>
      <x:c r="E101" s="28" t="str">
        <x:v>حتى 2021، يفيد البنك الدولي بأن قاعدة المقترضين ظلت مستقرة تقريبًا بينما ارتفع متوسط حجم التمويل</x:v>
      </x:c>
      <x:c r="F101"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1"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1" s="24" t="str">
        <x:v>The World Bank's account, in its 2024 Yemen Financial Sector Diagnostics, of how the number of active microfinance borrowers and average loan amounts moved through 2021.</x:v>
      </x:c>
      <x:c r="I101" s="28" t="str">
        <x:v>ما يورده البنك الدولي في «تشخيص القطاع المالي في اليمن (2024)» عن حركة عدد المقترضين النشطين في التمويل الأصغر ومتوسط حجم التمويل حتى 2021.</x:v>
      </x:c>
      <x:c r="J101" s="24" t="str">
        <x:v>Historical evidence through 2021.</x:v>
      </x:c>
      <x:c r="K101" s="28" t="str">
        <x:v>دليل تاريخي حتى عام 2021.</x:v>
      </x:c>
      <x:c r="L101" s="24" t="str">
        <x:v>Yemen microfinance borrower and average-loan measures summarized in the World Bank Financial Sector Diagnostics, within the source's sector coverage.</x:v>
      </x:c>
      <x:c r="M101" s="28" t="str">
        <x:v>مقاييس المقترضين ومتوسط حجم القرض في التمويل الأصغر باليمن كما يلخصها تشخيص القطاع المالي للبنك الدولي، ضمن نطاق القطاع الذي يغطيه المصدر.</x:v>
      </x:c>
      <x:c r="N101" s="24" t="str">
        <x:v>Taken from the World Bank's Yemen Financial Sector Diagnostics (2024), which summarizes sector evidence through 2021; this resource reports the source's statement on borrower numbers and average loan amounts as published and does not recompute it.</x:v>
      </x:c>
      <x:c r="O101"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1"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1"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1" s="24" t="str">
        <x:v>The finding covers evidence through 2021 in a source published in 2024. It is not a conclusion about 2023 or 2026, and newer comparable sector evidence would be needed before it could describe the current market.</x:v>
      </x:c>
      <x:c r="S101"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SRC-WB-FSD-2024-001</x:v>
      </x:c>
      <x:c r="Y101" s="24" t="str">
        <x:v>[{"source_id":"SRC-WB-FSD-2024-001","url":"https://documents1.worldbank.org/curated/en/099102324070011985/pdf/P177631-d18a7ee4-3fcf-4393-9665-77f98b3e43a7.pdf","audit_state":"PASS_AUTHORITY_OR_PROVIDER_LOCATOR"}]</x:v>
      </x:c>
      <x:c r="Z101" t="str">
        <x:v>BOUND_EXACT</x:v>
      </x:c>
    </x:row>
    <x:row r="102">
      <x:c r="A102" s="24" t="str">
        <x:v>CLM-032</x:v>
      </x:c>
      <x:c r="B102" s="24" t="str">
        <x:v>CLAIM</x:v>
      </x:c>
      <x:c r="C102" s="24" t="str">
        <x:v>/remittances/ | /evidence/compare/</x:v>
      </x:c>
      <x:c r="D102" s="24" t="str">
        <x:v>Same reference year, different published value</x:v>
      </x:c>
      <x:c r="E102" s="28" t="str">
        <x:v>السنة المرجعية نفسها، وقيمة منشورة مختلفة</x:v>
      </x:c>
      <x:c r="F102"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x:v>
      </x:c>
      <x:c r="G102" s="28" t="str">
        <x:v>تنشر التقارير السنوية للبنك المركزي اليمني – عدن قيمًا مختلفة بصورة جوهرية للتحويلات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x:v>
      </x:c>
      <x:c r="H102" s="24" t="str">
        <x:v>A revision in the published value for the same reference year across different editions of the publication.</x:v>
      </x:c>
      <x:c r="I102" s="28" t="str">
        <x:v>مراجعة في القيمة المنشورة للسنة المرجعية نفسها بين نسخ نشر مختلفة.</x:v>
      </x:c>
      <x:c r="J102" s="24" t="str">
        <x:v>Reference years 2020–2025 in the 2022–2025 annual reports; IMF method work 2024–2025</x:v>
      </x:c>
      <x:c r="K102" s="28" t="str">
        <x:v>سنوات مرجعية 2020–2025 عبر تقارير 2022–2025؛ والعمل المنهجي لصندوق النقد 2024–2025</x:v>
      </x:c>
      <x:c r="L102" s="24" t="str">
        <x:v>The remittance series published in the balance of payments of the Central Bank of Yemen – Aden (CBY-Aden); its exact territorial and conceptual mapping to the IMF reconstruction for areas under the internationally recognized government remains open</x:v>
      </x:c>
      <x:c r="M102" s="28" t="str">
        <x:v>سلسلة التحويلات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2"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x:v>
      </x:c>
      <x:c r="O102"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x:v>
      </x:c>
      <x:c r="P102"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x:v>
      </x:c>
      <x:c r="Q102"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x:v>
      </x:c>
      <x:c r="R102" s="24" t="str">
        <x:v>The record covers reference years 2020 to 2025 as published in the 2022 to 2025 annual reports of the Central Bank of Yemen – Aden (CBY-Aden); the restatement concerns 2024, first published in the 2024 annual report and restated in the 2025 annual report. It should not be read as describing a later edition unless a newer annual report is published.</x:v>
      </x:c>
      <x:c r="S102" s="28" t="str">
        <x:v>يغطي السجل السنوات المرجعية من 2020 إلى 2025 كما نُشرت في التقارير السنوية للبنك المركزي اليمني – عدن من 2022 إلى 2025؛ وتخص إعادة العرض عام 2024، الذي نُشر أولًا في التقرير السنوي 2024 ثم أُعيد عرضه في التقرير السنوي 2025. ولا يُقرأ السجل على أنه يصف نسخة لاحقة ما لم يُنشر تقرير سنوي أحدث.</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SRC-CBY-AR2024-BOP; SRC-CBY-AR2025-BOP; K04-CBY-060; AVA-004; EP-CBY-REMITTANCE-VINTAGE-K04</x:v>
      </x:c>
      <x:c r="Y102" s="24" t="str">
        <x:v>["SRC-CBY-AR2024-BOP", "SRC-CBY-AR2025-BOP"]</x:v>
      </x:c>
      <x:c r="Z102" t="str">
        <x:v>BOUND_EXACT</x:v>
      </x:c>
    </x:row>
    <x:row r="103">
      <x:c r="A103" s="24" t="str">
        <x:v>CLM-033</x:v>
      </x:c>
      <x:c r="B103" s="24" t="str">
        <x:v>CLAIM</x:v>
      </x:c>
      <x:c r="C103" s="24" t="str">
        <x:v>/finance/ | /firms/ | /evidence/compare/</x:v>
      </x:c>
      <x:c r="D103" s="24" t="str">
        <x:v>A measured banking jump can partly be a valuation change</x:v>
      </x:c>
      <x:c r="E103" s="28" t="str">
        <x:v>قد يعود جزء من القفزة في الأرقام المصرفية إلى تغيّر في أسلوب التقييم</x:v>
      </x:c>
      <x:c r="F103"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3"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3" s="24" t="str">
        <x:v>A methodological or valuation break that changes reported levels without necessarily representing the same-sized economic change.</x:v>
      </x:c>
      <x:c r="I103" s="28" t="str">
        <x:v>انقطاع في المنهج أو في أسلوب التقييم يغيّر المستويات المنشورة من دون أن يعني بالضرورة تغيرًا اقتصاديًا بالحجم نفسه.</x:v>
      </x:c>
      <x:c r="J103" s="24" t="str">
        <x:v>2022 positions as published in the 2022 annual report and as restated from the 2023 annual report onward</x:v>
      </x:c>
      <x:c r="K103" s="28" t="str">
        <x:v>مراكز عام 2022 كما نُشرت في التقرير السنوي 2022 وكما أُعيد عرضها ابتداءً من التقرير السنوي 2023</x:v>
      </x:c>
      <x:c r="L103" s="24" t="str">
        <x:v>Consolidated commercial and Islamic bank balance-sheet stocks</x:v>
      </x:c>
      <x:c r="M103" s="28" t="str">
        <x:v>أرصدة الميزانيات المجمعة للبنوك التجارية والإسلامية.</x:v>
      </x:c>
      <x:c r="N103" s="24" t="str">
        <x:v>Annual reports of the Central Bank of Yemen – Aden (CBY-Aden) for 2022 and for 2023 onward; the 2023 annual report contains an explicit note on valuing foreign-currency positions at the market exchange rate.</x:v>
      </x:c>
      <x:c r="O103"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x:v>
      </x:c>
      <x:c r="P103"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x:v>
      </x:c>
      <x:c r="Q103"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x:v>
      </x:c>
      <x:c r="R103" s="24" t="str">
        <x:v>This record applies to the 2022 positions as published in the 2022 annual report and as restated from the 2023 annual report onward. It should not be read as describing later positions.</x:v>
      </x:c>
      <x:c r="S103" s="28" t="str">
        <x:v>ينطبق هذا السجل على مراكز عام 2022 كما نُشرت في التقرير السنوي 2022 وكما أُعيد عرضها ابتداءً من التقرير السنوي 2023، ولا يُقرأ على أنه يصف مراكز لاحقة.</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SRC-CBY-AR2022-001; SRC-CBY-AR2023-001; K04-CBY-061; AVA-005..008; EP-CBY-BANKING-REVAL-K04</x:v>
      </x:c>
      <x:c r="Y103" s="24" t="str">
        <x:v>["SRC-CBY-AR2022-001", "SRC-CBY-AR2023-001"]</x:v>
      </x:c>
      <x:c r="Z103" t="str">
        <x:v>BOUND_EXACT</x:v>
      </x:c>
    </x:row>
    <x:row r="104">
      <x:c r="A104" s="24" t="str">
        <x:v>CLM-034</x:v>
      </x:c>
      <x:c r="B104" s="24" t="str">
        <x:v>CLAIM</x:v>
      </x:c>
      <x:c r="C104" s="24" t="str">
        <x:v>/remittances/ | /methodology/</x:v>
      </x:c>
      <x:c r="D104" s="24" t="str">
        <x:v>A smoother published path is a methods question, not a conclusion</x:v>
      </x:c>
      <x:c r="E104" s="28" t="str">
        <x:v>المسار المنشور الأكثر سلاسة سؤال منهجي، لا استنتاج</x:v>
      </x:c>
      <x:c r="F104"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4" s="28" t="str">
        <x:v>تُظهر سلسلة التحويلات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للتحويلات.</x:v>
      </x:c>
      <x:c r="H104" s="24" t="str">
        <x:v>The annual growth rates of the remittance series in the Central Bank of Yemen – Aden (CBY-Aden) Annual Report 2025, compared across the overlapping years 2021–2025.</x:v>
      </x:c>
      <x:c r="I104" s="28" t="str">
        <x:v>معدلات النمو السنوية لسلسلة التحويلات في التقرير السنوي 2025 للبنك المركزي اليمني – عدن، مقارنةً عبر السنوات المتداخلة 2021–2025.</x:v>
      </x:c>
      <x:c r="J104" s="24" t="str">
        <x:v>Remittance series for the overlapping years 2021–2025, as published in the CBY-Aden Annual Report 2025.</x:v>
      </x:c>
      <x:c r="K104" s="28" t="str">
        <x:v>سلسلة التحويلات للسنوات المتداخلة 2021–2025 كما نُشرت في التقرير السنوي 2025 للبنك المركزي اليمني – عدن.</x:v>
      </x:c>
      <x:c r="L104" s="24" t="str">
        <x:v>The remittance series as defined and published within the CBY-Aden Annual Report 2025; not all remittance channels or household receipts.</x:v>
      </x:c>
      <x:c r="M104" s="28" t="str">
        <x:v>سلسلة التحويلات كما عرّفها ونشرها التقرير السنوي 2025 للبنك المركزي، وليست جميع قنوات التحويل أو تحويلات الأسر المستلمة.</x:v>
      </x:c>
      <x:c r="N104" s="24" t="str">
        <x:v>Year-on-year growth rates computed by this resource from the remittance values in one published edition, the Central Bank of Yemen – Aden (CBY-Aden) Annual Report 2025, and compared across years as a check on method.</x:v>
      </x:c>
      <x:c r="O104" s="28" t="str">
        <x:v>معدلات نمو سنوية احتسبها هذا المورد من قيم التحويلات في نسخة منشورة واحدة هي التقرير السنوي 2025 للبنك المركزي اليمني – عدن، وقورنت عبر السنوات بوصفها فحصًا منهجيًا.</x:v>
      </x:c>
      <x:c r="P104" s="24" t="str">
        <x:v>The pattern does not establish smoothing, interpolation or low real-world volatility.</x:v>
      </x:c>
      <x:c r="Q104" s="28" t="str">
        <x:v>لا يثبت النمط الظاهر في السلسلة المنشورة وجود تنعيم أو استيفاء أو انخفاض في التقلب الفعلي.</x:v>
      </x:c>
      <x:c r="R104" s="24" t="str">
        <x:v>The pattern refers to the remittance series as published in the Central Bank of Yemen – Aden (CBY-Aden) Annual Report 2025. It may change if CBY-Aden revises the series or publishes a newer annual report.</x:v>
      </x:c>
      <x:c r="S104" s="28" t="str">
        <x:v>يعود النمط إلى سلسلة التحويلات كما نُشرت في التقرير السنوي 2025 للبنك المركزي اليمني – عدن، وقد يتغير إذا راجع البنك المركزي في عدن السلسلة أو نشر تقريرًا سنويًا أحدث.</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SRC-CBY-AR2025-BOP; K04-CBY-060; DN-CBY-022</x:v>
      </x:c>
      <x:c r="Y104" s="24" t="str">
        <x:v>["SRC-CBY-AR2025-BOP"]</x:v>
      </x:c>
      <x:c r="Z104" t="str">
        <x:v>BOUND_EXACT</x:v>
      </x:c>
    </x:row>
    <x:row r="105">
      <x:c r="A105" s="24" t="str">
        <x:v>CLM-035</x:v>
      </x:c>
      <x:c r="B105" s="24" t="str">
        <x:v>CLAIM</x:v>
      </x:c>
      <x:c r="C105" s="24" t="str">
        <x:v>/remittances/ | /finance/ | /evidence/compare/</x:v>
      </x:c>
      <x:c r="D105" s="24" t="str">
        <x:v>The apparent balance between remittances and donor financing changes between editions of the annual report</x:v>
      </x:c>
      <x:c r="E105" s="28" t="str">
        <x:v>تتغير الصورة النسبية للتحويلات وتمويل المانحين باختلاف إصدار التقرير السنوي</x:v>
      </x:c>
      <x:c r="F105"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5"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5" s="24" t="str">
        <x:v>The ratio of the remittance item to the donor-financing item for the 2024 reference year, calculated within each of two editions of the Central Bank of Yemen – Aden (CBY-Aden) annual report.</x:v>
      </x:c>
      <x:c r="I105" s="28" t="str">
        <x:v>نسبة بند التحويلات إلى بند تمويل المانحين للسنة المرجعية 2024، محسوبة داخل كل من نسختين من التقرير السنوي للبنك المركزي اليمني – عدن.</x:v>
      </x:c>
      <x:c r="J105" s="24" t="str">
        <x:v>2024 reference year compared in the CBY-Aden Annual Reports 2024 and 2025.</x:v>
      </x:c>
      <x:c r="K105" s="28" t="str">
        <x:v>السنة المرجعية 2024 كما تظهر في التقريرين السنويين 2024 و2025 للبنك المركزي اليمني – عدن.</x:v>
      </x:c>
      <x:c r="L105" s="24" t="str">
        <x:v>Two balance-of-payments items of the Central Bank of Yemen – Aden (CBY-Aden), labelled by the source as remittances and donor financing, within each annual-report edition; not all aid, official development assistance (ODA) or external finance</x:v>
      </x:c>
      <x:c r="M105"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5" s="24" t="str">
        <x:v>Computed by this resource within each annual-report edition: the 2024 remittance item divided by the 2024 donor-financing item, both as labelled and published in that edition (the 2024 annual report, and the 2025 annual report with its restated 2024 values).</x:v>
      </x:c>
      <x:c r="O105"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5" s="24" t="str">
        <x:v>The ratio does not describe all aid, official development assistance or external finance, and it does not rank flows that are defined differently.</x:v>
      </x:c>
      <x:c r="Q105" s="28" t="str">
        <x:v>لا تصف النسبة جميع المساعدات أو المساعدة الإنمائية الرسمية أو جميع أشكال التمويل الخارجي، ولا ترتّب تدفقات تختلف تعريفاتها.</x:v>
      </x:c>
      <x:c r="R105" s="24" t="str">
        <x:v>The comparison refers to the 2024 reference year as published in the 2024 and 2025 annual reports. It is recalculated if either item is revised in a later annual report.</x:v>
      </x:c>
      <x:c r="S105" s="28" t="str">
        <x:v>تعود المقارنة إلى السنة المرجعية 2024 كما نُشرت في التقريرين السنويين 2024 و2025، ويُعاد الحساب إذا روجع أي من البندين في تقرير سنوي لاحق.</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SRC-CBY-AR2024-BOP; SRC-CBY-AR2025-BOP; K04-CBY-062</x:v>
      </x:c>
      <x:c r="Y105" s="24" t="str">
        <x:v>["SRC-CBY-AR2024-BOP", "SRC-CBY-AR2025-BOP"]</x:v>
      </x:c>
      <x:c r="Z105" t="str">
        <x:v>BOUND_EXACT</x:v>
      </x:c>
    </x:row>
    <x:row r="106">
      <x:c r="A106" s="24" t="str">
        <x:v>CLM-036</x:v>
      </x:c>
      <x:c r="B106" s="24" t="str">
        <x:v>CLAIM</x:v>
      </x:c>
      <x:c r="C106" s="24" t="str">
        <x:v>/remittances/ | /methodology/</x:v>
      </x:c>
      <x:c r="D106" s="24" t="str">
        <x:v>A reconstruction programme is documented; the exact CBY formula is not</x:v>
      </x:c>
      <x:c r="E106" s="28" t="str">
        <x:v>إعادة البناء الإحصائي موثقة، أما صيغة البنك المركزي الدقيقة فليست كذلك</x:v>
      </x:c>
      <x:c r="F106"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6"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للتحويلات في تقرير البنك المركزي لعام 2025.</x:v>
      </x:c>
      <x:c r="H106" s="24" t="str">
        <x:v>This record describes the documented work of the IMF with the Central Bank of Yemen – Aden (CBY-Aden) in 2024–2025 to reconstruct external-sector statistics, including a model of personal transfers; it reports no value.</x:v>
      </x:c>
      <x:c r="I106"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6" s="24" t="str">
        <x:v>2014–2025 reconstruction / 2025–26 publication cycle</x:v>
      </x:c>
      <x:c r="K106" s="28" t="str">
        <x:v>إعادة بناء 2014–2025 / دورة النشر 2025–2026</x:v>
      </x:c>
      <x:c r="L106" s="24" t="str">
        <x:v>The IMF's analytical framework for external-sector statistics for areas under the internationally recognized government; component scopes and source methods vary</x:v>
      </x:c>
      <x:c r="M106" s="28" t="str">
        <x:v>الإطار التحليلي لصندوق النقد الدولي لإحصاءات القطاع الخارجي الخاص بمناطق الحكومة المعترف بها دوليًا؛ وتختلف نطاقات المكونات وطرق مصادرها.</x:v>
      </x:c>
      <x:c r="N106" s="24" t="str">
        <x:v>IMF documents: a D4D-II capacity-development progress report and the statistical annex of the IMF 2025 Article IV consultation.</x:v>
      </x:c>
      <x:c r="O106" s="28" t="str">
        <x:v>وثائق صادرة عن صندوق النقد الدولي: تقرير مرحلي لبرنامج D4D-II لتنمية القدرات، والملحق الإحصائي لمشاورات المادة الرابعة لعام 2025.</x:v>
      </x:c>
      <x:c r="P106"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6"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6" s="24" t="str">
        <x:v>The reconstruction work took place in 2024–2025, covers 2014 to 2025 and was documented in IMF publications of 2025–2026. The record describes method rather than a value and does not describe later method work unless newer documentation is published.</x:v>
      </x:c>
      <x:c r="S106"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SRC-IMF-D4D-YEM-ESS-2025; SRC-IMF-YEM-AIV-2025-2026; EP-IMF-CBY-REMIT-METHOD-K04; K04-CBY-060</x:v>
      </x:c>
      <x:c r="Y106" s="24" t="str">
        <x:v>[]</x:v>
      </x:c>
      <x:c r="Z106" t="str">
        <x:v>BOUND_EXACT</x:v>
      </x:c>
    </x:row>
    <x:row r="107">
      <x:c r="A107" s="24" t="str">
        <x:v>CLM-037</x:v>
      </x:c>
      <x:c r="B107" s="24" t="str">
        <x:v>CLAIM</x:v>
      </x:c>
      <x:c r="C107" s="24" t="str">
        <x:v>/remittances/ | /evidence/compare/</x:v>
      </x:c>
      <x:c r="D107" s="24" t="str">
        <x:v>The paths align after normalization; their levels are not equivalent</x:v>
      </x:c>
      <x:c r="E107" s="28" t="str">
        <x:v>يتطابق المساران تقريبًا عند تحويلهما إلى رقم قياسي، لكن مستوياتهما ليست متكافئة</x:v>
      </x:c>
      <x:c r="F107"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7" s="28" t="str">
        <x:v>عند تحويل سلسلتي التحويلات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7" s="24" t="str">
        <x:v>The annual growth paths of the CBY-Aden and IMF remittance series, each indexed to 2021 = 100, compared over 2021–2024.</x:v>
      </x:c>
      <x:c r="I107" s="28" t="str">
        <x:v>مسارا النمو السنوي لسلسلتي التحويلات لدى البنك المركزي اليمني – عدن وصندوق النقد الدولي، بعد تحويل كل منهما إلى رقم قياسي (2021 = 100)، مقارنَين خلال 2021–2024.</x:v>
      </x:c>
      <x:c r="J107" s="24" t="str">
        <x:v>Reference years 2021–2024 (indexed comparison), from the CBY-Aden Annual Report 2025 and the IMF 2025 Article IV consultation</x:v>
      </x:c>
      <x:c r="K107"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7" s="24" t="str">
        <x:v>The remittance series published by the Central Bank of Yemen – Aden (CBY-Aden) and the IMF series for areas under the internationally recognized government; the exact territorial and conceptual mapping between them remains open</x:v>
      </x:c>
      <x:c r="M107" s="28" t="str">
        <x:v>سلسلة التحويلات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7"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7"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7"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7"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7" s="24" t="str">
        <x:v>The latest year compared is 2024, from the CBY-Aden Annual Report 2025 and the IMF 2025 Article IV consultation. It should not be read as describing a later period unless newer comparable editions of both series are published.</x:v>
      </x:c>
      <x:c r="S107"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SRC-CBY-AR2025-BOP; SRC-IMF-YEM-AIV-2025-2026; EP-CBY-REMITTANCE-VINTAGE-K04; EP-IMF-CBY-REMIT-METHOD-K04</x:v>
      </x:c>
      <x:c r="Y107" s="24" t="str">
        <x:v>[]</x:v>
      </x:c>
      <x:c r="Z107" t="str">
        <x:v>BOUND_EXACT</x:v>
      </x:c>
    </x:row>
    <x:row r="108">
      <x:c r="A108" s="24" t="str">
        <x:v>CLM-038</x:v>
      </x:c>
      <x:c r="B108" s="24" t="str">
        <x:v>CLAIM</x:v>
      </x:c>
      <x:c r="C108" s="24" t="str">
        <x:v>/finance/ | /firms/ | /methodology/</x:v>
      </x:c>
      <x:c r="D108" s="24" t="str">
        <x:v>The 2023 valuation change has a precedent and cannot be called the “first ever”</x:v>
      </x:c>
      <x:c r="E108" s="28" t="str">
        <x:v>لتغيير التقييم في 2023 سابقة تاريخية، وليس حدًا يصلح وصفه بأنه «الأول»</x:v>
      </x:c>
      <x:c r="F108"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8"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8" s="24" t="str">
        <x:v>This record traces how foreign-currency positions have been valued in Yemen's banking statistics, from 1996 IMF metadata to the January 2023 change documented by the Central Bank of Yemen – Aden (CBY-Aden); it reports no value.</x:v>
      </x:c>
      <x:c r="I108"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8" s="24" t="str">
        <x:v>1996 historical metadata; 2023 contemporary change; sources reviewed on 10 September 2026</x:v>
      </x:c>
      <x:c r="K108" s="28" t="str">
        <x:v>بيانات وصفية تاريخية من 1996؛ وتغيير معاصر في 2023؛ واطُّلع على المصادر في 10 سبتمبر 2026</x:v>
      </x:c>
      <x:c r="L108" s="24" t="str">
        <x:v>Accounts denominated in foreign currency and banks' foreign-currency positions, within each source's statistical or reporting scope</x:v>
      </x:c>
      <x:c r="M108" s="28" t="str">
        <x:v>الحسابات المقومة بالعملات الأجنبية ومراكز العملات الأجنبية لدى البنوك ضمن نطاقات الإبلاغ أو الإحصاء الخاصة بكل مصدر.</x:v>
      </x:c>
      <x:c r="N108" s="24" t="str">
        <x:v>The valuation method traced across editions of IMF metadata, the CBY annual report and CBY monetary and financial data</x:v>
      </x:c>
      <x:c r="O108" s="28" t="str">
        <x:v>تتبع المنهج عبر نسخ متعددة من بيانات صندوق النقد والتقرير السنوي للبنك المركزي وبياناته النقدية والمالية.</x:v>
      </x:c>
      <x:c r="P108"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8"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8" s="24" t="str">
        <x:v>The record rests on 1996 IMF metadata and the January 2023 change, with sources reviewed on 10 September 2026. It should not be read as describing later valuation practice unless newer documentation is published.</x:v>
      </x:c>
      <x:c r="S108"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SRC-IMF-YEM-EGDDS-VAL-1996; SRC-CBY-AR2023-001; EP-CBY-BANKING-VALUATION-LINEAGE-K04</x:v>
      </x:c>
      <x:c r="Y108" s="24" t="str">
        <x:v>[]</x:v>
      </x:c>
      <x:c r="Z108" t="str">
        <x:v>BOUND_EXACT</x:v>
      </x:c>
    </x:row>
    <x:row r="109">
      <x:c r="A109" s="24" t="str">
        <x:v>CLM-039</x:v>
      </x:c>
      <x:c r="B109" s="24" t="str">
        <x:v>CLAIM</x:v>
      </x:c>
      <x:c r="C109" s="24" t="str">
        <x:v>/remittances/ | /evidence/ | /methodology/</x:v>
      </x:c>
      <x:c r="D109" s="24" t="str">
        <x:v>A public interface is not the same thing as the underlying dataset</x:v>
      </x:c>
      <x:c r="E109" s="28" t="str">
        <x:v>واجهة البيانات العامة ليست هي مجموعة البيانات نفسها</x:v>
      </x:c>
      <x:c r="F109" s="24" t="str">
        <x:v>World Bank public remittance interfaces do not expose Yemen history uniformly. One interface, reviewed on 10 September 2026, showed an older span of years, while other World Bank interfaces and earlier documented retrievals contained later observations. The difference reflects what each interface displays and how its data can be traced; it is not evidence that later underlying data are absent.</x:v>
      </x:c>
      <x:c r="G109" s="28" t="str">
        <x:v>لا تعرض واجهات البنك الدولي العامة الخاصة بالتحويلات تاريخ اليمن بصورة موحدة. فقد أظهرت واجهةٌ اطُّلع عليها في 10 سبتمبر 2026 نطاقًا أقدم، بينما احتوت واجهات أخرى ونسخ سابقة موثقة جرى الاطلاع عليها على مشاهدات أحدث. هذا اختلاف في ما تعرضه الواجهات وفي تتبع المصدر، وليس دليلًا على غياب البيانات الأحدث من مجموعة البيانات الأساسية.</x:v>
      </x:c>
      <x:c r="H109" s="24" t="str">
        <x:v>The difference, as reviewed on 10 September 2026, between the span of Yemen remittance observations shown on one World Bank public data interface and the later observations on other World Bank interfaces and in earlier documented access.</x:v>
      </x:c>
      <x:c r="I109" s="28" t="str">
        <x:v>الفرق، كما اطُّلع عليه في 10 سبتمبر 2026، بين نطاق مشاهدات التحويلات لليمن في إحدى واجهات بيانات البنك الدولي العامة والمشاهدات الأحدث في واجهات أخرى للبنك الدولي وفي نسخ وصول سابقة موثقة.</x:v>
      </x:c>
      <x:c r="J109" s="24" t="str">
        <x:v>World Bank public data interfaces as reviewed on 10 September 2026, and earlier documented access</x:v>
      </x:c>
      <x:c r="K109" s="28" t="str">
        <x:v>واجهات بيانات البنك الدولي العامة كما اطُّلع عليها في 10 سبتمبر 2026، ونسخ الوصول السابقة الموثقة</x:v>
      </x:c>
      <x:c r="L109" s="24" t="str">
        <x:v>Specific to each source or display interface</x:v>
      </x:c>
      <x:c r="M109" s="28" t="str">
        <x:v>النطاق الخاص بكل مصدر أو واجهة عرض.</x:v>
      </x:c>
      <x:c r="N109" s="24" t="str">
        <x:v>World Bank data interfaces, including World Development Indicators (WDI), with documented earlier use of the source</x:v>
      </x:c>
      <x:c r="O109" s="28" t="str">
        <x:v>واجهات بيانات البنك الدولي/WDI مع توثيق نسخ الوصول السابقة إلى المصدر.</x:v>
      </x:c>
      <x:c r="P109" s="24" t="str">
        <x:v>The difference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09"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09" s="24" t="str">
        <x:v>The interfaces were reviewed on 10 September 2026, and what each shows may have changed since. The record should not be read as describing a later state of the interfaces unless they are reviewed again.</x:v>
      </x:c>
      <x:c r="S109"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Some figures in this record are drawn from the source(s) listed on this page; other inputs have not yet been linked to a specific original source. Check each figure against a listed source before reuse, and treat any figure you cannot match as unverified.</x:v>
      </x:c>
      <x:c r="W10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09" s="24" t="str">
        <x:v>SRC-WB-WDI-REMIT-YEM-CURRENT; EP-WB-WDI-REMITTANCE-VINTAGE-K04; CON-045; DS-K04-REMIT-SOURCE-LENSES</x:v>
      </x:c>
      <x:c r="Y109" s="24" t="str">
        <x:v>[]</x:v>
      </x:c>
      <x:c r="Z109" t="str">
        <x:v>BOUND_PARTIAL</x:v>
      </x:c>
    </x:row>
    <x:row r="110">
      <x:c r="A110" s="24" t="str">
        <x:v>CLM-059</x:v>
      </x:c>
      <x:c r="B110" s="24" t="str">
        <x:v>CLAIM</x:v>
      </x:c>
      <x:c r="C110" s="24" t="str">
        <x:v>/firms/</x:v>
      </x:c>
      <x:c r="D110" s="24" t="str">
        <x:v>SMEPS programme reach describes the programme, not all MSMEs in Yemen</x:v>
      </x:c>
      <x:c r="E110" s="28" t="str">
        <x:v>وصول برنامج SMEPS دليل على نطاق البرنامج، لا على حجم قطاع المنشآت في اليمن</x:v>
      </x:c>
      <x:c r="F110" s="24" t="str">
        <x:v>The Small and Micro Enterprise Promotion Service (SMEPS) reports that in 2024 it supported 8,217 micro, small and medium enterprises (MSMEs) and disbursed USD 22,865,322. For 2021–2024 it reports support to 31,560 MSMEs and a USD 54.7 million programme total whose status (committed or disbursed) is not recorded in the evidence base. The 2021–2024 total may count the same enterprise in more than one year, so it is not a count of unique firms. These are programme results reported by SMEPS itself: they describe programme reach and finance, not national MSME prevalence or financial-sector lending.</x:v>
      </x:c>
      <x:c r="G110"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وبإجمالي برامجي قدره 54.7 مليون دولار لا تسجّل قاعدة الأدلة ما إذا كان مبلغًا ملتزَمًا به أم مصروفًا.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x:v>
      </x:c>
      <x:c r="H110" s="24" t="str">
        <x:v>The number of micro, small and medium enterprises (MSMEs) that SMEPS reports supporting, and the programme funds it reports, for 2024 and for 2021–2024.</x:v>
      </x:c>
      <x:c r="I110" s="28" t="str">
        <x:v>عدد المنشآت الأصغر والصغيرة والمتوسطة التي تفيد وكالة SMEPS بأنها دعمتها، والمبالغ البرامجية التي تفيد بها، لعام 2024 وللفترة 2021–2024.</x:v>
      </x:c>
      <x:c r="J110" s="24" t="str">
        <x:v>2024; cumulative 2021–2024</x:v>
      </x:c>
      <x:c r="K110" s="28" t="str">
        <x:v>2024؛ وتراكمي 2021–2024</x:v>
      </x:c>
      <x:c r="L110" s="24" t="str">
        <x:v>Micro, small and medium enterprises supported by SMEPS programmes, and the programme portfolio</x:v>
      </x:c>
      <x:c r="M110" s="28" t="str">
        <x:v>المنشآت الأصغر والصغيرة والمتوسطة التي دعمتها برامج وكالة SMEPS، ومحفظة هذه البرامج.</x:v>
      </x:c>
      <x:c r="N110" s="24" t="str">
        <x:v>Programme outputs and funding as reported by SMEPS in its 2024 annual report.</x:v>
      </x:c>
      <x:c r="O110" s="28" t="str">
        <x:v>مخرجات البرامج وتمويلها كما أوردتها وكالة SMEPS في تقريرها السنوي لعام 2024.</x:v>
      </x:c>
      <x:c r="P110" s="24" t="str">
        <x:v>Programme-supported MSMEs are not the national MSME universe, programme disbursement is not financial-sector lending, and programme outputs are not national or causal outcomes. The 2021–2024 total is not a count of unique firms. | Programme figures count the programme's own participants and disbursements; they are not drawn from a national sample of firms. Whether the USD 54.7 million 2021–2024 total is committed or disbursed funding is not recorded in the evidence base.</x:v>
      </x:c>
      <x:c r="Q110"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 تحصي أرقام البرنامج المشاركين فيه وما صرفه، ولا تستند إلى عينة وطنية من المنشآت. ولا تسجّل قاعدة الأدلة ما إذا كان إجمالي 54.7 مليون دولار للفترة 2021–2024 مبلغًا ملتزَمًا به أم مصروفًا.</x:v>
      </x:c>
      <x:c r="R110" s="24" t="str">
        <x:v>The latest observation in this record refers to 2024, with a cumulative total for 2021–2024. It should not be read as describing a later period unless a newer comparable observation is published.</x:v>
      </x:c>
      <x:c r="S110" s="28" t="str">
        <x:v>تعود أحدث مشاهدة في هذا السجل إلى عام 2024، مع إجمالي تراكمي للفترة 2021–2024، ولا تُقرأ على أنها تصف فترة لاحقة ما لم تُنشر مشاهدة أحدث قابلة للمقارنة.</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This record is drawn from the source(s) listed on this page. Open a source record to reach the original document, and check that the definition, period, population and geography match what is stated here.</x:v>
      </x:c>
      <x:c r="W1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0" s="24" t="str">
        <x:v>SRC-SMEPS-AR2024-2025</x:v>
      </x:c>
      <x:c r="Y110" s="24" t="str">
        <x:v>[{"source_id":"SRC-SMEPS-AR2024-2025","url":"https://smeps.org.ye/post/85","audit_state":"PASS_AUTHORITY_OR_PROVIDER_LOCATOR"}]</x:v>
      </x:c>
      <x:c r="Z110" t="str">
        <x:v>BOUND_EXACT</x:v>
      </x:c>
    </x:row>
    <x:row r="111">
      <x:c r="A111" s="24" t="str">
        <x:v>CLM-060</x:v>
      </x:c>
      <x:c r="B111" s="24" t="str">
        <x:v>CLAIM</x:v>
      </x:c>
      <x:c r="C111" s="24" t="str">
        <x:v>/firms/ | /evidence/</x:v>
      </x:c>
      <x:c r="D111" s="24" t="str">
        <x:v>The SMEPS financial-services KPI is a programme result, not a national MSME rate</x:v>
      </x:c>
      <x:c r="E111" s="28" t="str">
        <x:v>مؤشر SMEPS للوصول إلى الخدمات المالية نتيجة برنامجية، لا معدل وطني للمنشآت</x:v>
      </x:c>
      <x:c r="F111"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1"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1" s="24" t="str">
        <x:v>The share of SMEPS-supported micro, small and medium enterprises that SMEPS reports as having accessed financial services, for 2024 and cumulatively for 2021–2024, with the programme target.</x:v>
      </x:c>
      <x:c r="I111"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1" s="24" t="str">
        <x:v>2024; cumulative/target 2021–2024</x:v>
      </x:c>
      <x:c r="K111" s="28" t="str">
        <x:v>2024؛ والتراكمي/المستهدف 2021–2024</x:v>
      </x:c>
      <x:c r="L111" s="24" t="str">
        <x:v>SMEPS-supported MSMEs under the programme KPI</x:v>
      </x:c>
      <x:c r="M111" s="28" t="str">
        <x:v>المنشآت الأصغر والصغيرة والمتوسطة المدعومة من وكالة SMEPS ضمن قاعدة مؤشر الأداء البرامجي.</x:v>
      </x:c>
      <x:c r="N111" s="24" t="str">
        <x:v>Percentages as reported in the key performance indicator (KPI) table of the SMEPS 2024 annual report.</x:v>
      </x:c>
      <x:c r="O111" s="28" t="str">
        <x:v>النسب كما وردت في جدول مؤشرات الأداء الرئيسية في التقرير السنوي لوكالة SMEPS لعام 2024.</x:v>
      </x:c>
      <x:c r="P111"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1"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1" s="24" t="str">
        <x:v>The latest observation in this record refers to 2024; the cumulative result and the programme target cover 2021–2024. It should not be read as describing a later period unless a newer comparable observation is published.</x:v>
      </x:c>
      <x:c r="S111"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row>
    <x:row r="112">
      <x:c r="A112" s="24" t="str">
        <x:v>CLM-062</x:v>
      </x:c>
      <x:c r="B112" s="24" t="str">
        <x:v>CLAIM</x:v>
      </x:c>
      <x:c r="C112" s="24" t="str">
        <x:v>/firms/ | /evidence/</x:v>
      </x:c>
      <x:c r="D112" s="24" t="str">
        <x:v>Formal firms in the 2022 survey: accounts were common, bank finance for working capital was not</x:v>
      </x:c>
      <x:c r="E112" s="28" t="str">
        <x:v>المنشآت الرسمية في مسح 2022: الحساب المصرفي شائع، أما تمويل البنوك لرأس المال العامل فنادر</x:v>
      </x:c>
      <x:c r="F112"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2"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2" s="24" t="str">
        <x:v>Firm-level financial behaviour reported by the World Bank's 2022 Yemen Enterprise Survey: account holding, average working-capital source shares, financial intermediaries used, and informal firms' account holding.</x:v>
      </x:c>
      <x:c r="I112"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x:v>
      </x:c>
      <x:c r="J112" s="24" t="str">
        <x:v>2022 survey (September 2022); published 2024</x:v>
      </x:c>
      <x:c r="K112" s="28" t="str">
        <x:v>مسح 2022 (سبتمبر 2022)؛ نُشر في 2024</x:v>
      </x:c>
      <x:c r="L112" s="24" t="str">
        <x:v>Two separate samples in seven selected governorates: 328 formal enterprises (including micro firms with fewer than five employees) and 217 informal enterprises drawn from activity and location lists. Neither sample represents all Yemeni firms.</x:v>
      </x:c>
      <x:c r="M112"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2"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with its base, Figures 114–115 (p. 151).</x:v>
      </x:c>
      <x:c r="O112"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مع قاعدتها، الشكلان 114–115 (ص 151).</x:v>
      </x:c>
      <x:c r="P112"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x:v>
      </x:c>
      <x:c r="Q112"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x:v>
      </x:c>
      <x:c r="R112" s="24" t="str">
        <x:v>The latest observation in this record refers to the 2022 survey (September 2022), published in 2024. It should not be read as describing a later period unless a newer comparable observation is published.</x:v>
      </x:c>
      <x:c r="S112" s="28" t="str">
        <x:v>تعود أحدث مشاهدة في هذا السجل إلى مسح 2022 (سبتمبر 2022) الذي نُشر في 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SRC-WB-FSD-2024-001</x:v>
      </x:c>
      <x:c r="Y112" s="24" t="str">
        <x:v>[{"source_id":"SRC-WB-FSD-2024-001","url":"https://documents1.worldbank.org/curated/en/099102324070011985/pdf/P177631-d18a7ee4-3fcf-4393-9665-77f98b3e43a7.pdf","audit_state":"PASS_AUTHORITY_OR_PROVIDER_LOCATOR"}]</x:v>
      </x:c>
      <x:c r="Z112" t="str">
        <x:v>BOUND_EXACT</x:v>
      </x:c>
    </x:row>
    <x:row r="113">
      <x:c r="A113" s="24" t="str">
        <x:v>FMIIP-BASELINE-2025-01</x:v>
      </x:c>
      <x:c r="B113" s="24" t="str">
        <x:v>TEMPORAL_OBSERVATION</x:v>
      </x:c>
      <x:c r="C113" s="24" t="str">
        <x:v>/reforms/ | /evidence/compare/ | /payments/</x:v>
      </x:c>
      <x:c r="D113" s="24" t="str">
        <x:v>FMIIP project baselines for January 2025 count accounts, access points, merchants and agents — not people</x:v>
      </x:c>
      <x:c r="E113" s="28" t="str">
        <x:v>خطوط الأساس لمشروع FMIIP في يناير 2025 تعدّ الحسابات ونقاط الوصول والتجار والوكلاء، لا الأشخاص</x:v>
      </x:c>
      <x:c r="F113"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3"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3"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x:v>
      </x:c>
      <x:c r="I113"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x:v>
      </x:c>
      <x:c r="J113" s="24" t="str">
        <x:v>January 2025 (project baseline)</x:v>
      </x:c>
      <x:c r="K113" s="28" t="str">
        <x:v>يناير 2025 (خط أساس المشروع)</x:v>
      </x:c>
      <x:c r="L113" s="24" t="str">
        <x:v>Project-defined indicators of the FMIIP results framework. The definitions and reporting scope behind each baseline are the project's own and are not documented in the evidence base.</x:v>
      </x:c>
      <x:c r="M113" s="28" t="str">
        <x:v>مؤشرات يعرّفها إطار نتائج مشروع FMIIP. وتعريفات كل خط أساس ونطاق الإبلاغ الخاص به تعود إلى المشروع نفسه، ولا توثقها قاعدة الأدلة.</x:v>
      </x:c>
      <x:c r="N113" s="24" t="str">
        <x:v>Baseline values as reported in the project's results framework.</x:v>
      </x:c>
      <x:c r="O113" s="28" t="str">
        <x:v>قيم خط الأساس كما يوردها إطار نتائج المشروع.</x:v>
      </x:c>
      <x:c r="P113"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 Why the numbers differ: CBY-Aden reports a far higher count of e-wallet subscribers for the first half of 2025 (record CLM-010) than the active e-wallet accounts here. The two carry different labels under definitions the evidence base does not document and that have not been reconciled, so the gap cannot be read as growth, as inactivity or as an error, and neither is a count of people.</x:v>
      </x:c>
      <x:c r="Q113"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 لماذا تختلف الأرقام: يُبلغ البنك المركزي اليمني – عدن عن عدد أعلى بكثير من مشتركي المحافظ الإلكترونية للنصف الأول من 2025 (السجل CLM-010) مقارنةً بحسابات المحافظ النشطة هنا. ويحمل الرقمان تسميتين مختلفتين وفق تعريفين لا توثقهما قاعدة الأدلة ولم يُطابَق بينهما؛ لذلك لا يُقرأ الفرق بينهما نموًا ولا خمولًا ولا خطأً، ولا يمثل أيٌّ منهما عددًا من الأشخاص.</x:v>
      </x:c>
      <x:c r="R113" s="24" t="str">
        <x:v>The baselines refer to January 2025, the project's starting reference. They should not be read as describing a later date; this record contains no later project result.</x:v>
      </x:c>
      <x:c r="S113" s="28" t="str">
        <x:v>تعود خطوط الأساس إلى يناير 2025، نقطة الانطلاق المرجعية للمشروع، ولا تُقرأ على أنها تصف تاريخًا لاحقًا؛ ولا يتضمن هذا السجل أي نتيجة لاحقة للمشروع.</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SRC-WB-FMIIP-P180708</x:v>
      </x:c>
      <x:c r="Y113" s="24" t="str">
        <x:v>[{"source_id":"SRC-WB-FMIIP-P180708","url":"https://maps.worldbank.org/projects/wb/pid/P180708?status=active","audit_state":"PASS_AUTHORITY_OR_PROVIDER_LOCATOR"}]</x:v>
      </x:c>
      <x:c r="Z113" t="str">
        <x:v>BOUND_EXACT</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REPORTED_HISTORY_VS_OUTLOOK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["/evidence/compare","/payments","/providers","/reforms"]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ANALYTIC_CONTRACT_PLUS_OPEN_MICRODATA_PENDING</x:v>
      </x:c>
      <x:c r="E30" s="28" t="str">
        <x:v>["85_FINDEX_PANEL_CATALOG","86_FINDEX_SUBGROUP_MATRIX","89_FINDEX_MICRODATA_GATE"]</x:v>
      </x:c>
      <x:c r="F30" s="24" t="str">
        <x:v>["/people","/methodology","/measurement"]</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x:v>
      </x:c>
      <x:c r="C62" s="24" t="str">
        <x:v>PRIMARY_PROGRAMME_OUTPUT</x:v>
      </x:c>
      <x:c r="D62" s="24" t="str">
        <x:v>PRIMARY_PROGRAMME_EVIDENCE</x:v>
      </x:c>
      <x:c r="E62" s="28" t="str">
        <x:v>["219_SMEPS_PROGRAMME_EVIDENCE","EP-SMEPS-2024-PROGRAMME"]</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للتحويلات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للتحويلات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التحويلات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تحويلات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or a trend is only as sound as the unit it keeps.</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ولا يكون المستهدف أو الاتجاه سليمًا إلا بقدر ثبات الوحدة التي يقيسها.</x:v>
      </x:c>
      <x:c r="J7" s="24" t="str">
        <x:v>["CLM-004","CLM-023","CLM-024","CLM-025","CLM-026","CLM-001","CLM-003","XW-FMIIP-005"]</x:v>
      </x:c>
      <x:c r="K7" s="24" t="str">
        <x:v>["CLM-004","CLM-023","CLM-024","CLM-025","CLM-026","CLM-001","CLM-003","XW-FMIIP-005"]</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["MA-005","MA-002"]</x:v>
      </x:c>
      <x:c r="U7" t="str">
        <x:v>Global Findex fieldwork 2022–2023 · point-of-sale (POS) counts March 2025 – June 2026 · project baseline January 2025, target 2030</x:v>
      </x:c>
      <x:c r="V7" t="str">
        <x:v>العمل الميداني لمسح Findex العالمي 2022–2023 · أعداد نقاط البيع مارس 2025 – يونيو 2026 · خط أساس المشروع يناير 2025 ومستهدفه 2030</x:v>
      </x:c>
      <x:c r="W7" t="str">
        <x:v>2026-10-03</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point-of-sale (POS) counts March 2025 – June 2026 · institutional records June–August 2026</x:v>
      </x:c>
      <x:c r="V8" t="str">
        <x:v>العمل الميداني لمسح Findex العالمي نوفمبر 2022 – يناير 2023 · أعداد نقاط البيع مارس 2025 – يونيو 2026 · سجلات مؤسسية يونيو–أغسطس 2026</x:v>
      </x:c>
      <x:c r="W8" t="str">
        <x:v>2026-10-03</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["MA-005"]</x:v>
      </x:c>
      <x:c r="U10" t="str">
        <x:v>Borrower, saver and portfolio observations for end-2015, end-2020 and 2023 · licensed-bank list checked on 3 October 2026</x:v>
      </x:c>
      <x:c r="V10" t="str">
        <x:v>مشاهدات المقترضين والمدخرين ومحافظ القروض لنهاية 2015 ونهاية 2020 وعام 2023 · قائمة البنوك المرخصة كما اطُّلع عليها في 3 أكتوبر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x:v>
      </x:c>
      <x:c r="K11" s="24" t="str">
        <x:v>["CLM-002","CLM-001","CLM-025","VIS-FINDEX-GAPS"]</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["MA-003","MA-007"]</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x:v>
      </x:c>
      <x:c r="V12" t="str">
        <x:v>مسح البنك الدولي للمنشآت في اليمن،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["MA-010","MA-006"]</x:v>
      </x:c>
      <x:c r="U13" t="str">
        <x:v>Point-of-sale (POS) counts March 2025 – June 2026 · institutional records June–August 2026 · project results framework January 2025</x:v>
      </x:c>
      <x:c r="V13" t="str">
        <x:v>أعداد نقاط البيع مارس 2025 – يونيو 2026 · سجلات مؤسسية يونيو–أغسطس 2026 · إطار نتائج المشروع يناير 2025</x:v>
      </x:c>
      <x:c r="W13" t="str">
        <x:v>2026-10-03</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x:v>
      </x:c>
      <x:c r="V14" t="str">
        <x:v>مواد البنك الدولي ومبادرة G2Px، مايو 2024 · الفترة المرجعية لعدد المستفيدين غير مسجلة</x:v>
      </x:c>
      <x:c r="W14" t="str">
        <x:v>2026-09-26</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latest published people-level values for receiving domestic remittances, and through which channels, are from 2014; the 2021-wave microdata contain these questions, but weighted estimates have not yet been produced.</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كما تعود أحدث القيم المنشورة على مستوى الأفراد بشأن تلقي الحوالات المحلية وقنواتها إلى 2014؛ وتتضمن البيانات الفردية لموجة 2021 هذه الأسئلة، لكن التقديرات الموزونة لم تُنتج بعد.</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within this evidence agenda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المسجل في البيانات الإدارية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within this evidence agenda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["/payments","/people","/reforms","/explore"]</x:v>
      </x:c>
      <x:c r="AC6" t="str">
        <x:v>المدفوعات / الأفراد</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 percentage points between women (5.4%) and men (18.3%), and by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 والرجال (18.3%) بمقدار 12.9 نقطة مئوية، وبين البالغين في أفقر 40% (6.5%) وأغنى 60% (15.5%) بحسب دخل الأسرة بمقدار 9.0 نقطة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within this evidence agenda because material disparities by sex and by household income are measured within one survey wave,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مقاسة بالفعل داخل موجة مسح واحدة،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بطلب،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within this evidence agenda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الفئات السكانية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within this evidence agenda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are not documented in the available evidence.</x:v>
      </x:c>
      <x:c r="I10" s="28" t="str">
        <x:v>تحدد المواد الرسمية بنية الشكوى والتصعيد والمدد المرتبطة بها، بينما 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within this evidence agenda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التحقق من الهوية وإجراءات «اعرف عميلك» التي تولد احتكاكًا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within this evidence agenda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texts, project documents and institutional records can establish that credit infrastructure exists or is being developed; lender participation, inquiry use and borrower reach are not yet documented as one complete evidence chain.</x:v>
      </x:c>
      <x:c r="I12" s="28" t="str">
        <x:v>قد تثبت النصوص القانونية ووثائق المشروعات والسجلات المؤسسية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within this evidence agenda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within this evidence agenda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["/payments","/people","/reforms","/explore"]</x:v>
      </x:c>
      <x:c r="AC13" t="str">
        <x:v>الحماية الاجتماعية / المدفوعات</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within this evidence agenda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["/reforms","/payments","/access","/people","/explore"]</x:v>
      </x:c>
      <x:c r="AC14" t="str">
        <x:v>الإصلاحات / المدفوعات / الجودة</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3 October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3 October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3 October 2026</x:v>
      </x:c>
      <x:c r="R8" s="24" t="str">
        <x:v>Matrix/timeline with explicit gap types; blank/unknown never plotted as zero.</x:v>
      </x:c>
      <x:c r="S8" s="24" t="str">
        <x:v>A gap is not zero, and it is not evidence of absence or failure.</x:v>
      </x:c>
      <x:c r="T8" s="28" t="str">
        <x:v>الفجوة ليست صفرًا وليست دليلًا على الغياب أو الفشل.</x:v>
      </x:c>
      <x:c r="U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ومهلة المعالجة البالغة 10 أيام عمل، وإمكان التمديد بشروطه، ودواعي التصعيد، ومهلة التصعيد إلى البنك المركزي اليمني –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التحويلات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cards are not people, accounts are not people, subscribers are not active users, and transactions are not unique users.</x:v>
      </x:c>
      <x:c r="H15" s="28" t="str">
        <x:v>يفكك وحدات القياس: البطاقات ليست أشخاصًا، والحسابات ليست أشخاصًا، والمشتركون ليسوا مستخدمين نشطين، والمعاملات ليست مستخدمين فريدين.</x:v>
      </x:c>
      <x:c r="I15" s="24" t="str">
        <x:v>Separates cards, ATMs, POS terminals, transactions, wallets, subscribers and accounts by measurement object before any comparison is made.</x:v>
      </x:c>
      <x:c r="J15" s="28" t="str">
        <x:v>يمنع دمج البطاقات وأجهزة الصراف ونقاط البيع والمعاملات والمحافظ والمشتركين والحسابات قبل تحديد وحدة القياس لكل منها.</x:v>
      </x:c>
      <x:c r="K15" s="24" t="str">
        <x:v>2025 H1</x:v>
      </x:c>
      <x:c r="L15" s="24" t="str">
        <x:v>HIGH_SEMANTIC</x:v>
      </x:c>
      <x:c r="M15" s="24" t="str">
        <x:v>2025 H1 snapshot</x:v>
      </x:c>
      <x:c r="N15" s="24" t="str">
        <x:v>2025 H1 CBY cards, ATMs, POS, transactions, wallets, subscribers, accounts, composition</x:v>
      </x:c>
      <x:c r="O15" s="24" t="str">
        <x:v>source-native counts/values by object type</x:v>
      </x:c>
      <x:c r="P15" s="24" t="str">
        <x:v>Cards, ATMs, POS terminals, transactions, e-wallets, subscribers and accounts within the payment-system reporting scope of the Central Bank of Yemen – Aden (CBY-Aden), first half of 2025; each has its own unit.</x:v>
      </x:c>
      <x:c r="Q15" s="24" t="str">
        <x:v>2025 H1</x:v>
      </x:c>
      <x:c r="R15" s="24" t="str">
        <x:v>Metric cards remain separate; no aggregation to a digital-inclusion score.</x:v>
      </x:c>
      <x:c r="S15"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T15"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U15"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for April to May 2026 it displays +2.4%, which the totals of 1,583 and 1,636 do not yield, and no change is derived for that month. The published figures are kept and none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وبين أبريل ومايو 2026 يعرض نسبة +2.4% لا يعطيها الإجماليان 1,583 و1,636، ولا يُشتق تغير لذلك الشهر. وتبقى الأرقام المنشورة ظاهرة ولا يُصحَّح أي منها.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Mar-2025–Jun-2026 monthly</x:v>
      </x:c>
      <x:c r="L16" s="24" t="str">
        <x:v>HIGH_ADMIN</x:v>
      </x:c>
      <x:c r="M16" s="24" t="str">
        <x:v>2025-03→2026-06</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Mar-2025–Jun-2026 monthly</x:v>
      </x:c>
      <x:c r="R16" s="24" t="str">
        <x:v>Raw monthly line with exact month/source detail and explicit contradiction annotations for Dec-2025→Jan-2026 (1,357→1,473 ≈ +8.55%; source graphic displays +11%) and Apr-2026→May-2026 (1,583→1,636; source graphic displays +2.4%; no change derived, because the source contradicts itself).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between April 2026 (30,559) and May 2026 (36,201) the May source graphic displays +9.9%, which the totals do not yield, and no change is derived for that month. In each case the published figures stay visible as a discrepancy within the source and none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وبين أبريل 2026 (30,559) ومايو 2026 (36,201) يعرض رسم مصدر مايو نسبة +9.9% لا يعطيها الإجماليان، ولا يُشتق تغير لذلك الشهر. وتبقى الأرقام المنشورة ظاهرة في كل حالة بوصفها اختلافًا داخل المصدر، ولا يُصحَّح أي منها بصمت.</x:v>
      </x:c>
      <x:c r="I17" s="24" t="str">
        <x:v>Shows reported POS transaction activity while making the January and May 2026 source-arithmetic discrepancies inspectable instead of turning either the publisher's percentage or the derived change into uncontested truth.</x:v>
      </x:c>
      <x:c r="J17" s="28" t="str">
        <x:v>يوضح نشاط معاملات نقاط البيع المبلغ عنه مع جعل الاختلافين الحسابيين في مصدري يناير ومايو 2026 قابلين للفحص، بدل تحويل نسبة الناشر أو النسبة المشتقة إلى حقيقة غير متنازع عليها.</x:v>
      </x:c>
      <x:c r="K17" s="24" t="str">
        <x:v>Mar-2025–Jun-2026 monthly</x:v>
      </x:c>
      <x:c r="L17" s="24" t="str">
        <x:v>HIGH_ADMIN</x:v>
      </x:c>
      <x:c r="M17" s="24" t="str">
        <x:v>2025-03→2026-06</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Mar-2025–Jun-2026 monthly</x:v>
      </x:c>
      <x:c r="R17" s="24" t="str">
        <x:v>Raw monthly line with exact month/source detail and explicit contradiction annotations for Dec-2025→Jan-2026 (21,099→24,026 ≈ +13.87%; source graphic displays +4.9%) and Apr-2026→May-2026 (30,559→36,201; source graphic displays +9.9%; no change derived, because the source contradicts itself).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V1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Mar-2025–Jun-2026 monthly with Sep gap</x:v>
      </x:c>
      <x:c r="L18" s="24" t="str">
        <x:v>HIGH_ADMIN</x:v>
      </x:c>
      <x:c r="M18" s="24" t="str">
        <x:v>2025-03→2026-06</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Mar-2025–Jun-2026;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U26"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Quoted cost of sending US$200 and US$500 to Yemen from Saudi Arabia and the UAE, 2025 Q3</x:v>
      </x:c>
      <x:c r="C27" s="28" t="str">
        <x:v>التكلفة المعلنة لإرسال 200 و500 دولار أمريكي إلى اليمن من السعودية والإمارات، الربع الثالث من 2025</x:v>
      </x:c>
      <x:c r="D27" s="24" t="str">
        <x:v>GROUPED_DOT_OR_BAR_BY_CORRIDOR_AND_AMOUNT</x:v>
      </x:c>
      <x:c r="E27" s="24" t="str">
        <x:v>How do quoted remittance costs differ by corridor and transfer size?</x:v>
      </x:c>
      <x:c r="F27" s="28" t="str">
        <x:v>كيف تختلف تكلفة الحوالة المعلنة بحسب الممر ومبلغ التحويل؟</x:v>
      </x:c>
      <x:c r="G27" s="24" t="str">
        <x:v>Average quoted costs in the Saudi Arabia–Yemen and UAE–Yemen corridors at the same send amount, and how the cost share changes with the amount sent.</x:v>
      </x:c>
      <x:c r="H27" s="28" t="str">
        <x:v>يقارن متوسطات الأسعار المعلنة في ممرَي السعودية–اليمن والإمارات–اليمن عند مبلغ التحويل نفسه، ويبين أثر حجم التحويل على النسبة.</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x:v>
      </x:c>
      <x:c r="L27" s="24" t="str">
        <x:v>HIGH_QUOTE_BOUNDED</x:v>
      </x:c>
      <x:c r="M27" s="24" t="str">
        <x:v>2025-Q3</x:v>
      </x:c>
      <x:c r="N27" s="24" t="str">
        <x:v>17_REMITTANCES RPW corridor quotes + DA-010..013</x:v>
      </x:c>
      <x:c r="O27" s="24" t="str">
        <x:v>percent cost of sending a fixed amount / provider quote</x:v>
      </x:c>
      <x:c r="P27" s="24" t="str">
        <x:v>Formal remittance products listed by the World Bank Remittance Prices Worldwide database for the Saudi Arabia–Yemen and United Arab Emirates–Yemen corridors, by send amount, 2025 Q3</x:v>
      </x:c>
      <x:c r="Q27" s="24" t="str">
        <x:v>2025 Q3</x:v>
      </x:c>
      <x:c r="R27" s="24" t="str">
        <x:v>Dot plot of two corridors by two send amounts; the send amount is shown explicitly and never pooled. Provider and quote counts are not held and are not drawn.</x:v>
      </x:c>
      <x:c r="S27" s="24" t="str">
        <x:v>These averages cover two corridors, two send amounts and formal products listed by Remittance Prices Worldwide; they are not a national average cost of remittances to Yemen and do not represent all providers, all remittances or informal channels.</x:v>
      </x:c>
      <x:c r="T27"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W27" s="24" t="str">
        <x:v>["/remittances"]</x:v>
      </x:c>
    </x:row>
    <x:row r="28">
      <x:c r="A28" s="24" t="str">
        <x:v>VIS-REMITTANCE-MACRO</x:v>
      </x:c>
      <x:c r="B28" s="24" t="str">
        <x:v>Remittances — IMF-reported history, estimate and projections</x:v>
      </x:c>
      <x:c r="C28" s="28" t="str">
        <x:v>التحويلات: القيم التاريخية الواردة في تقارير صندوق النقد الدولي والتقدير والتوقعات</x:v>
      </x:c>
      <x:c r="D28" s="24" t="str">
        <x:v>TWO_SERIES_LINE__REPORTED_HISTORY_VS_ESTIMATE_PROJECTION__VINTAGE_BREAK</x:v>
      </x:c>
      <x:c r="E28" s="24" t="str">
        <x:v>What does the IMF report for past remittance inflows, and what is only estimated or projected?</x:v>
      </x:c>
      <x:c r="F28" s="28" t="str">
        <x:v>ما الذي يورده صندوق النقد الدولي عن تدفقات التحويلات السابقة، وما الذي يظل تقديرًا أو توقعًا؟</x:v>
      </x:c>
      <x:c r="G28" s="24" t="str">
        <x:v>IMF-reported 2018–24 history is visually separate from the 2025 estimate and 2026–30 projections, with a break where the source document changes.</x:v>
      </x:c>
      <x:c r="H28" s="28" t="str">
        <x:v>يفصل بصريًا بين القيم الواردة في تقارير الصندوق للفترة 2018–2024، وتقدير 2025، وتوقعات 2026–2030، مع انقطاع عند تغير الوثيقة المصدر.</x:v>
      </x:c>
      <x:c r="I28" s="24" t="str">
        <x:v>Separates IMF-reported 2018–2024 values from the 2025 estimate and 2026–2030 projections, and keeps the two IMF documents apart, so forecast changes are not mistaken for economic change.</x:v>
      </x:c>
      <x:c r="J28" s="28" t="str">
        <x:v>يفصل القيم التي يوردها صندوق النقد الدولي للفترة 2018–2024 عن تقدير 2025 وتوقعات 2026–2030، ويُبقي وثيقتي الصندوق منفصلتين، حتى لا تُقرأ تغيرات التوقع تغيرًا اقتصاديًا.</x:v>
      </x:c>
      <x:c r="K28" s="24" t="str">
        <x:v>2018–2030</x:v>
      </x:c>
      <x:c r="L28" s="24" t="str">
        <x:v>HIGH_MACRO</x:v>
      </x:c>
      <x:c r="M28" s="24" t="str">
        <x:v>2018–2030: reported history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reported history, estimate or projection, with its source document</x:v>
      </x:c>
      <x:c r="Q28" s="24" t="str">
        <x:v>2018–2030</x:v>
      </x:c>
      <x:c r="R28" s="24" t="str">
        <x:v>Line with reported-history,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وليست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التحويلات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للتحويلات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التحويلات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until the project's taxonomy and deduplication rules are documented.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ما لم تُوثق تصنيفات المشروع وقواعد 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1,651 in June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1,651 جهازًا في يونيو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 of women and 18.3% of men had an account, a difference of 12.9 percentage points — and places possible mechanisms in a separate layer of hypotheses to test, not causal arrows.</x:v>
      </x:c>
      <x:c r="H37" s="28" t="str">
        <x:v>يبدأ بالمستويات المقاسة داخل الموجة نفسها — امتلكت 5.4% من النساء و18.3% من الرجال حسابًا، بفارق 12.9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 of women and 18.3% of men aged 15 and over in the survey's coverage had an account, a difference of 12.9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 من النساء و18.3% من الرجال بعمر 15 سنة فأكثر ضمن تغطية المسح حسابًا، بفارق 12.9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approved by the World Bank's Board on 17 June 2025 and effective from 1 September 2025, with components for a Fast Payment System, a real-time gross settlement system with an upgrade of CBY-Aden core banking, and support for access to and use of the payment infrastructure;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June 2026 within CBY-Aden's reporting scope (1,651 terminals; 27,504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أقرّه مجلس البنك الدولي في 17 يونيو 2025 وأصبح نافذًا اعتبارًا من 1 سبتمبر 2025، ويتضمن مكونات لتطوير نظام للدفع السريع ونظام للتسوية الإجمالية الفورية مع تحديث النظام المصرفي الأساسي للبنك المركزي اليمني – عدن، ولدعم الوصول إلى البنية التحتية للمدفوعات واستخدامها؛ وقرار مجلس إدارة البنك المركزي اليمني –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يونيو 2026 (1,651 جهازًا و27,504 معاملات)،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row>
    <x:row r="7">
      <x:c r="A7" s="24" t="str">
        <x:v>YSC-003</x:v>
      </x:c>
      <x:c r="B7" s="24" t="str">
        <x:v>September 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سبتمبر 2016</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row>
    <x:row r="9">
      <x:c r="A9" s="24" t="str">
        <x:v>YSC-005</x:v>
      </x:c>
      <x:c r="B9" s="24" t="str">
        <x:v>January–March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يناير–مارس 2018</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التحويلات.</x:v>
      </x:c>
      <x:c r="F11" s="24" t="str">
        <x:v>SRC-WB-YEM-ECON-2020-04-001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والتحويلات وقدرة الاستيراد في ظل نظم صرف مجزأة.</x:v>
      </x:c>
      <x:c r="J11" s="24" t="str">
        <x:v>Remittances matter as both household flows and part of broader FX/payment conditions.</x:v>
      </x:c>
      <x:c r="K11" s="28" t="str">
        <x:v>تكتسب التحويلات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التحويلات لا تعني حدوث انخفاض فعلي ما لم يُقَس بصورة مستقلة.</x:v>
      </x:c>
      <x:c r="N11" s="24" t="str">
        <x:v>MECHANISM_HYPOTHESIS</x:v>
      </x:c>
      <x:c r="O11" s="24" t="str">
        <x:v>/remittances | /payments | /finance</x:v>
      </x:c>
      <x:c r="P11" s="24"/>
      <x:c r="Q11" t="str">
        <x:v>أوائل 2020</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التحويلات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التحويلات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x:v>
      </x:c>
      <x:c r="F16" s="24" t="str">
        <x:v>SRC-WB-YEM-FRAGMENTATION-2025-001 | SRC-CBY-UNLICENSED-EWALLET-2024-001 | SRC-CBY-DEC-23-2024-001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row>
    <x:row r="17">
      <x:c r="A17" s="24" t="str">
        <x:v>YSC-024</x:v>
      </x:c>
      <x:c r="B17" s="24" t="str">
        <x:v>By 30 May 2024</x:v>
      </x:c>
      <x:c r="C17" s="24" t="str">
        <x:v>G2P_DIGITISATION_PILOT</x:v>
      </x:c>
      <x:c r="D17" s="24" t="str">
        <x:v>World Bank/G2Px reported that Yemen's Unconditional Cash Transfer programme had piloted digital payments in eight districts, reaching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row>
    <x:row r="18">
      <x:c r="A18" s="24" t="str">
        <x:v>YSC-013</x:v>
      </x:c>
      <x:c r="B18" s="24" t="str">
        <x:v>2024 value as revised between CBY-Aden annual reports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التحويلات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Any analysis of remittance trends must disclose changes between report editions and in method before drawing behavioural conclusions.</x:v>
      </x:c>
      <x:c r="K18" s="28" t="str">
        <x:v>يجب أن تعرض قراءات التحويلات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التحويلات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row>
    <x:row r="19">
      <x:c r="A19" s="24" t="str">
        <x:v>YSC-014</x:v>
      </x:c>
      <x:c r="B19" s="24" t="str">
        <x:v>2022–April 2025</x:v>
      </x:c>
      <x:c r="C19" s="24" t="str">
        <x:v>BANKING_LIQUIDITY_CAPITAL_STRESS</x:v>
      </x:c>
      <x:c r="D19"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19"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19" s="24" t="str">
        <x:v>SRC-IMF-AIV-2025-STAFF-001</x:v>
      </x:c>
      <x:c r="G19" s="24" t="str">
        <x:v>IRG-supervised banking system data; not automatically whole-Yemen banking coverage.</x:v>
      </x:c>
      <x:c r="H19" s="24" t="str">
        <x:v>Liquidity and capital constraints can limit bank capacity and alter provider and customer behaviour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c r="R19"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19"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row>
    <x:row r="20">
      <x:c r="A20" s="24" t="str">
        <x:v>YSC-018</x:v>
      </x:c>
      <x:c r="B20" s="24" t="str">
        <x:v>17 June 2025–2030 project period</x:v>
      </x:c>
      <x:c r="C20" s="24" t="str">
        <x:v>INTERNATIONAL_INFRASTRUCTURE_SUPPORT</x:v>
      </x:c>
      <x:c r="D20"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0"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0" s="24" t="str">
        <x:v>SRC-WB-FMIIP-P180708 | SRC-UNDP-FMIIP-001 | SRC-WB-FMIIP-ISR2-2026-001</x:v>
      </x:c>
      <x:c r="G20" s="24" t="str">
        <x:v>Project approval/status and disclosed implementation-report currentness. Project baselines/targets are separate from observed inclusion outcomes.</x:v>
      </x:c>
      <x:c r="H20" s="24" t="str">
        <x:v>A new infrastructure and reform process is under way; approval, procurement, installation, go-live, institutional participation, access, use, quality and population outcomes remain separate stages, each needing its own evidence.</x:v>
      </x:c>
      <x:c r="I20"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0" s="24" t="str">
        <x:v>The project can create payment-system capacity and targeted access/usage mechanisms, while population adoption and inclusion effects require later evidence.</x:v>
      </x:c>
      <x:c r="K20" s="28" t="str">
        <x:v>يمكن للمشروع بناء قدرة في نظام المدفوعات وآليات مستهدفة للوصول والاستخدام، لكن تبني السكان وأثر الشمول يحتاجان إلى أدلة لاحقة.</x:v>
      </x:c>
      <x:c r="L20" s="24" t="str">
        <x:v>The US$20 million commitment, an implementation report, a system go-live or a 2030 target is not evidence that users have already adopted services or that inclusion outcomes have been achieved.</x:v>
      </x:c>
      <x:c r="M20"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0" s="24" t="str">
        <x:v>DEPENDENCY</x:v>
      </x:c>
      <x:c r="O20" s="24" t="str">
        <x:v>/payments | /reforms | /people</x:v>
      </x:c>
      <x:c r="P20" s="24" t="str">
        <x:v>Project cost/commitment must not be counted as an observed financial flow to users.</x:v>
      </x:c>
      <x:c r="Q20" t="str">
        <x:v>فترة المشروع من 17 يونيو 2025 حتى 2030</x:v>
      </x:c>
    </x:row>
    <x:row r="21">
      <x:c r="A21" s="24" t="str">
        <x:v>YSC-015</x:v>
      </x:c>
      <x:c r="B21" s="24" t="str">
        <x:v>July 2025 onward</x:v>
      </x:c>
      <x:c r="C21" s="24" t="str">
        <x:v>FX_IMPORT_POLICY</x:v>
      </x:c>
      <x:c r="D21" s="24" t="str">
        <x:v>The internationally recognized government established the National Committee for the Regulation and Financing of Imports to prioritize FX use for essential imports, enhance import transparency and channel FX into the formal banking sector.</x:v>
      </x:c>
      <x:c r="E21"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x:v>
      </x:c>
      <x:c r="F21" s="24" t="str">
        <x:v>SRC-IMF-AIV-2025-STAFF-001</x:v>
      </x:c>
      <x:c r="G21" s="24" t="str">
        <x:v>IRG policy framework.</x:v>
      </x:c>
      <x:c r="H21" s="24" t="str">
        <x:v>Import finance and FX allocation became more explicitly tied to formal banking and regulatory control.</x:v>
      </x:c>
      <x:c r="I21" s="28" t="str">
        <x:v>أصبح تمويل الواردات وتخصيص النقد الأجنبي أكثر ارتباطًا بالقطاع المصرفي الرسمي والضبط التنظيمي.</x:v>
      </x:c>
      <x:c r="J21" s="24" t="str">
        <x:v>This may change incentives and flows through banks and exchangers, which should be measured.</x:v>
      </x:c>
      <x:c r="K21" s="28" t="str">
        <x:v>قد يغير ذلك الحوافز والتدفقات عبر البنوك والصرافين، وهو أثر يحتاج إلى قياس.</x:v>
      </x:c>
      <x:c r="L21" s="24" t="str">
        <x:v>Creation of the committee does not prove improved access, lower costs or successful formalization.</x:v>
      </x:c>
      <x:c r="M21" s="28" t="str">
        <x:v>إنشاء اللجنة لا يثبت تحسن الوصول أو انخفاض التكلفة أو نجاح التحول إلى القنوات الرسمية.</x:v>
      </x:c>
      <x:c r="N21" s="24" t="str">
        <x:v>MECHANISM_HYPOTHESIS</x:v>
      </x:c>
      <x:c r="O21" s="24" t="str">
        <x:v>/finance | /firms | /providers | /reforms</x:v>
      </x:c>
      <x:c r="P21" s="24"/>
      <x:c r="Q21" t="str">
        <x:v>من يوليو 2025 فصاعدًا</x:v>
      </x:c>
      <x:c r="R21"/>
      <x:c r="S21"/>
    </x:row>
    <x:row r="22">
      <x:c r="A22" s="24" t="str">
        <x:v>YSC-016</x:v>
      </x:c>
      <x:c r="B22" s="24" t="str">
        <x:v>Mid-July–early August 2025</x:v>
      </x:c>
      <x:c r="C22" s="24" t="str">
        <x:v>FX_STABILIZATION_EPISODE</x:v>
      </x:c>
      <x:c r="D22" s="24" t="str">
        <x:v>The IMF reports the rial, in markets in areas under the internationally recognized government, strengthening from about YER2,900 to about YER1,600 per US dollar from mid-July to early August 2025 after a package of FX and market measures.</x:v>
      </x:c>
      <x:c r="E22"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2" s="24" t="str">
        <x:v>SRC-IMF-AIV-2025-STAFF-001</x:v>
      </x:c>
      <x:c r="G22" s="24" t="str">
        <x:v>IRG market/exchange-rate context, not a unified Yemen exchange rate.</x:v>
      </x:c>
      <x:c r="H22" s="24" t="str">
        <x:v>The episode shows how quickly FX conditions can change under fragmented markets and policy intervention.</x:v>
      </x:c>
      <x:c r="I22" s="28" t="str">
        <x:v>توضح هذه الحلقة سرعة تغير أوضاع النقد الأجنبي في سوق مجزأة وتحت تدخلات سياسة.</x:v>
      </x:c>
      <x:c r="J22" s="24" t="str">
        <x:v>Exchange-rate conditions affect prices, remittance conversion, firm costs and channel incentives.</x:v>
      </x:c>
      <x:c r="K22" s="28" t="str">
        <x:v>تؤثر أوضاع سعر الصرف في الأسعار وقيمة التحويلات عند صرفها بالعملة المحلية وتكاليف المنشآت وحوافز القنوات المالية.</x:v>
      </x:c>
      <x:c r="L22" s="24" t="str">
        <x:v>The appreciation does not by itself prove durable macro stability or improved financial inclusion.</x:v>
      </x:c>
      <x:c r="M22" s="28" t="str">
        <x:v>لا يثبت تحسن سعر الصرف بذاته استقرارًا اقتصاديًا كليًا مستدامًا أو تحسنًا في الشمول المالي.</x:v>
      </x:c>
      <x:c r="N22" s="24" t="str">
        <x:v>CONTEXT</x:v>
      </x:c>
      <x:c r="O22" s="24" t="str">
        <x:v>/remittances | /finance | /firms</x:v>
      </x:c>
      <x:c r="P22" s="24"/>
      <x:c r="Q22" t="str">
        <x:v>منتصف يوليو–أوائل أغسطس 2025</x:v>
      </x:c>
    </x:row>
    <x:row r="23">
      <x:c r="A23" s="24" t="str">
        <x:v>YSC-017</x:v>
      </x:c>
      <x:c r="B23" s="24" t="str">
        <x:v>September 2025</x:v>
      </x:c>
      <x:c r="C23" s="24" t="str">
        <x:v>RESERVE_CONSTRAINT</x:v>
      </x:c>
      <x:c r="D23" s="24" t="str">
        <x:v>The IMF reports operational foreign-exchange reserves of US$350 million in September 2025, covering about one month of imports.</x:v>
      </x:c>
      <x:c r="E23" s="28" t="str">
        <x:v>يفيد صندوق النقد بأن الاحتياطيات التشغيلية من النقد الأجنبي بلغت 350 مليون دولار في سبتمبر 2025، بما يغطي نحو شهر واحد من الواردات.</x:v>
      </x:c>
      <x:c r="F23" s="24" t="str">
        <x:v>SRC-IMF-AIV-2025-STAFF-001</x:v>
      </x:c>
      <x:c r="G23" s="24" t="str">
        <x:v>IRG operational reserves.</x:v>
      </x:c>
      <x:c r="H23" s="24" t="str">
        <x:v>Even after substantial external support and FX auctions, reserve capacity remained critically constrained.</x:v>
      </x:c>
      <x:c r="I23" s="28" t="str">
        <x:v>رغم الدعم الخارجي الكبير ومزادات النقد الأجنبي، ظلت قدرة الاحتياطيات شديدة المحدودية.</x:v>
      </x:c>
      <x:c r="J23" s="24" t="str">
        <x:v>Reserve scarcity affects import finance, bank liquidity and prices.</x:v>
      </x:c>
      <x:c r="K23" s="28" t="str">
        <x:v>يؤثر شح الاحتياطيات في تمويل الواردات وسيولة البنوك والأسعار.</x:v>
      </x:c>
      <x:c r="L23" s="24" t="str">
        <x:v>Import-cover reserves do not measure household financial resilience or account use.</x:v>
      </x:c>
      <x:c r="M23" s="28" t="str">
        <x:v>لا يقيس غطاء الواردات من الاحتياطيات مرونة الأسر المالية أو استخدام الحسابات.</x:v>
      </x:c>
      <x:c r="N23" s="24" t="str">
        <x:v>CONTEXT</x:v>
      </x:c>
      <x:c r="O23" s="24" t="str">
        <x:v>/finance | /firms</x:v>
      </x:c>
      <x:c r="P23" s="24"/>
      <x:c r="Q23" t="str">
        <x:v>سبتمبر 2025</x:v>
      </x:c>
      <x:c r="R23" t="str">
        <x:v>This value and its date are from the text of the staff report (paragraph 12). The debt sustainability analysis published in the same country report gives reserves of the same amount as of June 2025.</x:v>
      </x:c>
      <x:c r="S23"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24" s="24" t="str">
        <x:v>DEPENDENCY</x:v>
      </x:c>
      <x:c r="O24" s="24" t="str">
        <x:v>/finance | /reforms</x:v>
      </x:c>
      <x:c r="P24" s="24" t="str">
        <x:v>Keep SAR-denominated agreement and IMF USD-denominated support states separate until identity is proven.</x:v>
      </x:c>
      <x:c r="Q24" t="str">
        <x:v>1 مارس 2026</x:v>
      </x:c>
    </x:row>
    <x:row r="25">
      <x:c r="A25" t="str">
        <x:v>YSC-021</x:v>
      </x:c>
      <x:c r="B25" t="str">
        <x:v>4 June 2026</x:v>
      </x:c>
      <x:c r="C25" t="str">
        <x:v>COUNTRY_STRATEGY_AND_PORTFOLIO</x:v>
      </x:c>
      <x:c r="D25" t="str">
        <x:v>The World Bank Group endorsed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أقرت مجموعة البنك الدولي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can be read within the World Bank Group’s FY2026–FY2030 strategy for Yemen, which links jobs, livelihoods, infrastructure, private-sector conditions and women’s economic participation.</x:v>
      </x:c>
      <x:c r="I25"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process has advanced, but the programme stage, legal or supervisory change, implementation and the financial-service outcomes that users experience remain separate stages.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التحويلات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28"/>
      <x:c r="G28" t="str">
        <x:v>System synthesis rule derived from the evidence relationships documented here.</x:v>
      </x:c>
      <x:c r="H28" t="str">
        <x:v>This resource can trace possible transmission paths across the system without turning sequence or co-movement into causality.</x:v>
      </x:c>
      <x:c r="I28" t="str">
        <x:v>يمكن لهذا المورد تتبع مسارات الانتقال المحتملة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https://english.cby-ye.com/files/6a5a2e6bcc3cd.pdf</x:v>
      </x:c>
      <x:c r="C5" s="24" t="str"/>
      <x:c r="D5" s="24" t="str">
        <x:v>DS-CBY-MONETARY</x:v>
      </x:c>
      <x:c r="E5" s="24" t="n">
        <x:v>686</x:v>
      </x:c>
      <x:c r="F5" s="168" t="str">
        <x:v>Monetary and Financial Developments, Issue No. 54 (May 2026)</x:v>
      </x:c>
      <x:c r="G5" s="168" t="str">
        <x:v>Central Bank of Yemen — Aden</x:v>
      </x:c>
      <x:c r="H5" s="168"/>
      <x:c r="I5" s="168"/>
      <x:c r="J5" s="168"/>
      <x:c r="K5" s="168" t="str">
        <x:v>CITATION_CARD</x:v>
      </x:c>
      <x:c r="L5" s="168" t="str">
        <x:v>التطورات النقدية والمالية، العدد 54 (مايو 2026)</x:v>
      </x:c>
      <x:c r="M5" s="168"/>
      <x:c r="N5" s="168"/>
      <x:c r="O5" s="168"/>
      <x:c r="S5" t="str">
        <x:v>NOT_ASSESSED</x:v>
      </x:c>
      <x:c r="V5" t="str">
        <x:v>2026-09-26</x:v>
      </x:c>
      <x:c r="Y5" t="str">
        <x:v>البنك المركزي اليمني – عدن</x:v>
      </x:c>
      <x:c r="Z5" t="str">
        <x:v>Periodic statistical report</x:v>
      </x:c>
      <x:c r="AA5" t="str">
        <x:v>تقرير إحصائي دوري</x:v>
      </x:c>
      <x:c r="AB5" t="str">
        <x:v>2026-05</x:v>
      </x:c>
    </x:row>
    <x:row r="6">
      <x:c r="A6" s="24" t="str">
        <x:v>SRC-CBY-BANKLIST-AR-2026-001</x:v>
      </x:c>
      <x:c r="B6" s="24" t="str">
        <x:v>https://cby-ye.com/files/6a665add29feb.pdf</x:v>
      </x:c>
      <x:c r="C6" s="24" t="str">
        <x:v>["https://english.cby-ye.com/files/69dfc71a51c14.pdf", "https://english.cby-ye.com/pages/14", "https://english.cby-ye.com/files/670f66ad9ce87.pdf"]</x:v>
      </x:c>
      <x:c r="D6" s="24" t="str">
        <x:v>DS-PROVIDER-MASTER, DS-PROVIDER-UNIVERSE</x:v>
      </x:c>
      <x:c r="E6" s="24" t="n">
        <x:v>27</x:v>
      </x:c>
      <x:c r="F6" s="168" t="str">
        <x:v>List of licensed banks in the Republic of Yemen (no printed date; as checked on 3 October 2026)</x:v>
      </x:c>
      <x:c r="G6" s="168" t="str">
        <x:v>Central Bank of Yemen — Aden</x:v>
      </x:c>
      <x:c r="H6" s="168"/>
      <x:c r="I6" s="168"/>
      <x:c r="J6" s="168"/>
      <x:c r="K6" s="168" t="str">
        <x:v>CITATION_CARD</x:v>
      </x:c>
      <x:c r="L6" s="168" t="str">
        <x:v>كشف بالبنوك المرخصة بالجمهورية اليمنية (لا يحمل تاريخًا مطبوعًا؛ كما اطُّلع عليه في 3 أكتوبر 2026)</x:v>
      </x:c>
      <x:c r="M6" s="168"/>
      <x:c r="N6" s="168"/>
      <x:c r="O6" s="168"/>
      <x:c r="S6" t="str">
        <x:v>NOT_ASSESSED</x:v>
      </x:c>
      <x:c r="V6" t="str">
        <x:v>2026-10-03</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v>["https://www.cby-ye.com/files/69566356f386a.pdf"]</x:v>
      </x:c>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V7" t="str">
        <x:v>2026-10-03</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v>["https://www.cby-ye.com/files/69566423792f1.pdf"]</x:v>
      </x:c>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V8" t="str">
        <x:v>2026-10-03</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v>["https://www.cby-ye.com/files/695fdd05de273.pdf"]</x:v>
      </x:c>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V9" t="str">
        <x:v>2026-10-03</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v>["https://www.cby-ye.com/files/695fddc70da3b.pdf"]</x:v>
      </x:c>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V10" t="str">
        <x:v>2026-10-03</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v>["https://www.cby-ye.com/files/69666b96b0089.pdf"]</x:v>
      </x:c>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V11" t="str">
        <x:v>2026-10-03</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v>["https://www.cby-ye.com/files/69666bc45faf0.pdf"]</x:v>
      </x:c>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V12" t="str">
        <x:v>2026-10-03</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v>["https://www.cby-ye.com/files/6a0f1baad6f36.pdf"]</x:v>
      </x:c>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V13" t="str">
        <x:v>2026-10-03</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v>["https://www.cby-ye.com/files/6a27bc7883b9c.pdf"]</x:v>
      </x:c>
      <x:c r="D14" s="24" t="str">
        <x:v>DS-PROVIDER-MASTER,DS-PROVIDER-STATUS-EVENTS</x:v>
      </x:c>
      <x:c r="E14" s="24" t="n">
        <x:v>2</x:v>
      </x:c>
      <x:c r="F14" s="168" t="str">
        <x:v>Governor's Decision No. 10 of 2026 on the licence suspension and closure of a remittance agent (8 June 2026)</x:v>
      </x:c>
      <x:c r="G14" s="168" t="str">
        <x:v>Central Bank of Yemen — Aden</x:v>
      </x:c>
      <x:c r="H14" s="168"/>
      <x:c r="I14" s="168"/>
      <x:c r="J14" s="168"/>
      <x:c r="K14" s="168" t="str">
        <x:v>CITATION_CARD</x:v>
      </x:c>
      <x:c r="L14" s="168" t="str">
        <x:v>قرار المحافظ رقم (10) لسنة 2026 بشأن إيقاف ترخيص وكيل حوالة وإغلاق مقره (8 يونيو 2026)</x:v>
      </x:c>
      <x:c r="M14" s="168"/>
      <x:c r="N14" s="168"/>
      <x:c r="O14" s="168"/>
      <x:c r="S14" t="str">
        <x:v>NOT_ASSESSED</x:v>
      </x:c>
      <x:c r="V14" t="str">
        <x:v>2026-10-03</x:v>
      </x:c>
      <x:c r="W14" t="str">
        <x:v>decision/enforcement</x:v>
      </x:c>
      <x:c r="X14" t="str">
        <x:v>status event</x:v>
      </x:c>
      <x:c r="Y14" t="str">
        <x:v>البنك المركزي اليمني – عدن</x:v>
      </x:c>
      <x:c r="Z14" t="str">
        <x:v>Enforcement decision</x:v>
      </x:c>
      <x:c r="AA14" t="str">
        <x:v>قرار إنفاذ</x:v>
      </x:c>
      <x:c r="AB14" t="str">
        <x:v>2026-06-08</x:v>
      </x:c>
    </x:row>
    <x:row r="15">
      <x:c r="A15" s="24" t="str">
        <x:v>SRC-CBY-ENF-11-2026</x:v>
      </x:c>
      <x:c r="B15" s="24" t="str">
        <x:v>https://www.cby-ye.com/news/945</x:v>
      </x:c>
      <x:c r="C15" s="24" t="str">
        <x:v>["https://www.cby-ye.com/files/6a296e96cf10f.pdf"]</x:v>
      </x:c>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V15" t="str">
        <x:v>2026-10-03</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v>["https://www.cby-ye.com/files/6a749e284951b.pdf"]</x:v>
      </x:c>
      <x:c r="D16" s="24" t="str">
        <x:v>DS-PROVIDER-MASTER,DS-PROVIDER-STATUS-EVENTS</x:v>
      </x:c>
      <x:c r="E16" s="24" t="n">
        <x:v>4</x:v>
      </x:c>
      <x:c r="F16" s="168" t="str">
        <x:v>Governor's Decision No. 13 of 2026 on licence suspensions and closures (5 August 2026)</x:v>
      </x:c>
      <x:c r="G16" s="168" t="str">
        <x:v>Central Bank of Yemen — Aden</x:v>
      </x:c>
      <x:c r="H16" s="168"/>
      <x:c r="I16" s="168"/>
      <x:c r="J16" s="168"/>
      <x:c r="K16" s="168" t="str">
        <x:v>CITATION_CARD</x:v>
      </x:c>
      <x:c r="L16" s="168" t="str">
        <x:v>قرار المحافظ رقم (13) لسنة 2026 بشأن إيقاف تراخيص وإغلاق مقرات (5 أغسطس 2026)</x:v>
      </x:c>
      <x:c r="M16" s="168"/>
      <x:c r="N16" s="168"/>
      <x:c r="O16" s="168"/>
      <x:c r="S16" t="str">
        <x:v>NOT_ASSESSED</x:v>
      </x:c>
      <x:c r="V16" t="str">
        <x:v>2026-10-03</x:v>
      </x:c>
      <x:c r="W16" t="str">
        <x:v>decision/enforcement</x:v>
      </x:c>
      <x:c r="X16" t="str">
        <x:v>status event</x:v>
      </x:c>
      <x:c r="Y16" t="str">
        <x:v>البنك المركزي اليمني – عدن</x:v>
      </x:c>
      <x:c r="Z16" t="str">
        <x:v>Enforcement decision</x:v>
      </x:c>
      <x:c r="AA16" t="str">
        <x:v>قرار إنفاذ</x:v>
      </x:c>
      <x:c r="AB16" t="str">
        <x:v>2026-08-05</x:v>
      </x:c>
    </x:row>
    <x:row r="17">
      <x:c r="A17" s="24" t="str">
        <x:v>SRC-CBY-ENF-14-2026</x:v>
      </x:c>
      <x:c r="B17" s="24" t="str">
        <x:v>https://cby-ye.com/news/968</x:v>
      </x:c>
      <x:c r="C17" s="24" t="str">
        <x:v>["https://www.cby-ye.com/files/6a870ae11a5d5.pdf"]</x:v>
      </x:c>
      <x:c r="D17" s="24" t="str">
        <x:v>DS-PROVIDER-MASTER,DS-PROVIDER-STATUS-EVENTS</x:v>
      </x:c>
      <x:c r="E17" s="24" t="n">
        <x:v>4</x:v>
      </x:c>
      <x:c r="F17" s="168" t="str">
        <x:v>Governor's Decision No. 14 of 2026 on licence suspensions and closures (19 August 2026)</x:v>
      </x:c>
      <x:c r="G17" s="168" t="str">
        <x:v>Central Bank of Yemen — Aden</x:v>
      </x:c>
      <x:c r="H17" s="168"/>
      <x:c r="I17" s="168"/>
      <x:c r="J17" s="168"/>
      <x:c r="K17" s="168" t="str">
        <x:v>CITATION_CARD</x:v>
      </x:c>
      <x:c r="L17" s="168" t="str">
        <x:v>قرار المحافظ رقم (14) لسنة 2026 بشأن إيقاف تراخيص وإغلاق مقرات (19 أغسطس 2026)</x:v>
      </x:c>
      <x:c r="M17" s="168"/>
      <x:c r="N17" s="168"/>
      <x:c r="O17" s="168"/>
      <x:c r="S17" t="str">
        <x:v>NOT_ASSESSED</x:v>
      </x:c>
      <x:c r="V17" t="str">
        <x:v>2026-10-03</x:v>
      </x:c>
      <x:c r="W17" t="str">
        <x:v>decision/enforcement</x:v>
      </x:c>
      <x:c r="X17" t="str">
        <x:v>status event</x:v>
      </x:c>
      <x:c r="Y17" t="str">
        <x:v>البنك المركزي اليمني – عدن</x:v>
      </x:c>
      <x:c r="Z17" t="str">
        <x:v>Enforcement decision</x:v>
      </x:c>
      <x:c r="AA17" t="str">
        <x:v>قرار إنفاذ</x:v>
      </x:c>
      <x:c r="AB17" t="str">
        <x:v>2026-08-19</x:v>
      </x:c>
    </x:row>
    <x:row r="18">
      <x:c r="A18" s="24" t="str">
        <x:v>SRC-CBY-ENF-15-2026</x:v>
      </x:c>
      <x:c r="B18" s="24" t="str">
        <x:v>https://cby-ye.com/news/969</x:v>
      </x:c>
      <x:c r="C18" s="24" t="str">
        <x:v>["https://www.cby-ye.com/files/6a9055206c613.pdf"]</x:v>
      </x:c>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V18" t="str">
        <x:v>2026-10-03</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https://cby-ye.com/files/6ab391c11043b.pdf</x:v>
      </x:c>
      <x:c r="C19" s="24" t="str">
        <x:v>["https://cby-ye.com/pages/14", "https://www.cby-ye.com/files/6a87039fd05bb.pdf"]</x:v>
      </x:c>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V19" t="str">
        <x:v>2026-10-03</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Y20" t="str">
        <x:v>البنك المركزي اليمني – عدن</x:v>
      </x:c>
      <x:c r="Z20" t="str">
        <x:v>News release</x:v>
      </x:c>
      <x:c r="AA20" t="str">
        <x:v>بيان صحفي</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2026-09-26</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2026-09-26</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 "https://cby-ye.com/files/6a6f950da3173.pdf", "https://cby-ye.com/pages/33"]</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Y33" t="str">
        <x:v>البنك المركزي اليمني – عدن</x:v>
      </x:c>
      <x:c r="Z33" t="str">
        <x:v>Statistical release</x:v>
      </x:c>
      <x:c r="AA33" t="str">
        <x:v>إصدار إحصائي</x:v>
      </x:c>
    </x:row>
    <x:row r="34">
      <x:c r="A34" s="24" t="str">
        <x:v>SRC-CBY-POS-2026-02</x:v>
      </x:c>
      <x:c r="B34" s="24" t="str">
        <x:v>https://cby-ye.com/files/6a6f958d49cc2.pdf</x:v>
      </x:c>
      <x:c r="C34" s="24" t="str">
        <x:v>["https://cby-ye.com/pages/33"]</x:v>
      </x:c>
      <x:c r="D34" s="24" t="str">
        <x:v>DS-CBY-PAYMENTS</x:v>
      </x:c>
      <x:c r="E34" s="24" t="n">
        <x:v>3</x:v>
      </x:c>
      <x:c r="F34" s="168" t="str">
        <x:v>Monthly Point of Sale Transactions (February 2026)</x:v>
      </x:c>
      <x:c r="G34" s="168" t="str">
        <x:v>Central Bank of Yemen — Aden</x:v>
      </x:c>
      <x:c r="K34" s="168" t="str">
        <x:v>CITATION_CARD</x:v>
      </x:c>
      <x:c r="L34" s="168" t="str">
        <x:v>معاملات نقاط البيع الشهرية (فبراير 2026)</x:v>
      </x:c>
      <x:c r="S34" t="str">
        <x:v>NOT_ASSESSED</x:v>
      </x:c>
      <x:c r="V34" t="str">
        <x:v>2026-10-03</x:v>
      </x:c>
      <x:c r="Y34" t="str">
        <x:v>البنك المركزي اليمني – عدن</x:v>
      </x:c>
      <x:c r="Z34" t="str">
        <x:v>Statistical release</x:v>
      </x:c>
      <x:c r="AA34" t="str">
        <x:v>إصدار إحصائي</x:v>
      </x:c>
    </x:row>
    <x:row r="35">
      <x:c r="A35" s="24" t="str">
        <x:v>SRC-CBY-POS-2026-03</x:v>
      </x:c>
      <x:c r="B35" s="24" t="str">
        <x:v>https://cby-ye.com/files/6a6f960871730.pdf</x:v>
      </x:c>
      <x:c r="C35" s="24" t="str">
        <x:v>["https://cby-ye.com/pages/33"]</x:v>
      </x:c>
      <x:c r="D35" s="24" t="str">
        <x:v>DS-CBY-PAYMENTS</x:v>
      </x:c>
      <x:c r="E35" s="24" t="n">
        <x:v>3</x:v>
      </x:c>
      <x:c r="F35" s="168" t="str">
        <x:v>Monthly Point of Sale Transactions (March 2026)</x:v>
      </x:c>
      <x:c r="G35" s="168" t="str">
        <x:v>Central Bank of Yemen — Aden</x:v>
      </x:c>
      <x:c r="K35" s="168" t="str">
        <x:v>CITATION_CARD</x:v>
      </x:c>
      <x:c r="L35" s="168" t="str">
        <x:v>معاملات نقاط البيع الشهرية (مارس 2026)</x:v>
      </x:c>
      <x:c r="S35" t="str">
        <x:v>NOT_ASSESSED</x:v>
      </x:c>
      <x:c r="V35" t="str">
        <x:v>2026-10-03</x:v>
      </x:c>
      <x:c r="Y35" t="str">
        <x:v>البنك المركزي اليمني – عدن</x:v>
      </x:c>
      <x:c r="Z35" t="str">
        <x:v>Statistical release</x:v>
      </x:c>
      <x:c r="AA35" t="str">
        <x:v>إصدار إحصائي</x:v>
      </x:c>
    </x:row>
    <x:row r="36">
      <x:c r="A36" s="24" t="str">
        <x:v>SRC-CBY-POS-2026-04</x:v>
      </x:c>
      <x:c r="B36" s="24" t="str">
        <x:v>https://cby-ye.com/files/6a6f968423908.pdf</x:v>
      </x:c>
      <x:c r="C36" s="24" t="str">
        <x:v>["https://cby-ye.com/pages/33"]</x:v>
      </x:c>
      <x:c r="D36" s="24" t="str">
        <x:v>DS-CBY-PAYMENTS</x:v>
      </x:c>
      <x:c r="E36" s="24" t="n">
        <x:v>3</x:v>
      </x:c>
      <x:c r="F36" s="168" t="str">
        <x:v>Monthly Point of Sale Transactions (April 2026)</x:v>
      </x:c>
      <x:c r="G36" s="168" t="str">
        <x:v>Central Bank of Yemen — Aden</x:v>
      </x:c>
      <x:c r="K36" s="168" t="str">
        <x:v>CITATION_CARD</x:v>
      </x:c>
      <x:c r="L36" s="168" t="str">
        <x:v>معاملات نقاط البيع الشهرية (أبريل 2026)</x:v>
      </x:c>
      <x:c r="S36" t="str">
        <x:v>NOT_ASSESSED</x:v>
      </x:c>
      <x:c r="V36" t="str">
        <x:v>2026-10-03</x:v>
      </x:c>
      <x:c r="Y36" t="str">
        <x:v>البنك المركزي اليمني – عدن</x:v>
      </x:c>
      <x:c r="Z36" t="str">
        <x:v>Statistical release</x:v>
      </x:c>
      <x:c r="AA36" t="str">
        <x:v>إصدار إحصائي</x:v>
      </x:c>
    </x:row>
    <x:row r="37">
      <x:c r="A37" s="24" t="str">
        <x:v>SRC-CBY-POS-2026-05</x:v>
      </x:c>
      <x:c r="B37" s="24" t="str">
        <x:v>https://cby-ye.com/files/6a6f96ed5c009.pdf</x:v>
      </x:c>
      <x:c r="C37" s="24" t="str">
        <x:v>["https://cby-ye.com/pages/33"]</x:v>
      </x:c>
      <x:c r="D37" s="24" t="str">
        <x:v>DS-CBY-PAYMENTS</x:v>
      </x:c>
      <x:c r="E37" s="24" t="n">
        <x:v>3</x:v>
      </x:c>
      <x:c r="F37" s="168" t="str">
        <x:v>Monthly Point of Sale Transactions (May 2026)</x:v>
      </x:c>
      <x:c r="G37" s="168" t="str">
        <x:v>Central Bank of Yemen — Aden</x:v>
      </x:c>
      <x:c r="K37" s="168" t="str">
        <x:v>CITATION_CARD</x:v>
      </x:c>
      <x:c r="L37" s="168" t="str">
        <x:v>معاملات نقاط البيع الشهرية (مايو 2026)</x:v>
      </x:c>
      <x:c r="S37" t="str">
        <x:v>NOT_ASSESSED</x:v>
      </x:c>
      <x:c r="V37" t="str">
        <x:v>2026-10-03</x:v>
      </x:c>
      <x:c r="Y37" t="str">
        <x:v>البنك المركزي اليمني – عدن</x:v>
      </x:c>
      <x:c r="Z37" t="str">
        <x:v>Statistical release</x:v>
      </x:c>
      <x:c r="AA37" t="str">
        <x:v>إصدار إحصائي</x:v>
      </x:c>
    </x:row>
    <x:row r="38">
      <x:c r="A38" s="24" t="str">
        <x:v>SRC-CBY-POS-2026-06</x:v>
      </x:c>
      <x:c r="B38" s="24" t="str">
        <x:v>https://cby-ye.com/files/6a6f973c98c25.pdf</x:v>
      </x:c>
      <x:c r="C38" s="24" t="str">
        <x:v>["https://cby-ye.com/pages/33"]</x:v>
      </x:c>
      <x:c r="D38" s="24" t="str">
        <x:v>DS-CBY-PAYMENTS,DS-PAYMENT-CURRENTNESS</x:v>
      </x:c>
      <x:c r="E38" s="24" t="n">
        <x:v>3</x:v>
      </x:c>
      <x:c r="F38" s="168" t="str">
        <x:v>Monthly Point of Sale Transactions (June 2026)</x:v>
      </x:c>
      <x:c r="G38" s="168" t="str">
        <x:v>Central Bank of Yemen — Aden</x:v>
      </x:c>
      <x:c r="K38" s="168" t="str">
        <x:v>CITATION_CARD</x:v>
      </x:c>
      <x:c r="L38" s="168" t="str">
        <x:v>معاملات نقاط البيع الشهرية (يونيو 2026)</x:v>
      </x:c>
      <x:c r="S38" t="str">
        <x:v>NOT_ASSESSED</x:v>
      </x:c>
      <x:c r="V38" t="str">
        <x:v>2026-10-03</x:v>
      </x:c>
      <x:c r="Y38" t="str">
        <x:v>البنك المركزي اليمني – عدن</x:v>
      </x:c>
      <x:c r="Z38" t="str">
        <x:v>Statistical release</x:v>
      </x:c>
      <x:c r="AA38" t="str">
        <x:v>إصدار إحصائي</x:v>
      </x:c>
    </x:row>
    <x:row r="39">
      <x:c r="A39" s="24" t="str">
        <x:v>SRC-IMF-AIV-2025-STAFF-001</x:v>
      </x:c>
      <x:c r="B39" s="24" t="str">
        <x:v>https://www.elibrary.imf.org/view/journals/002/2026/080/article-A001-en.xml</x:v>
      </x:c>
      <x:c r="C39" s="24" t="str"/>
      <x:c r="D39" s="24" t="str">
        <x:v>DS-REMITTANCES</x:v>
      </x:c>
      <x:c r="E39" s="24" t="n">
        <x:v>7</x:v>
      </x:c>
      <x:c r="F39" s="168" t="str">
        <x:v>Republic of Yemen: 2025 Article IV Consultation — Staff Report (IMF Country Report No. 26/80)</x:v>
      </x:c>
      <x:c r="G39" s="168" t="str">
        <x:v>International Monetary Fund</x:v>
      </x:c>
      <x:c r="H39" s="168"/>
      <x:c r="I39" s="168"/>
      <x:c r="J39" s="168"/>
      <x:c r="K39" s="168" t="str">
        <x:v>CITATION_CARD</x:v>
      </x:c>
      <x:c r="L39" s="168" t="str">
        <x:v>الجمهورية اليمنية: مشاورات المادة الرابعة لعام 2025 — تقرير الخبراء (تقرير صندوق النقد الدولي القُطري رقم 26/80)</x:v>
      </x:c>
      <x:c r="M39" s="168"/>
      <x:c r="N39" s="168"/>
      <x:c r="O39" s="168"/>
      <x:c r="S39" t="str">
        <x:v>NOT_ASSESSED</x:v>
      </x:c>
      <x:c r="Y39" t="str">
        <x:v>صندوق النقد الدولي</x:v>
      </x:c>
      <x:c r="Z39" t="str">
        <x:v>Staff report</x:v>
      </x:c>
      <x:c r="AA39" t="str">
        <x:v>تقرير خبراء</x:v>
      </x:c>
    </x:row>
    <x:row r="40">
      <x:c r="A40" s="24" t="str">
        <x:v>SRC-IMF-AIV-2025-SUPP-001</x:v>
      </x:c>
      <x:c r="B40" s="24" t="str">
        <x:v>https://www.elibrary.imf.org/view/journals/002/2026/080/article-A004-en.xml</x:v>
      </x:c>
      <x:c r="C40" s="24" t="str"/>
      <x:c r="D40" s="24" t="str">
        <x:v>DS-REMITTANCES</x:v>
      </x:c>
      <x:c r="E40" s="24" t="n">
        <x:v>6</x:v>
      </x:c>
      <x:c r="F40" s="168" t="str">
        <x:v>Republic of Yemen: 2025 Article IV Consultation — supplement to the staff report (IMF Country Report No. 26/80)</x:v>
      </x:c>
      <x:c r="G40" s="168" t="str">
        <x:v>International Monetary Fund</x:v>
      </x:c>
      <x:c r="H40" s="168"/>
      <x:c r="I40" s="168"/>
      <x:c r="J40" s="168"/>
      <x:c r="K40" s="168" t="str">
        <x:v>CITATION_CARD</x:v>
      </x:c>
      <x:c r="L40" s="168" t="str">
        <x:v>الجمهورية اليمنية: مشاورات المادة الرابعة لعام 2025 — ملحق تقرير الخبراء (تقرير صندوق النقد الدولي القُطري رقم 26/80)</x:v>
      </x:c>
      <x:c r="M40" s="168"/>
      <x:c r="N40" s="168"/>
      <x:c r="O40" s="168"/>
      <x:c r="S40" t="str">
        <x:v>NOT_ASSESSED</x:v>
      </x:c>
      <x:c r="Y40" t="str">
        <x:v>صندوق النقد الدولي</x:v>
      </x:c>
      <x:c r="Z40" t="str">
        <x:v>Staff report</x:v>
      </x:c>
      <x:c r="AA40" t="str">
        <x:v>تقرير خبراء</x:v>
      </x:c>
    </x:row>
    <x:row r="41">
      <x:c r="A41" s="24" t="str">
        <x:v>SRC-WB-ES-2013-PROFILE-001</x:v>
      </x:c>
      <x:c r="B41" s="24" t="str">
        <x:v>https://www.enterprisesurveys.org/content/dam/enterprisesurveys/documents/country/Yemen-2013.pdf</x:v>
      </x:c>
      <x:c r="C41" s="24" t="str"/>
      <x:c r="D41" s="24" t="str">
        <x:v>DS-FIRM-FINANCE</x:v>
      </x:c>
      <x:c r="E41" s="24" t="n">
        <x:v>7</x:v>
      </x:c>
      <x:c r="F41" s="168" t="str">
        <x:v>Enterprise Surveys: Yemen Country Profile 2013 (survey period 2013–2014)</x:v>
      </x:c>
      <x:c r="G41" s="168" t="str">
        <x:v>World Bank</x:v>
      </x:c>
      <x:c r="H41" s="168"/>
      <x:c r="I41" s="168"/>
      <x:c r="J41" s="168"/>
      <x:c r="K41" s="168" t="str">
        <x:v>CITATION_CARD</x:v>
      </x:c>
      <x:c r="L41" s="168" t="str">
        <x:v>مسوح المنشآت (Enterprise Surveys): الملف القُطري لليمن 2013 (فترة المسح 2013–2014)</x:v>
      </x:c>
      <x:c r="M41" s="168"/>
      <x:c r="N41" s="168"/>
      <x:c r="O41" s="168"/>
      <x:c r="S41" t="str">
        <x:v>NOT_ASSESSED</x:v>
      </x:c>
      <x:c r="Y41" t="str">
        <x:v>البنك الدولي</x:v>
      </x:c>
      <x:c r="Z41" t="str">
        <x:v>Survey dataset or indicator</x:v>
      </x:c>
      <x:c r="AA41" t="str">
        <x:v>مسح أو مؤشر</x:v>
      </x:c>
    </x:row>
    <x:row r="42">
      <x:c r="A42" s="24" t="str">
        <x:v>SRC-WB-FSD-2024-001</x:v>
      </x:c>
      <x:c r="B42" s="24" t="str">
        <x:v>https://documents1.worldbank.org/curated/en/099102324070011985/pdf/P177631-d18a7ee4-3fcf-4393-9665-77f98b3e43a7.pdf</x:v>
      </x:c>
      <x:c r="C42" s="24" t="str"/>
      <x:c r="D42" s="24" t="str">
        <x:v>DS-FIRM-FINANCE,DS-K04-MFB2023-RECON,DS-K04-MFB-TRANSFORM-LENS,DS-K04-CAUSEWAY-READING-003</x:v>
      </x:c>
      <x:c r="E42" s="24" t="n">
        <x:v>81</x:v>
      </x:c>
      <x:c r="F42" s="168" t="str">
        <x:v>Yemen Financial Sector Diagnostics (2024)</x:v>
      </x:c>
      <x:c r="G42" s="168" t="str">
        <x:v>World Bank</x:v>
      </x:c>
      <x:c r="H42" s="168" t="str">
        <x:v>Research and analysis on Yemen’s financial sector</x:v>
      </x:c>
      <x:c r="I42" s="168" t="str">
        <x:v>A major analytical reference covering CBY-Aden, banking, money transfer and exchange services, access to finance, and the 2022 Yemen Enterprise Survey annex; useful for sector structure, historical context and source triangulation.</x:v>
      </x:c>
      <x:c r="J42" s="168" t="str">
        <x:v>A diagnostic is not a current administrative census or regulator statement. Institution-level and survey results retain their own dates, universes, methods and limitations.</x:v>
      </x:c>
      <x:c r="K42" s="168" t="str">
        <x:v>FULL_PUBLIC_CARD</x:v>
      </x:c>
      <x:c r="L42" s="168" t="str">
        <x:v>تشخيص القطاع المالي في اليمن (2024)</x:v>
      </x:c>
      <x:c r="M42" s="168" t="str">
        <x:v>البحوث والتحليلات حول القطاع المالي في اليمن</x:v>
      </x:c>
      <x:c r="N42"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42"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42" t="str">
        <x:v>NOT_ASSESSED</x:v>
      </x:c>
      <x:c r="Y42" t="str">
        <x:v>البنك الدولي</x:v>
      </x:c>
      <x:c r="Z42" t="str">
        <x:v>Research or policy paper</x:v>
      </x:c>
      <x:c r="AA42" t="str">
        <x:v>ورقة بحثية أو سياساتية</x:v>
      </x:c>
      <x:c r="AB42" t="str">
        <x:v>2024</x:v>
      </x:c>
    </x:row>
    <x:row r="43">
      <x:c r="A43" s="24" t="str">
        <x:v>SRC-WB-RPW-SA-YEM-2025Q3-001</x:v>
      </x:c>
      <x:c r="B43" s="24" t="str">
        <x:v>https://remittanceprices.worldbank.org/corridor/Saudi%20Arabia/Yemen</x:v>
      </x:c>
      <x:c r="C43" s="24" t="str"/>
      <x:c r="D43" s="24" t="str">
        <x:v>DS-REMITTANCES, DS-K04-REMIT-REGIMES, DS-K04-CASH-FIN-TRANSMISSION</x:v>
      </x:c>
      <x:c r="E43" s="24" t="n">
        <x:v>2</x:v>
      </x:c>
      <x:c r="F43" s="168" t="str">
        <x:v>Remittance Prices Worldwide: Saudi Arabia to Yemen corridor (third quarter of 2025)</x:v>
      </x:c>
      <x:c r="G43" s="168" t="str">
        <x:v>World Bank</x:v>
      </x:c>
      <x:c r="H43" s="168"/>
      <x:c r="I43" s="168"/>
      <x:c r="J43" s="168"/>
      <x:c r="K43" s="168" t="str">
        <x:v>CITATION_CARD</x:v>
      </x:c>
      <x:c r="L43" s="168" t="str">
        <x:v>قاعدة بيانات Remittance Prices Worldwide: ممر الحوالات من المملكة العربية السعودية إلى اليمن (الربع الثالث من 2025)</x:v>
      </x:c>
      <x:c r="M43" s="168"/>
      <x:c r="N43" s="168"/>
      <x:c r="O43" s="168"/>
      <x:c r="S43" t="str">
        <x:v>NOT_ASSESSED</x:v>
      </x:c>
      <x:c r="Y43" t="str">
        <x:v>البنك الدولي</x:v>
      </x:c>
      <x:c r="Z43" t="str">
        <x:v>Database or web interface</x:v>
      </x:c>
      <x:c r="AA43" t="str">
        <x:v>قاعدة بيانات أو واجهة إلكترونية</x:v>
      </x:c>
    </x:row>
    <x:row r="44">
      <x:c r="A44" s="24" t="str">
        <x:v>SRC-WB-RPW-UAE-YEM-2025Q3-001</x:v>
      </x:c>
      <x:c r="B44" s="24" t="str">
        <x:v>https://remittanceprices.worldbank.org/corridor/United%20Arab%20Emirates/Yemen</x:v>
      </x:c>
      <x:c r="C44" s="24" t="str"/>
      <x:c r="D44" s="24" t="str">
        <x:v>DS-REMITTANCES</x:v>
      </x:c>
      <x:c r="E44" s="24" t="n">
        <x:v>2</x:v>
      </x:c>
      <x:c r="F44" s="168" t="str">
        <x:v>Remittance Prices Worldwide: United Arab Emirates to Yemen corridor (third quarter of 2025)</x:v>
      </x:c>
      <x:c r="G44" s="168" t="str">
        <x:v>World Bank</x:v>
      </x:c>
      <x:c r="H44" s="168"/>
      <x:c r="I44" s="168"/>
      <x:c r="J44" s="168"/>
      <x:c r="K44" s="168" t="str">
        <x:v>CITATION_CARD</x:v>
      </x:c>
      <x:c r="L44" s="168" t="str">
        <x:v>قاعدة بيانات Remittance Prices Worldwide: ممر الحوالات من الإمارات العربية المتحدة إلى اليمن (الربع الثالث من 2025)</x:v>
      </x:c>
      <x:c r="M44" s="168"/>
      <x:c r="N44" s="168"/>
      <x:c r="O44" s="168"/>
      <x:c r="S44" t="str">
        <x:v>NOT_ASSESSED</x:v>
      </x:c>
      <x:c r="Y44" t="str">
        <x:v>البنك الدولي</x:v>
      </x:c>
      <x:c r="Z44" t="str">
        <x:v>Database or web interface</x:v>
      </x:c>
      <x:c r="AA44" t="str">
        <x:v>قاعدة بيانات أو واجهة إلكترونية</x:v>
      </x:c>
    </x:row>
    <x:row r="45">
      <x:c r="A45" s="24" t="str">
        <x:v>SRC-YMN-AR-2012-001</x:v>
      </x:c>
      <x:c r="B45" s="24" t="str">
        <x:v>https://yemennetwork.org/wp-content/uploads/2019/05/Annual-report-for-sending-via-email_English.pdf</x:v>
      </x:c>
      <x:c r="C45" s="24" t="str"/>
      <x:c r="D45" s="24" t="str">
        <x:v>DS-MFI-EVIDENCE</x:v>
      </x:c>
      <x:c r="E45" s="24" t="n">
        <x:v>4</x:v>
      </x:c>
      <x:c r="F45" s="168" t="str">
        <x:v>Yemen Microfinance Network (YMN) Annual Report 2012</x:v>
      </x:c>
      <x:c r="G45" s="168" t="str">
        <x:v>Yemen Microfinance Network</x:v>
      </x:c>
      <x:c r="H45" s="168"/>
      <x:c r="I45" s="168"/>
      <x:c r="J45" s="168"/>
      <x:c r="K45" s="168" t="str">
        <x:v>CITATION_CARD</x:v>
      </x:c>
      <x:c r="L45" s="168" t="str">
        <x:v>التقرير السنوي لشبكة اليمن للتمويل الأصغر (YMN) لعام 2012</x:v>
      </x:c>
      <x:c r="M45" s="168"/>
      <x:c r="N45" s="168"/>
      <x:c r="O45" s="168"/>
      <x:c r="S45" t="str">
        <x:v>NOT_ASSESSED</x:v>
      </x:c>
      <x:c r="Y45" t="str">
        <x:v>شبكة اليمن للتمويل الأصغر</x:v>
      </x:c>
      <x:c r="Z45" t="str">
        <x:v>Annual report</x:v>
      </x:c>
      <x:c r="AA45" t="str">
        <x:v>تقرير سنوي</x:v>
      </x:c>
    </x:row>
    <x:row r="46">
      <x:c r="A46" s="24" t="str">
        <x:v>SRC-YMN-IMPACT-2021-001</x:v>
      </x:c>
      <x:c r="B46" s="24" t="str">
        <x:v>https://yemennetwork.org/wp-content/uploads/2022/11/YMN_Impact-Assessment_Final_Arabic_Final_V2.pdf</x:v>
      </x:c>
      <x:c r="C46" s="24" t="str"/>
      <x:c r="D46" s="24" t="str">
        <x:v>DS-MFI-EVIDENCE, DS-MFI-PROVIDER-PANEL</x:v>
      </x:c>
      <x:c r="E46" s="24" t="n">
        <x:v>14</x:v>
      </x:c>
      <x:c r="F46" s="168" t="str">
        <x:v>Impact Assessment of Microfinance Services in Yemen (May 2021)</x:v>
      </x:c>
      <x:c r="G46" s="168" t="str">
        <x:v>Yemen Microfinance Network</x:v>
      </x:c>
      <x:c r="H46" s="168"/>
      <x:c r="I46" s="168"/>
      <x:c r="J46" s="168"/>
      <x:c r="K46" s="168" t="str">
        <x:v>CITATION_CARD</x:v>
      </x:c>
      <x:c r="L46" s="168" t="str">
        <x:v>تقييم أثر خدمات التمويل الأصغر في اليمن (مايو 2021)</x:v>
      </x:c>
      <x:c r="M46" s="168"/>
      <x:c r="N46" s="168"/>
      <x:c r="O46" s="168"/>
      <x:c r="S46" t="str">
        <x:v>NOT_ASSESSED</x:v>
      </x:c>
      <x:c r="Y46" t="str">
        <x:v>شبكة اليمن للتمويل الأصغر</x:v>
      </x:c>
      <x:c r="Z46" t="str">
        <x:v>Research or policy paper</x:v>
      </x:c>
      <x:c r="AA46" t="str">
        <x:v>ورقة بحثية أو سياساتية</x:v>
      </x:c>
      <x:c r="AB46" t="str">
        <x:v>2021-05</x:v>
      </x:c>
    </x:row>
    <x:row r="47">
      <x:c r="A47" s="24" t="str">
        <x:v>SRC-YMN-MEMBERS-2026-001</x:v>
      </x:c>
      <x:c r="B47" s="24" t="str">
        <x:v>https://yemennetwork.org/</x:v>
      </x:c>
      <x:c r="C47" s="24" t="str">
        <x:v>["https://ymn.yemennetwork.org/about-us", "https://yemennetwork.org/banks/", "https://yemennetwork.org/%D9%85%D8%A4%D8%B3%D8%B3%D8%A7%D8%AA/?lang=ar"]</x:v>
      </x:c>
      <x:c r="D47" s="24" t="str">
        <x:v>DS-PROVIDER-UNIVERSE</x:v>
      </x:c>
      <x:c r="E47" s="24" t="n">
        <x:v>1</x:v>
      </x:c>
      <x:c r="F47" s="168" t="str">
        <x:v>Yemen Microfinance Network website: membership pages (observed 7 September 2026)</x:v>
      </x:c>
      <x:c r="G47" s="168" t="str">
        <x:v>Yemen Microfinance Network</x:v>
      </x:c>
      <x:c r="H47" s="168"/>
      <x:c r="I47" s="168"/>
      <x:c r="J47" s="168"/>
      <x:c r="K47" s="168" t="str">
        <x:v>CITATION_CARD</x:v>
      </x:c>
      <x:c r="L47" s="168" t="str">
        <x:v>الموقع الإلكتروني لشبكة اليمن للتمويل الأصغر: صفحات العضوية (كما رُصدت في 7 سبتمبر 2026)</x:v>
      </x:c>
      <x:c r="M47" s="168"/>
      <x:c r="N47" s="168"/>
      <x:c r="O47" s="168"/>
      <x:c r="S47" t="str">
        <x:v>NOT_ASSESSED</x:v>
      </x:c>
      <x:c r="Y47" t="str">
        <x:v>شبكة اليمن للتمويل الأصغر</x:v>
      </x:c>
      <x:c r="Z47" t="str">
        <x:v>Database or web interface</x:v>
      </x:c>
      <x:c r="AA47" t="str">
        <x:v>قاعدة بيانات أو واجهة إلكترونية</x:v>
      </x:c>
    </x:row>
    <x:row r="48">
      <x:c r="A48" s="24" t="str">
        <x:v>SRC-YMN-MFMAG-2014-Q1-001</x:v>
      </x:c>
      <x:c r="B48" s="24" t="str">
        <x:v>https://yemennetwork.org/wp-content/uploads/2015/02/mf_magazine_1st_issue_2014eng..pdf</x:v>
      </x:c>
      <x:c r="C48" s="24" t="str"/>
      <x:c r="D48" s="24" t="str">
        <x:v>DS-MFI-EVIDENCE, DS-MFI-PROVIDER-PANEL</x:v>
      </x:c>
      <x:c r="E48" s="24" t="n">
        <x:v>13</x:v>
      </x:c>
      <x:c r="F48" s="168" t="str">
        <x:v>MicroFinance Magazine, issue no. 1 (2014)</x:v>
      </x:c>
      <x:c r="G48" s="168" t="str">
        <x:v>Yemen Microfinance Network</x:v>
      </x:c>
      <x:c r="H48" s="168"/>
      <x:c r="I48" s="168"/>
      <x:c r="J48" s="168"/>
      <x:c r="K48" s="168" t="str">
        <x:v>CITATION_CARD</x:v>
      </x:c>
      <x:c r="L48" s="168" t="str">
        <x:v>مجلة التمويل الأصغر، العدد الأول (2014)</x:v>
      </x:c>
      <x:c r="M48" s="168"/>
      <x:c r="N48" s="168"/>
      <x:c r="O48" s="168"/>
      <x:c r="S48" t="str">
        <x:v>NOT_ASSESSED</x:v>
      </x:c>
      <x:c r="Y48" t="str">
        <x:v>شبكة اليمن للتمويل الأصغر</x:v>
      </x:c>
      <x:c r="Z48" t="str">
        <x:v>Newsletter</x:v>
      </x:c>
      <x:c r="AA48" t="str">
        <x:v>نشرة دورية</x:v>
      </x:c>
      <x:c r="AB48" t="str">
        <x:v>2014</x:v>
      </x:c>
    </x:row>
    <x:row r="49">
      <x:c r="A49" s="24" t="str">
        <x:v>SRC-YMN-MFMAG-2014-Q2-001</x:v>
      </x:c>
      <x:c r="B49" s="24" t="str">
        <x:v>https://yemennetwork.org/wp-content/uploads/2015/02/mf_magazine_2nd_issue_2014eng..pdf</x:v>
      </x:c>
      <x:c r="C49" s="24" t="str"/>
      <x:c r="D49" s="24" t="str">
        <x:v>DS-MFI-EVIDENCE, DS-MFI-PROVIDER-PANEL</x:v>
      </x:c>
      <x:c r="E49" s="24" t="n">
        <x:v>13</x:v>
      </x:c>
      <x:c r="F49" s="168" t="str">
        <x:v>MicroFinance Magazine, issue no. 2 (2014)</x:v>
      </x:c>
      <x:c r="G49" s="168" t="str">
        <x:v>Yemen Microfinance Network</x:v>
      </x:c>
      <x:c r="H49" s="168"/>
      <x:c r="I49" s="168"/>
      <x:c r="J49" s="168"/>
      <x:c r="K49" s="168" t="str">
        <x:v>CITATION_CARD</x:v>
      </x:c>
      <x:c r="L49" s="168" t="str">
        <x:v>مجلة التمويل الأصغر، العدد الثاني (2014)</x:v>
      </x:c>
      <x:c r="M49" s="168"/>
      <x:c r="N49" s="168"/>
      <x:c r="O49" s="168"/>
      <x:c r="S49" t="str">
        <x:v>NOT_ASSESSED</x:v>
      </x:c>
      <x:c r="Y49" t="str">
        <x:v>شبكة اليمن للتمويل الأصغر</x:v>
      </x:c>
      <x:c r="Z49" t="str">
        <x:v>Newsletter</x:v>
      </x:c>
      <x:c r="AA49" t="str">
        <x:v>نشرة دورية</x:v>
      </x:c>
      <x:c r="AB49" t="str">
        <x:v>2014</x:v>
      </x:c>
    </x:row>
    <x:row r="50">
      <x:c r="A50" s="24" t="str">
        <x:v>SRC-WB-FINDEX-001</x:v>
      </x:c>
      <x:c r="B50" s="24" t="str">
        <x:v>https://microdata.worldbank.org/catalog/5862</x:v>
      </x:c>
      <x:c r="C50" s="24" t="str"/>
      <x:c r="D50" s="24" t="str">
        <x:v>DS-FINDEX-META, DS-FINDEX-VARS, DS-FINDEX-WAVES, DS-FINDEX-RULES, DS-FINDEX-PANEL-CATALOG, DS-FINDEX-SUBGROUP-MATRIX, DS-FINDEX-DENOMINATOR-STRESS, DS-FINDEX-MICRODATA-GATE</x:v>
      </x:c>
      <x:c r="E50" s="24" t="n">
        <x:v>401</x:v>
      </x:c>
      <x:c r="F50" s="168" t="str">
        <x:v>Global Findex 2021 survey for Yemen: study YEM_2022_FINDEX_v01_M (fieldwork 7 November 2022 to 9 January 2023)</x:v>
      </x:c>
      <x:c r="G50" s="168" t="str">
        <x:v>World Bank</x:v>
      </x:c>
      <x:c r="H50" s="168"/>
      <x:c r="I50" s="168"/>
      <x:c r="J50" s="168"/>
      <x:c r="K50" s="168" t="str">
        <x:v>CITATION_CARD</x:v>
      </x:c>
      <x:c r="L50" s="168" t="str">
        <x:v>المؤشر العالمي للشمول المالي (Global Findex) 2021 — مسح اليمن: الدراسة YEM_2022_FINDEX_v01_M (العمل الميداني من 7 نوفمبر 2022 إلى 9 يناير 2023)</x:v>
      </x:c>
      <x:c r="M50" s="168"/>
      <x:c r="N50" s="168"/>
      <x:c r="O50" s="168"/>
      <x:c r="S50" t="str">
        <x:v>NOT_ASSESSED</x:v>
      </x:c>
      <x:c r="W50" t="str">
        <x:v>survey</x:v>
      </x:c>
      <x:c r="X50" t="str">
        <x:v>primary factual evidence</x:v>
      </x:c>
      <x:c r="Y50" t="str">
        <x:v>البنك الدولي</x:v>
      </x:c>
      <x:c r="Z50" t="str">
        <x:v>Survey dataset or indicator</x:v>
      </x:c>
      <x:c r="AA50" t="str">
        <x:v>مسح أو مؤشر</x:v>
      </x:c>
      <x:c r="AB50" t="str">
        <x:v>2023-05-19</x:v>
      </x:c>
    </x:row>
    <x:row r="51">
      <x:c r="A51" s="24" t="str">
        <x:v>SRC-WB-FINDEX-AGG-2022</x:v>
      </x:c>
      <x:c r="B51" s="24" t="str">
        <x:v>https://data.worldbank.org/indicator/FX.OWN.TOTL.ZS?locations=YE</x:v>
      </x:c>
      <x:c r="C51"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x:v>
      </x:c>
      <x:c r="D51" s="24" t="str">
        <x:v>DS-FINDEX-WAVES, DS-FINDEX-WB-OBS, DS-FINDEX-PANEL-CATALOG, DS-FINDEX-SUBGROUP-MATRIX, DS-FINDEX-ANALYTIC-SURFACES</x:v>
      </x:c>
      <x:c r="E51" s="24" t="n">
        <x:v>247</x:v>
      </x:c>
      <x:c r="F51" s="168" t="str">
        <x:v>Global Findex indicators for Yemen: account ownership, adults 15+, total and by group (World Bank data year 2022)</x:v>
      </x:c>
      <x:c r="G51" s="168" t="str">
        <x:v>World Bank</x:v>
      </x:c>
      <x:c r="H51" s="168"/>
      <x:c r="I51" s="168"/>
      <x:c r="J51" s="168"/>
      <x:c r="K51" s="168" t="str">
        <x:v>CITATION_CARD</x:v>
      </x:c>
      <x:c r="L51" s="168" t="str">
        <x:v>المؤشر العالمي للشمول المالي (Global Findex) — اليمن: امتلاك الحساب لدى البالغين بعمر 15 سنة فأكثر، إجمالًا وحسب الفئة (سنة البيانات لدى البنك الدولي: 2022)</x:v>
      </x:c>
      <x:c r="M51" s="168"/>
      <x:c r="N51" s="168"/>
      <x:c r="O51" s="168"/>
      <x:c r="S51" t="str">
        <x:v>NOT_ASSESSED</x:v>
      </x:c>
      <x:c r="W51" t="str">
        <x:v>dataset</x:v>
      </x:c>
      <x:c r="X51" t="str">
        <x:v>primary factual evidence</x:v>
      </x:c>
      <x:c r="Y51" t="str">
        <x:v>البنك الدولي</x:v>
      </x:c>
      <x:c r="Z51" t="str">
        <x:v>Survey dataset or indicator</x:v>
      </x:c>
      <x:c r="AA51" t="str">
        <x:v>مسح أو مؤشر</x:v>
      </x:c>
    </x:row>
    <x:row r="52">
      <x:c r="A52" s="24" t="str">
        <x:v>SRC-OECD-YEM-RESILIENCE-001</x:v>
      </x:c>
      <x:c r="B52" s="24" t="str">
        <x:v>https://doi.org/10.1787/81ed2898-en</x:v>
      </x:c>
      <x:c r="C52" s="24" t="str"/>
      <x:c r="D52" s="24" t="str">
        <x:v>DS-OECD-NARRATIVE, DS-OECD-POLICY, DS-SYSTEM-CONSEQ</x:v>
      </x:c>
      <x:c r="E52" s="24" t="n">
        <x:v>48</x:v>
      </x:c>
      <x:c r="F52" s="168" t="str">
        <x:v>Promoting Economic Resilience in Yemen (2026)</x:v>
      </x:c>
      <x:c r="G52" s="168" t="str">
        <x:v>OECD</x:v>
      </x:c>
      <x:c r="H52" s="168" t="str">
        <x:v>Research and analysis on Yemen’s financial sector</x:v>
      </x:c>
      <x:c r="I52"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52" s="168" t="str">
        <x:v>An OECD synthesis does not replace the underlying Yemen datasets or regulator records, establish current provider operation, or prove causal effects on financial inclusion.</x:v>
      </x:c>
      <x:c r="K52" s="168" t="str">
        <x:v>FULL_PUBLIC_CARD</x:v>
      </x:c>
      <x:c r="L52" s="168" t="str">
        <x:v>تعزيز المرونة الاقتصادية في اليمن (2026)</x:v>
      </x:c>
      <x:c r="M52" s="168" t="str">
        <x:v>البحوث والتحليلات حول القطاع المالي في اليمن</x:v>
      </x:c>
      <x:c r="N52"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52"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52" t="str">
        <x:v>NOT_ASSESSED</x:v>
      </x:c>
      <x:c r="Y52" t="str">
        <x:v>منظمة التعاون الاقتصادي والتنمية</x:v>
      </x:c>
      <x:c r="Z52" t="str">
        <x:v>Research or policy paper</x:v>
      </x:c>
      <x:c r="AA52" t="str">
        <x:v>ورقة بحثية أو سياساتية</x:v>
      </x:c>
      <x:c r="AB52" t="str">
        <x:v>2026</x:v>
      </x:c>
    </x:row>
    <x:row r="53">
      <x:c r="A53" s="24" t="str">
        <x:v>SRC-OCHA-FTS-YEM-2026-001</x:v>
      </x:c>
      <x:c r="B53" s="24" t="str">
        <x:v>https://fts.unocha.org/countries/248/flows/2026</x:v>
      </x:c>
      <x:c r="C53" s="24" t="str"/>
      <x:c r="D53" s="24" t="str">
        <x:v>DS-OCHA-FTS-2026, DS-OCHA-LINKS</x:v>
      </x:c>
      <x:c r="E53" s="24" t="n">
        <x:v>77</x:v>
      </x:c>
      <x:c r="F53" s="168" t="str">
        <x:v>Financial Tracking Service: Yemen funding flows, 2026 (snapshot of 7 September 2026)</x:v>
      </x:c>
      <x:c r="G53" s="168" t="str">
        <x:v>UN OCHA</x:v>
      </x:c>
      <x:c r="H53" s="168"/>
      <x:c r="I53" s="168"/>
      <x:c r="J53" s="168"/>
      <x:c r="K53" s="168" t="str">
        <x:v>CITATION_CARD</x:v>
      </x:c>
      <x:c r="L53" s="168" t="str">
        <x:v>خدمة تتبع التمويل (FTS): تدفقات التمويل إلى اليمن لعام 2026 (كما رُصدت في 7 سبتمبر 2026)</x:v>
      </x:c>
      <x:c r="M53" s="168"/>
      <x:c r="N53" s="168"/>
      <x:c r="O53" s="168"/>
      <x:c r="S53" t="str">
        <x:v>NOT_ASSESSED</x:v>
      </x:c>
      <x:c r="Y53" t="str">
        <x:v>مكتب الأمم المتحدة لتنسيق الشؤون الإنسانية</x:v>
      </x:c>
      <x:c r="Z53" t="str">
        <x:v>Database or web interface</x:v>
      </x:c>
      <x:c r="AA53" t="str">
        <x:v>قاعدة بيانات أو واجهة إلكترونية</x:v>
      </x:c>
    </x:row>
    <x:row r="54">
      <x:c r="A54" s="24" t="str">
        <x:v>SRC-WB-YEM-MFI-2004-001</x:v>
      </x:c>
      <x:c r="B54" s="24" t="str">
        <x:v>https://documents1.worldbank.org/curated/en/494591468320937438/pdf/925610BRI0Box30e0for0Small0Business.pdf</x:v>
      </x:c>
      <x:c r="C54" s="24" t="str"/>
      <x:c r="D54" s="24" t="str">
        <x:v>DS-WB2004-NARR, DS-WB2004-CASES, DS-WB2004-CHRON, DS-WB2004-CONTROLS</x:v>
      </x:c>
      <x:c r="E54" s="24" t="n">
        <x:v>18</x:v>
      </x:c>
      <x:c r="F54" s="168" t="str">
        <x:v>Yemen: Microfinance for Small Business (3 May 2004)</x:v>
      </x:c>
      <x:c r="G54" s="168" t="str">
        <x:v>World Bank</x:v>
      </x:c>
      <x:c r="H54" s="168"/>
      <x:c r="I54" s="168"/>
      <x:c r="J54" s="168"/>
      <x:c r="K54" s="168" t="str">
        <x:v>CITATION_CARD</x:v>
      </x:c>
      <x:c r="L54" s="168" t="str">
        <x:v>اليمن: التمويل الأصغر للمنشآت الصغيرة (3 مايو 2004)</x:v>
      </x:c>
      <x:c r="M54" s="168"/>
      <x:c r="N54" s="168"/>
      <x:c r="O54" s="168"/>
      <x:c r="S54" t="str">
        <x:v>NOT_ASSESSED</x:v>
      </x:c>
      <x:c r="Y54" t="str">
        <x:v>البنك الدولي</x:v>
      </x:c>
      <x:c r="Z54" t="str">
        <x:v>News release</x:v>
      </x:c>
      <x:c r="AA54" t="str">
        <x:v>بيان صحفي</x:v>
      </x:c>
      <x:c r="AB54" t="str">
        <x:v>2004-05-03</x:v>
      </x:c>
    </x:row>
    <x:row r="55">
      <x:c r="A55" s="24" t="str">
        <x:v>SRC-AJMBFS-CBY-FI-2025-001</x:v>
      </x:c>
      <x:c r="B55" s="24" t="str">
        <x:v>https://ojs.aambfsye.org/index.php/arab-Journal/article/view/18</x:v>
      </x:c>
      <x:c r="C55" s="24" t="str">
        <x:v>["https://doi.org/10.59559/ajmbfs.1.1.4"]</x:v>
      </x:c>
      <x:c r="D55" s="24" t="str">
        <x:v>DS-LIT-CBY-FI,DS-PRIMARY-POINTERS</x:v>
      </x:c>
      <x:c r="E55" s="24" t="n">
        <x:v>10</x:v>
      </x:c>
      <x:c r="F55" s="168" t="str">
        <x:v>The Impact of the Efforts and Measures of the Yemeni Central Bank on Promoting Financial Inclusion in Yemen (April 2025)</x:v>
      </x:c>
      <x:c r="G55" s="168" t="str">
        <x:v>Arab Journal of Management, Banking, and Financial Studies</x:v>
      </x:c>
      <x:c r="H55" s="168"/>
      <x:c r="I55" s="168"/>
      <x:c r="J55" s="168"/>
      <x:c r="K55" s="168" t="str">
        <x:v>CITATION_CARD</x:v>
      </x:c>
      <x:c r="L55" s="168" t="str">
        <x:v>أثر جهود وإجراءات البنك المركزي اليمني في تعزيز الشمول المالي في اليمن (أبريل 2025)</x:v>
      </x:c>
      <x:c r="M55" s="168"/>
      <x:c r="N55" s="168"/>
      <x:c r="O55" s="168"/>
      <x:c r="S55" t="str">
        <x:v>NOT_ASSESSED</x:v>
      </x:c>
      <x:c r="Y55" t="str">
        <x:v>المجلة العربية للإدارة والدراسات المصرفية والمالية</x:v>
      </x:c>
      <x:c r="Z55" t="str">
        <x:v>Research or policy paper</x:v>
      </x:c>
      <x:c r="AA55" t="str">
        <x:v>ورقة بحثية أو سياساتية</x:v>
      </x:c>
      <x:c r="AB55" t="str">
        <x:v>2025-04-27</x:v>
      </x:c>
    </x:row>
    <x:row r="56">
      <x:c r="A56" s="24" t="str">
        <x:v>SRC-KFW-RMMV-2023-001</x:v>
      </x:c>
      <x:c r="B56" s="24" t="str">
        <x:v>https://www.kfw-entwicklungsbank.de/Service/RMMV-conference-2023/</x:v>
      </x:c>
      <x:c r="C56" s="24" t="str">
        <x:v>["https://www.kfw-entwicklungsbank.de/PDF/Entwicklungsfinanzierung/RMMV/Booklet-of-RMMV-Service-Providers.pdf"]</x:v>
      </x:c>
      <x:c r="D56" s="24" t="str">
        <x:v>DS-CONTRADICTIONS</x:v>
      </x:c>
      <x:c r="E56" s="24" t="n">
        <x:v>1</x:v>
      </x:c>
      <x:c r="F56" s="168" t="str">
        <x:v>Interactive Conference on Remote Management, Monitoring and Verification (RMMV) and booklet of RMMV tools and service providers (8–9 February 2023)</x:v>
      </x:c>
      <x:c r="G56" s="168" t="str">
        <x:v>KfW Development Bank</x:v>
      </x:c>
      <x:c r="H56" s="168"/>
      <x:c r="I56" s="168"/>
      <x:c r="J56" s="168"/>
      <x:c r="K56" s="168" t="str">
        <x:v>CITATION_CARD</x:v>
      </x:c>
      <x:c r="L56" s="168" t="str">
        <x:v>المؤتمر التفاعلي حول الإدارة والرصد والتحقق عن بُعد (RMMV) وكتيّب أدوات RMMV ومقدمي خدماتها (8–9 فبراير 2023)</x:v>
      </x:c>
      <x:c r="M56" s="168"/>
      <x:c r="N56" s="168"/>
      <x:c r="O56" s="168"/>
      <x:c r="S56" t="str">
        <x:v>NOT_ASSESSED</x:v>
      </x:c>
      <x:c r="Y56" t="str">
        <x:v>بنك التنمية الألماني KfW</x:v>
      </x:c>
      <x:c r="Z56" t="str">
        <x:v>Event or programme page</x:v>
      </x:c>
      <x:c r="AA56" t="str">
        <x:v>صفحة فعالية أو برنامج</x:v>
      </x:c>
    </x:row>
    <x:row r="57">
      <x:c r="A57" s="24" t="str">
        <x:v>SRC-CBY-GMW-2023-001</x:v>
      </x:c>
      <x:c r="B57" s="24" t="str">
        <x:v>https://www.cby-ye.com/news/481</x:v>
      </x:c>
      <x:c r="C57" s="24" t="str"/>
      <x:c r="D57" s="24" t="str">
        <x:v>DS-PRIMARY-AUTHORITY, DS-EVIDENCE-PASSPORTS</x:v>
      </x:c>
      <x:c r="E57" s="24" t="n">
        <x:v>2</x:v>
      </x:c>
      <x:c r="F57" s="168" t="str">
        <x:v>Global Money Week 2023: launch and activity programme (20–26 March 2023)</x:v>
      </x:c>
      <x:c r="G57" s="168" t="str">
        <x:v>Central Bank of Yemen — Aden</x:v>
      </x:c>
      <x:c r="H57" s="168"/>
      <x:c r="I57" s="168"/>
      <x:c r="J57" s="168"/>
      <x:c r="K57" s="168" t="str">
        <x:v>CITATION_CARD</x:v>
      </x:c>
      <x:c r="L57" s="168" t="str">
        <x:v>الأسبوع العالمي للمال 2023: الإطلاق وبرنامج الأنشطة (20–26 مارس 2023)</x:v>
      </x:c>
      <x:c r="M57" s="168"/>
      <x:c r="N57" s="168"/>
      <x:c r="O57" s="168"/>
      <x:c r="S57" t="str">
        <x:v>NOT_ASSESSED</x:v>
      </x:c>
      <x:c r="Y57" t="str">
        <x:v>البنك المركزي اليمني – عدن</x:v>
      </x:c>
      <x:c r="Z57" t="str">
        <x:v>News release</x:v>
      </x:c>
      <x:c r="AA57" t="str">
        <x:v>بيان صحفي</x:v>
      </x:c>
    </x:row>
    <x:row r="58">
      <x:c r="A58" s="24" t="str">
        <x:v>SRC-CBY-GMW-2024-001</x:v>
      </x:c>
      <x:c r="B58" s="24" t="str">
        <x:v>https://cby-ye.com/news/648</x:v>
      </x:c>
      <x:c r="C58" s="24" t="str"/>
      <x:c r="D58" s="24" t="str">
        <x:v>DS-PRIMARY-AUTHORITY, DS-EVIDENCE-PASSPORTS</x:v>
      </x:c>
      <x:c r="E58" s="24" t="n">
        <x:v>2</x:v>
      </x:c>
      <x:c r="F58" s="168" t="str">
        <x:v>Launch of Global Money Week 2024 (18 March 2024)</x:v>
      </x:c>
      <x:c r="G58" s="168" t="str">
        <x:v>Central Bank of Yemen — Aden</x:v>
      </x:c>
      <x:c r="H58" s="168"/>
      <x:c r="I58" s="168"/>
      <x:c r="J58" s="168"/>
      <x:c r="K58" s="168" t="str">
        <x:v>CITATION_CARD</x:v>
      </x:c>
      <x:c r="L58" s="168" t="str">
        <x:v>إطلاق الأسبوع العالمي للمال 2024 (18 مارس 2024)</x:v>
      </x:c>
      <x:c r="M58" s="168"/>
      <x:c r="N58" s="168"/>
      <x:c r="O58" s="168"/>
      <x:c r="S58" t="str">
        <x:v>NOT_ASSESSED</x:v>
      </x:c>
      <x:c r="Y58" t="str">
        <x:v>البنك المركزي اليمني – عدن</x:v>
      </x:c>
      <x:c r="Z58" t="str">
        <x:v>News release</x:v>
      </x:c>
      <x:c r="AA58" t="str">
        <x:v>بيان صحفي</x:v>
      </x:c>
    </x:row>
    <x:row r="59">
      <x:c r="A59" s="24" t="str">
        <x:v>SRC-CBY-GMW-2024-CLOSE-001</x:v>
      </x:c>
      <x:c r="B59" s="24" t="str">
        <x:v>https://cby-ye.com/news/660</x:v>
      </x:c>
      <x:c r="C59" s="24" t="str"/>
      <x:c r="D59" s="24" t="str">
        <x:v>DS-PRIMARY-AUTHORITY, DS-EVIDENCE-PASSPORTS</x:v>
      </x:c>
      <x:c r="E59" s="24" t="n">
        <x:v>2</x:v>
      </x:c>
      <x:c r="F59" s="168" t="str">
        <x:v>Conclusion of Global Money Week 2024 and recognition of participating institutions (3 April 2024)</x:v>
      </x:c>
      <x:c r="G59" s="168" t="str">
        <x:v>Central Bank of Yemen — Aden</x:v>
      </x:c>
      <x:c r="H59" s="168"/>
      <x:c r="I59" s="168"/>
      <x:c r="J59" s="168"/>
      <x:c r="K59" s="168" t="str">
        <x:v>CITATION_CARD</x:v>
      </x:c>
      <x:c r="L59" s="168" t="str">
        <x:v>اختتام الأسبوع العالمي للمال 2024 وتكريم الجهات المشاركة (3 أبريل 2024)</x:v>
      </x:c>
      <x:c r="M59" s="168"/>
      <x:c r="N59" s="168"/>
      <x:c r="O59" s="168"/>
      <x:c r="S59" t="str">
        <x:v>NOT_ASSESSED</x:v>
      </x:c>
      <x:c r="Y59" t="str">
        <x:v>البنك المركزي اليمني – عدن</x:v>
      </x:c>
      <x:c r="Z59" t="str">
        <x:v>News release</x:v>
      </x:c>
      <x:c r="AA59" t="str">
        <x:v>بيان صحفي</x:v>
      </x:c>
    </x:row>
    <x:row r="60">
      <x:c r="A60" s="24" t="str">
        <x:v>SRC-CBY-GMW-2025-001</x:v>
      </x:c>
      <x:c r="B60" s="24" t="str">
        <x:v>https://cby-ye.com/news/790</x:v>
      </x:c>
      <x:c r="C60" s="24" t="str"/>
      <x:c r="D60" s="24" t="str">
        <x:v>DS-PRIMARY-AUTHORITY, DS-EVIDENCE-PASSPORTS</x:v>
      </x:c>
      <x:c r="E60" s="24" t="n">
        <x:v>2</x:v>
      </x:c>
      <x:c r="F60" s="168" t="str">
        <x:v>Global Money Week 2025: launch and programme (16–22 March 2025)</x:v>
      </x:c>
      <x:c r="G60" s="168" t="str">
        <x:v>Central Bank of Yemen — Aden</x:v>
      </x:c>
      <x:c r="H60" s="168"/>
      <x:c r="I60" s="168"/>
      <x:c r="J60" s="168"/>
      <x:c r="K60" s="168" t="str">
        <x:v>CITATION_CARD</x:v>
      </x:c>
      <x:c r="L60" s="168" t="str">
        <x:v>الأسبوع العالمي للمال 2025: الإطلاق والبرنامج (16–22 مارس 2025)</x:v>
      </x:c>
      <x:c r="M60" s="168"/>
      <x:c r="N60" s="168"/>
      <x:c r="O60" s="168"/>
      <x:c r="S60" t="str">
        <x:v>NOT_ASSESSED</x:v>
      </x:c>
      <x:c r="Y60" t="str">
        <x:v>البنك المركزي اليمني – عدن</x:v>
      </x:c>
      <x:c r="Z60" t="str">
        <x:v>News release</x:v>
      </x:c>
      <x:c r="AA60" t="str">
        <x:v>بيان صحفي</x:v>
      </x:c>
    </x:row>
    <x:row r="61">
      <x:c r="A61" s="24" t="str">
        <x:v>SRC-CBY-FCP-INSTR-2023-001</x:v>
      </x:c>
      <x:c r="B61" s="24" t="str">
        <x:v>https://cby-ye.com/news/567</x:v>
      </x:c>
      <x:c r="C61" s="24" t="str">
        <x:v>["https://www.cby-ye.com/files/64e6f1e87e2a1.pdf"]</x:v>
      </x:c>
      <x:c r="D61" s="24" t="str">
        <x:v>DS-PRIMARY-AUTHORITY, DS-EVIDENCE-PASSPORTS, DS-REFORM-EVENTS</x:v>
      </x:c>
      <x:c r="E61" s="24" t="n">
        <x:v>3</x:v>
      </x:c>
      <x:c r="F61" s="168" t="str">
        <x:v>Regulatory Instructions for Financial Consumer Protection (issuance announced 28 August 2023)</x:v>
      </x:c>
      <x:c r="G61" s="168" t="str">
        <x:v>Central Bank of Yemen — Aden</x:v>
      </x:c>
      <x:c r="H61" s="168"/>
      <x:c r="I61" s="168"/>
      <x:c r="J61" s="168"/>
      <x:c r="K61" s="168" t="str">
        <x:v>CITATION_CARD</x:v>
      </x:c>
      <x:c r="L61" s="168" t="str">
        <x:v>التعليمات التنظيمية لحماية المستهلك المالي (أُعلن إصدارها في 28 أغسطس 2023)</x:v>
      </x:c>
      <x:c r="M61" s="168"/>
      <x:c r="N61" s="168"/>
      <x:c r="O61" s="168"/>
      <x:c r="S61" t="str">
        <x:v>NOT_ASSESSED</x:v>
      </x:c>
      <x:c r="W61" t="str">
        <x:v>instruction/circular</x:v>
      </x:c>
      <x:c r="Y61" t="str">
        <x:v>البنك المركزي اليمني – عدن</x:v>
      </x:c>
      <x:c r="Z61" t="str">
        <x:v>Circular or instruction</x:v>
      </x:c>
      <x:c r="AA61" t="str">
        <x:v>تعميم أو تعليمات</x:v>
      </x:c>
      <x:c r="AB61" t="str">
        <x:v>2023-08-28</x:v>
      </x:c>
    </x:row>
    <x:row r="62">
      <x:c r="A62" s="24" t="str">
        <x:v>SRC-CBY-FCP-AWARE-2024-001</x:v>
      </x:c>
      <x:c r="B62" s="24" t="str">
        <x:v>https://cby-ye.com/news/652</x:v>
      </x:c>
      <x:c r="C62" s="24" t="str"/>
      <x:c r="D62" s="24" t="str">
        <x:v>DS-PRIMARY-AUTHORITY</x:v>
      </x:c>
      <x:c r="E62" s="24" t="n">
        <x:v>1</x:v>
      </x:c>
      <x:c r="F62" s="168" t="str">
        <x:v>Awareness brochure 'Financial Consumer Protection in Yemen' issued during Global Money Week (23 March 2024)</x:v>
      </x:c>
      <x:c r="G62" s="168" t="str">
        <x:v>Central Bank of Yemen — Aden</x:v>
      </x:c>
      <x:c r="H62" s="168"/>
      <x:c r="I62" s="168"/>
      <x:c r="J62" s="168"/>
      <x:c r="K62" s="168" t="str">
        <x:v>CITATION_CARD</x:v>
      </x:c>
      <x:c r="L62" s="168" t="str">
        <x:v>إصدار الكتيّب التوعوي «حماية المستهلك المالي في اليمن» خلال الأسبوع العالمي للمال (23 مارس 2024)</x:v>
      </x:c>
      <x:c r="M62" s="168"/>
      <x:c r="N62" s="168"/>
      <x:c r="O62" s="168"/>
      <x:c r="S62" t="str">
        <x:v>NOT_ASSESSED</x:v>
      </x:c>
      <x:c r="Y62" t="str">
        <x:v>البنك المركزي اليمني – عدن</x:v>
      </x:c>
      <x:c r="Z62" t="str">
        <x:v>News release</x:v>
      </x:c>
      <x:c r="AA62" t="str">
        <x:v>بيان صحفي</x:v>
      </x:c>
    </x:row>
    <x:row r="63">
      <x:c r="A63" s="24" t="str">
        <x:v>SRC-CBY-PSP-RULES-2022-001</x:v>
      </x:c>
      <x:c r="B63" s="24" t="str">
        <x:v>https://cby-ye.com/files/632b0c240dc11.pdf</x:v>
      </x:c>
      <x:c r="C63" s="24" t="str">
        <x:v>["https://cby-ye.com/news/376"]</x:v>
      </x:c>
      <x:c r="D63" s="24" t="str">
        <x:v>DS-PRIMARY-AUTHORITY</x:v>
      </x:c>
      <x:c r="E63" s="24" t="n">
        <x:v>1</x:v>
      </x:c>
      <x:c r="F63" s="168" t="str">
        <x:v>Instructions governing payment service providers and payment system operators (14 September 2022)</x:v>
      </x:c>
      <x:c r="G63" s="168" t="str">
        <x:v>Central Bank of Yemen — Aden</x:v>
      </x:c>
      <x:c r="H63" s="168"/>
      <x:c r="I63" s="168"/>
      <x:c r="J63" s="168"/>
      <x:c r="K63" s="168" t="str">
        <x:v>CITATION_CARD</x:v>
      </x:c>
      <x:c r="L63" s="168" t="str">
        <x:v>تعليمات بشأن مقدمي خدمات الدفع ومشغلي أنظمة الدفع (14 سبتمبر 2022)</x:v>
      </x:c>
      <x:c r="M63" s="168"/>
      <x:c r="N63" s="168"/>
      <x:c r="O63" s="168"/>
      <x:c r="S63" t="str">
        <x:v>NOT_ASSESSED</x:v>
      </x:c>
      <x:c r="W63" t="str">
        <x:v>regulation</x:v>
      </x:c>
      <x:c r="Y63" t="str">
        <x:v>البنك المركزي اليمني – عدن</x:v>
      </x:c>
      <x:c r="Z63" t="str">
        <x:v>Regulation</x:v>
      </x:c>
      <x:c r="AA63" t="str">
        <x:v>لائحة تنظيمية</x:v>
      </x:c>
      <x:c r="AB63" t="str">
        <x:v>2022-09-14</x:v>
      </x:c>
    </x:row>
    <x:row r="64">
      <x:c r="A64" s="24" t="str">
        <x:v>SRC-CBY-PAY-BOARD-2026-001</x:v>
      </x:c>
      <x:c r="B64" s="24" t="str">
        <x:v>https://cby-ye.com/news/922</x:v>
      </x:c>
      <x:c r="C64" s="24" t="str"/>
      <x:c r="D64" s="24" t="str">
        <x:v>DS-PRIMARY-AUTHORITY, DS-REFORM-EVENTS</x:v>
      </x:c>
      <x:c r="E64" s="24" t="n">
        <x:v>2</x:v>
      </x:c>
      <x:c r="F64" s="168" t="str">
        <x:v>Board of Directors' decisions on a national QR standard, e-wallet interconnection and the fast payment system operator (29 March 2026)</x:v>
      </x:c>
      <x:c r="G64" s="168" t="str">
        <x:v>Central Bank of Yemen — Aden</x:v>
      </x:c>
      <x:c r="H64" s="168"/>
      <x:c r="I64" s="168"/>
      <x:c r="J64" s="168"/>
      <x:c r="K64" s="168" t="str">
        <x:v>CITATION_CARD</x:v>
      </x:c>
      <x:c r="L64" s="168" t="str">
        <x:v>قرارات مجلس الإدارة بشأن معيار QR وطني وربط المحافظ الإلكترونية والشركة المشغّلة لنظام الدفع السريع (29 مارس 2026)</x:v>
      </x:c>
      <x:c r="M64" s="168"/>
      <x:c r="N64" s="168"/>
      <x:c r="O64" s="168"/>
      <x:c r="S64" t="str">
        <x:v>NOT_ASSESSED</x:v>
      </x:c>
      <x:c r="Y64" t="str">
        <x:v>البنك المركزي اليمني – عدن</x:v>
      </x:c>
      <x:c r="Z64" t="str">
        <x:v>News release</x:v>
      </x:c>
      <x:c r="AA64" t="str">
        <x:v>بيان صحفي</x:v>
      </x:c>
    </x:row>
    <x:row r="65">
      <x:c r="A65" s="24" t="str">
        <x:v>SRC-CBY-FCP-BROCHURE-2024-001</x:v>
      </x:c>
      <x:c r="B65" s="24" t="str">
        <x:v>https://cby-ye.com/files/65fe1e8d2ec08.pdf</x:v>
      </x:c>
      <x:c r="C65" s="24" t="str">
        <x:v>["https://cby-ye.com/news/652"]</x:v>
      </x:c>
      <x:c r="D65" s="24" t="str">
        <x:v>DS-FCP-ARCH, DS-PRIMARY-AUTHORITY, DS-EVIDENCE-PASSPORTS</x:v>
      </x:c>
      <x:c r="E65" s="24" t="n">
        <x:v>11</x:v>
      </x:c>
      <x:c r="F65" s="168" t="str">
        <x:v>Financial Consumer Protection in Yemen (awareness brochure, 23 March 2024)</x:v>
      </x:c>
      <x:c r="G65" s="168" t="str">
        <x:v>Central Bank of Yemen — Aden</x:v>
      </x:c>
      <x:c r="H65" s="168"/>
      <x:c r="I65" s="168"/>
      <x:c r="J65" s="168"/>
      <x:c r="K65" s="168" t="str">
        <x:v>CITATION_CARD</x:v>
      </x:c>
      <x:c r="L65" s="168" t="str">
        <x:v>حماية المستهلك المالي في اليمن (كتيّب توعوي، 23 مارس 2024)</x:v>
      </x:c>
      <x:c r="M65" s="168"/>
      <x:c r="N65" s="168"/>
      <x:c r="O65" s="168"/>
      <x:c r="S65" t="str">
        <x:v>NOT_ASSESSED</x:v>
      </x:c>
      <x:c r="Y65" t="str">
        <x:v>البنك المركزي اليمني – عدن</x:v>
      </x:c>
      <x:c r="Z65" t="str">
        <x:v>Guidance or awareness material</x:v>
      </x:c>
      <x:c r="AA65" t="str">
        <x:v>مواد إرشادية أو توعوية</x:v>
      </x:c>
      <x:c r="AB65" t="str">
        <x:v>2024-03-23</x:v>
      </x:c>
    </x:row>
    <x:row r="66">
      <x:c r="A66" s="24" t="str">
        <x:v>SRC-CBY-EMONEY-2023-001</x:v>
      </x:c>
      <x:c r="B66" s="24" t="str">
        <x:v>https://cby-ye.com/files/64dde85e0a84f.pdf</x:v>
      </x:c>
      <x:c r="C66" s="24" t="str"/>
      <x:c r="D66" s="24" t="str">
        <x:v>DS-EMONEY-REG, DS-PRIMARY-AUTHORITY, DS-REFORM-EVENTS</x:v>
      </x:c>
      <x:c r="E66" s="24" t="n">
        <x:v>4</x:v>
      </x:c>
      <x:c r="F66" s="168" t="str">
        <x:v>Instructions on mobile e-money services provided by non-bank financial institutions (9 August 2023)</x:v>
      </x:c>
      <x:c r="G66" s="168" t="str">
        <x:v>Central Bank of Yemen — Aden</x:v>
      </x:c>
      <x:c r="H66" s="168"/>
      <x:c r="I66" s="168"/>
      <x:c r="J66" s="168"/>
      <x:c r="K66" s="168" t="str">
        <x:v>CITATION_CARD</x:v>
      </x:c>
      <x:c r="L66" s="168" t="str">
        <x:v>تعليمات خدمات النقود الإلكترونية عبر الهاتف المحمول التي تقدمها المؤسسات المالية غير المصرفية (9 أغسطس 2023)</x:v>
      </x:c>
      <x:c r="M66" s="168"/>
      <x:c r="N66" s="168"/>
      <x:c r="O66" s="168"/>
      <x:c r="S66" t="str">
        <x:v>NOT_ASSESSED</x:v>
      </x:c>
      <x:c r="W66" t="str">
        <x:v>instruction/circular</x:v>
      </x:c>
      <x:c r="Y66" t="str">
        <x:v>البنك المركزي اليمني – عدن</x:v>
      </x:c>
      <x:c r="Z66" t="str">
        <x:v>Circular or instruction</x:v>
      </x:c>
      <x:c r="AA66" t="str">
        <x:v>تعميم أو تعليمات</x:v>
      </x:c>
      <x:c r="AB66" t="str">
        <x:v>2023-08-09</x:v>
      </x:c>
    </x:row>
    <x:row r="67">
      <x:c r="A67" s="24" t="str">
        <x:v>SRC-CBY-EMONEY-AMD-2025-001</x:v>
      </x:c>
      <x:c r="B67" s="24" t="str">
        <x:v>https://cby-ye.com/files/6875fc55a253e.pdf</x:v>
      </x:c>
      <x:c r="C67" s="24" t="str"/>
      <x:c r="D67" s="24" t="str">
        <x:v>DS-EMONEY-REG, DS-PRIMARY-AUTHORITY, DS-REFORM-EVENTS</x:v>
      </x:c>
      <x:c r="E67" s="24" t="n">
        <x:v>9</x:v>
      </x:c>
      <x:c r="F67" s="168" t="str">
        <x:v>Governor's Decision No. 4 of 2025 amending the mobile e-money instructions (9 July 2025)</x:v>
      </x:c>
      <x:c r="G67" s="168" t="str">
        <x:v>Central Bank of Yemen — Aden</x:v>
      </x:c>
      <x:c r="H67" s="168"/>
      <x:c r="I67" s="168"/>
      <x:c r="J67" s="168"/>
      <x:c r="K67" s="168" t="str">
        <x:v>CITATION_CARD</x:v>
      </x:c>
      <x:c r="L67" s="168" t="str">
        <x:v>قرار المحافظ رقم (4) لسنة 2025 بتعديل تعليمات خدمات النقود الإلكترونية عبر الهاتف المحمول (9 يوليو 2025)</x:v>
      </x:c>
      <x:c r="M67" s="168"/>
      <x:c r="N67" s="168"/>
      <x:c r="O67" s="168"/>
      <x:c r="S67" t="str">
        <x:v>NOT_ASSESSED</x:v>
      </x:c>
      <x:c r="W67" t="str">
        <x:v>regulatory decision</x:v>
      </x:c>
      <x:c r="Y67" t="str">
        <x:v>البنك المركزي اليمني – عدن</x:v>
      </x:c>
      <x:c r="Z67" t="str">
        <x:v>Regulatory decision</x:v>
      </x:c>
      <x:c r="AA67" t="str">
        <x:v>قرار تنظيمي</x:v>
      </x:c>
      <x:c r="AB67" t="str">
        <x:v>2025-07-09</x:v>
      </x:c>
    </x:row>
    <x:row r="68">
      <x:c r="A68" s="24" t="str">
        <x:v>SRC-CBY-DIGITAL-EXPO-2026-001</x:v>
      </x:c>
      <x:c r="B68" s="24" t="str">
        <x:v>https://cby-ye.com/news/915</x:v>
      </x:c>
      <x:c r="C68" s="24" t="str"/>
      <x:c r="D68" s="24" t="str">
        <x:v>DS-PRIMARY-AUTHORITY,DS-REFORM-EVENTS,DS-STRATEGIC-INSIGHTS,DS-WALLET-COUNT-RECON</x:v>
      </x:c>
      <x:c r="E68" s="24" t="n">
        <x:v>4</x:v>
      </x:c>
      <x:c r="F68" s="168" t="str">
        <x:v>Digital payments exhibition, with remarks on the unified transfer network (22 January 2026)</x:v>
      </x:c>
      <x:c r="G68" s="168" t="str">
        <x:v>Central Bank of Yemen — Aden</x:v>
      </x:c>
      <x:c r="H68" s="168"/>
      <x:c r="I68" s="168"/>
      <x:c r="J68" s="168"/>
      <x:c r="K68" s="168" t="str">
        <x:v>CITATION_CARD</x:v>
      </x:c>
      <x:c r="L68" s="168" t="str">
        <x:v>معرض المدفوعات الرقمية، مع تصريحات بشأن الشبكة الموحدة للحوالات (22 يناير 2026)</x:v>
      </x:c>
      <x:c r="M68" s="168"/>
      <x:c r="N68" s="168"/>
      <x:c r="O68" s="168"/>
      <x:c r="S68" t="str">
        <x:v>NOT_ASSESSED</x:v>
      </x:c>
      <x:c r="Y68" t="str">
        <x:v>البنك المركزي اليمني – عدن</x:v>
      </x:c>
      <x:c r="Z68" t="str">
        <x:v>News release</x:v>
      </x:c>
      <x:c r="AA68" t="str">
        <x:v>بيان صحفي</x:v>
      </x:c>
    </x:row>
    <x:row r="69">
      <x:c r="A69" s="24" t="str">
        <x:v>SRC-CBY-UNLICENSED-EWALLET-2024-001</x:v>
      </x:c>
      <x:c r="B69" s="24" t="str">
        <x:v>https://cby-ye.com/files/667c32dabd223.pdf</x:v>
      </x:c>
      <x:c r="C69" s="24" t="str">
        <x:v>["https://cby-ye.com/news/703"]</x:v>
      </x:c>
      <x:c r="D69" s="24" t="str">
        <x:v>DS-PROVIDER-NEGATIVE-AUTHORITY,DS-PROVIDER-OBSERVABILITY,DS-PROVIDER-STATUS-EVENTS</x:v>
      </x:c>
      <x:c r="E69" s="24" t="n">
        <x:v>13</x:v>
      </x:c>
      <x:c r="F69" s="168" t="str">
        <x:v>Circular prohibiting dealings with unlicensed electronic wallets and payment services (26 June 2024)</x:v>
      </x:c>
      <x:c r="G69" s="168" t="str">
        <x:v>Central Bank of Yemen — Aden</x:v>
      </x:c>
      <x:c r="H69" s="168"/>
      <x:c r="I69" s="168"/>
      <x:c r="J69" s="168"/>
      <x:c r="K69" s="168" t="str">
        <x:v>CITATION_CARD</x:v>
      </x:c>
      <x:c r="L69" s="168" t="str">
        <x:v>تعميم بحظر التعامل مع محافظ إلكترونية وخدمات دفع إلكتروني غير مرخصة (26 يونيو 2024)</x:v>
      </x:c>
      <x:c r="M69" s="168"/>
      <x:c r="N69" s="168"/>
      <x:c r="O69" s="168"/>
      <x:c r="S69" t="str">
        <x:v>NOT_ASSESSED</x:v>
      </x:c>
      <x:c r="W69" t="str">
        <x:v>instruction/circular</x:v>
      </x:c>
      <x:c r="X69" t="str">
        <x:v>status event</x:v>
      </x:c>
      <x:c r="Y69" t="str">
        <x:v>البنك المركزي اليمني – عدن</x:v>
      </x:c>
      <x:c r="Z69" t="str">
        <x:v>Circular or instruction</x:v>
      </x:c>
      <x:c r="AA69" t="str">
        <x:v>تعميم أو تعليمات</x:v>
      </x:c>
      <x:c r="AB69" t="str">
        <x:v>2024-06-26</x:v>
      </x:c>
    </x:row>
    <x:row r="70">
      <x:c r="A70" s="24" t="str">
        <x:v>SRC-CBY-EXCH-LIST-2025-001</x:v>
      </x:c>
      <x:c r="B70" s="24" t="str">
        <x:v>https://cby-ye.com/files/69561aafe8942.pdf</x:v>
      </x:c>
      <x:c r="C70" s="24" t="str"/>
      <x:c r="D70" s="24" t="str">
        <x:v>DS-PROVIDER-BASELINE-2025,DS-PROVIDER-OBSERVABILITY</x:v>
      </x:c>
      <x:c r="E70" s="24" t="n">
        <x:v>4</x:v>
      </x:c>
      <x:c r="F70" s="168" t="str">
        <x:v>Roster of exchange companies, exchange establishments and remittance agents (2025)</x:v>
      </x:c>
      <x:c r="G70" s="168" t="str">
        <x:v>Central Bank of Yemen — Aden</x:v>
      </x:c>
      <x:c r="H70" s="168"/>
      <x:c r="I70" s="168"/>
      <x:c r="J70" s="168"/>
      <x:c r="K70" s="168" t="str">
        <x:v>CITATION_CARD</x:v>
      </x:c>
      <x:c r="L70" s="168" t="str">
        <x:v>قائمة شركات ومنشآت الصرافة ووكلاء الحوالات (2025)</x:v>
      </x:c>
      <x:c r="M70" s="168"/>
      <x:c r="N70" s="168"/>
      <x:c r="O70" s="168"/>
      <x:c r="S70" t="str">
        <x:v>NOT_ASSESSED</x:v>
      </x:c>
      <x:c r="W70" t="str">
        <x:v>provider-status instrument</x:v>
      </x:c>
      <x:c r="X70" t="str">
        <x:v>primary factual evidence</x:v>
      </x:c>
      <x:c r="Y70" t="str">
        <x:v>البنك المركزي اليمني – عدن</x:v>
      </x:c>
      <x:c r="Z70" t="str">
        <x:v>Official list or roster</x:v>
      </x:c>
      <x:c r="AA70" t="str">
        <x:v>قائمة رسمية</x:v>
      </x:c>
    </x:row>
    <x:row r="71">
      <x:c r="A71" s="24" t="str">
        <x:v>SRC-CBY-BANK-NETWORK-MTG-2026-001</x:v>
      </x:c>
      <x:c r="B71" s="24" t="str">
        <x:v>https://cby-ye.com/news/946</x:v>
      </x:c>
      <x:c r="C71" s="24" t="str"/>
      <x:c r="D71" s="24" t="str">
        <x:v>DS-PAYMENT-CURRENTNESS,DS-REFORM-EVENTS</x:v>
      </x:c>
      <x:c r="E71" s="24" t="n">
        <x:v>2</x:v>
      </x:c>
      <x:c r="F71" s="168" t="str">
        <x:v>Meeting on completing integration among banks and financial-service providers through the unified network (17 June 2026)</x:v>
      </x:c>
      <x:c r="G71" s="168" t="str">
        <x:v>Central Bank of Yemen — Aden</x:v>
      </x:c>
      <x:c r="H71" s="168"/>
      <x:c r="I71" s="168"/>
      <x:c r="J71" s="168"/>
      <x:c r="K71" s="168" t="str">
        <x:v>CITATION_CARD</x:v>
      </x:c>
      <x:c r="L71" s="168" t="str">
        <x:v>اجتماع بشأن استكمال الربط بين البنوك ومقدمي الخدمات المالية عبر الشبكة الموحدة (17 يونيو 2026)</x:v>
      </x:c>
      <x:c r="M71" s="168"/>
      <x:c r="N71" s="168"/>
      <x:c r="O71" s="168"/>
      <x:c r="S71" t="str">
        <x:v>NOT_ASSESSED</x:v>
      </x:c>
      <x:c r="Y71" t="str">
        <x:v>البنك المركزي اليمني – عدن</x:v>
      </x:c>
      <x:c r="Z71" t="str">
        <x:v>News release</x:v>
      </x:c>
      <x:c r="AA71" t="str">
        <x:v>بيان صحفي</x:v>
      </x:c>
    </x:row>
    <x:row r="72">
      <x:c r="A72" s="24" t="str">
        <x:v>SRC-CBY-UNIFIED-NET-2026-001</x:v>
      </x:c>
      <x:c r="B72" s="24" t="str">
        <x:v>https://cby-ye.com/news/957</x:v>
      </x:c>
      <x:c r="C72" s="24" t="str"/>
      <x:c r="D72" s="24" t="str">
        <x:v>DS-PAYMENT-CURRENTNESS,DS-REFORM-EVENTS</x:v>
      </x:c>
      <x:c r="E72" s="24" t="n">
        <x:v>2</x:v>
      </x:c>
      <x:c r="F72" s="168" t="str">
        <x:v>Unified Money Network company: restructuring, capital increase and a wider bank shareholder base (27 July 2026)</x:v>
      </x:c>
      <x:c r="G72" s="168" t="str">
        <x:v>Central Bank of Yemen — Aden</x:v>
      </x:c>
      <x:c r="H72" s="168"/>
      <x:c r="I72" s="168"/>
      <x:c r="J72" s="168"/>
      <x:c r="K72" s="168" t="str">
        <x:v>CITATION_CARD</x:v>
      </x:c>
      <x:c r="L72" s="168" t="str">
        <x:v>شركة الشبكة الموحدة للأموال: إعادة الهيكلة وزيادة رأس المال وتوسيع قاعدة البنوك المساهمة (27 يوليو 2026)</x:v>
      </x:c>
      <x:c r="M72" s="168"/>
      <x:c r="N72" s="168"/>
      <x:c r="O72" s="168"/>
      <x:c r="S72" t="str">
        <x:v>NOT_ASSESSED</x:v>
      </x:c>
      <x:c r="Y72" t="str">
        <x:v>البنك المركزي اليمني – عدن</x:v>
      </x:c>
      <x:c r="Z72" t="str">
        <x:v>News release</x:v>
      </x:c>
      <x:c r="AA72" t="str">
        <x:v>بيان صحفي</x:v>
      </x:c>
    </x:row>
    <x:row r="73">
      <x:c r="A73" s="24" t="str">
        <x:v>SRC-CBY-YPCC-FOUND-2026-001</x:v>
      </x:c>
      <x:c r="B73" s="24" t="str">
        <x:v>https://cby-ye.com/news/961</x:v>
      </x:c>
      <x:c r="C73" s="24" t="str"/>
      <x:c r="D73" s="24" t="str">
        <x:v>DS-PAYMENT-CURRENTNESS,DS-REFORM-EVENTS</x:v>
      </x:c>
      <x:c r="E73" s="24" t="n">
        <x:v>2</x:v>
      </x:c>
      <x:c r="F73" s="168" t="str">
        <x:v>Founding general assembly of the Yemeni Payments and Clearing Company (3 August 2026)</x:v>
      </x:c>
      <x:c r="G73" s="168" t="str">
        <x:v>Central Bank of Yemen — Aden</x:v>
      </x:c>
      <x:c r="H73" s="168"/>
      <x:c r="I73" s="168"/>
      <x:c r="J73" s="168"/>
      <x:c r="K73" s="168" t="str">
        <x:v>CITATION_CARD</x:v>
      </x:c>
      <x:c r="L73" s="168" t="str">
        <x:v>الجمعية التأسيسية للشركة اليمنية للمدفوعات والمقاصة (3 أغسطس 2026)</x:v>
      </x:c>
      <x:c r="M73" s="168"/>
      <x:c r="N73" s="168"/>
      <x:c r="O73" s="168"/>
      <x:c r="S73" t="str">
        <x:v>NOT_ASSESSED</x:v>
      </x:c>
      <x:c r="Y73" t="str">
        <x:v>البنك المركزي اليمني – عدن</x:v>
      </x:c>
      <x:c r="Z73" t="str">
        <x:v>News release</x:v>
      </x:c>
      <x:c r="AA73" t="str">
        <x:v>بيان صحفي</x:v>
      </x:c>
    </x:row>
    <x:row r="74">
      <x:c r="A74" s="24" t="str">
        <x:v>SRC-CBY-YPCC-BOARD-2026-001</x:v>
      </x:c>
      <x:c r="B74" s="24" t="str">
        <x:v>https://cby-ye.com/news/962</x:v>
      </x:c>
      <x:c r="C74" s="24" t="str"/>
      <x:c r="D74" s="24" t="str">
        <x:v>DS-PAYMENT-CURRENTNESS,DS-REFORM-EVENTS</x:v>
      </x:c>
      <x:c r="E74" s="24" t="n">
        <x:v>2</x:v>
      </x:c>
      <x:c r="F74" s="168" t="str">
        <x:v>First board meeting of the Yemeni Payments and Clearing Company (4 August 2026)</x:v>
      </x:c>
      <x:c r="G74" s="168" t="str">
        <x:v>Central Bank of Yemen — Aden</x:v>
      </x:c>
      <x:c r="H74" s="168"/>
      <x:c r="I74" s="168"/>
      <x:c r="J74" s="168"/>
      <x:c r="K74" s="168" t="str">
        <x:v>CITATION_CARD</x:v>
      </x:c>
      <x:c r="L74" s="168" t="str">
        <x:v>أول اجتماع لمجلس إدارة الشركة اليمنية للمدفوعات والمقاصة (4 أغسطس 2026)</x:v>
      </x:c>
      <x:c r="M74" s="168"/>
      <x:c r="N74" s="168"/>
      <x:c r="O74" s="168"/>
      <x:c r="S74" t="str">
        <x:v>NOT_ASSESSED</x:v>
      </x:c>
      <x:c r="Y74" t="str">
        <x:v>البنك المركزي اليمني – عدن</x:v>
      </x:c>
      <x:c r="Z74" t="str">
        <x:v>News release</x:v>
      </x:c>
      <x:c r="AA74" t="str">
        <x:v>بيان صحفي</x:v>
      </x:c>
    </x:row>
    <x:row r="75">
      <x:c r="A75" s="24" t="str">
        <x:v>SRC-CBY-POS-PUBLICATION-PAGE-2026-001</x:v>
      </x:c>
      <x:c r="B75" s="24" t="str">
        <x:v>https://english.cby-ye.com/pages/27</x:v>
      </x:c>
      <x:c r="C75" s="24" t="str">
        <x:v>["https://cby-ye.com/pages/33"]</x:v>
      </x:c>
      <x:c r="D75" s="24" t="str">
        <x:v>DS-PAYMENT-CURRENTNESS</x:v>
      </x:c>
      <x:c r="E75" s="24" t="n">
        <x:v>1</x:v>
      </x:c>
      <x:c r="F75" s="168" t="str">
        <x:v>Monthly Point of Sale Transactions: publication pages, Arabic and English (as checked on 3 October 2026)</x:v>
      </x:c>
      <x:c r="G75" s="168" t="str">
        <x:v>Central Bank of Yemen — Aden</x:v>
      </x:c>
      <x:c r="H75" s="168"/>
      <x:c r="I75" s="168"/>
      <x:c r="J75" s="168"/>
      <x:c r="K75" s="168" t="str">
        <x:v>CITATION_CARD</x:v>
      </x:c>
      <x:c r="L75" s="168" t="str">
        <x:v>معاملات نقاط البيع الشهرية: صفحتا الإصدارات بالعربية وبالإنجليزية (كما اطُّلع عليهما في 3 أكتوبر 2026)</x:v>
      </x:c>
      <x:c r="M75" s="168"/>
      <x:c r="N75" s="168"/>
      <x:c r="O75" s="168"/>
      <x:c r="S75" t="str">
        <x:v>NOT_ASSESSED</x:v>
      </x:c>
      <x:c r="V75" t="str">
        <x:v>2026-10-03</x:v>
      </x:c>
      <x:c r="Y75" t="str">
        <x:v>البنك المركزي اليمني – عدن</x:v>
      </x:c>
      <x:c r="Z75" t="str">
        <x:v>Web page</x:v>
      </x:c>
      <x:c r="AA75" t="str">
        <x:v>صفحة إلكترونية</x:v>
      </x:c>
    </x:row>
    <x:row r="76">
      <x:c r="A76" s="24" t="str">
        <x:v>SRC-SFD-HIST-2004-Q3-001</x:v>
      </x:c>
      <x:c r="B76" s="24" t="str">
        <x:v>https://www.sfd-yemen.org/uploads/issues/Newsletter-2004-Q3-20120331-111302.pdf</x:v>
      </x:c>
      <x:c r="C76" s="24" t="str"/>
      <x:c r="D76" s="24" t="str">
        <x:v>DS-MF-ORIGIN-CHRONOLOGY</x:v>
      </x:c>
      <x:c r="E76" s="24" t="n">
        <x:v>1</x:v>
      </x:c>
      <x:c r="F76" s="168" t="str">
        <x:v>Social Fund for Development (SFD) Newsletter (2004)</x:v>
      </x:c>
      <x:c r="G76" s="168" t="str">
        <x:v>Social Fund for Development (SFD)</x:v>
      </x:c>
      <x:c r="H76" s="168"/>
      <x:c r="I76" s="168"/>
      <x:c r="J76" s="168"/>
      <x:c r="K76" s="168" t="str">
        <x:v>CITATION_CARD</x:v>
      </x:c>
      <x:c r="L76" s="168" t="str">
        <x:v>النشرة الإخبارية للصندوق الاجتماعي للتنمية (2004)</x:v>
      </x:c>
      <x:c r="M76" s="168"/>
      <x:c r="N76" s="168"/>
      <x:c r="O76" s="168"/>
      <x:c r="S76" t="str">
        <x:v>NOT_ASSESSED</x:v>
      </x:c>
      <x:c r="Y76" t="str">
        <x:v>الصندوق الاجتماعي للتنمية</x:v>
      </x:c>
      <x:c r="Z76" t="str">
        <x:v>Newsletter</x:v>
      </x:c>
      <x:c r="AA76" t="str">
        <x:v>نشرة دورية</x:v>
      </x:c>
      <x:c r="AB76" t="str">
        <x:v>2004</x:v>
      </x:c>
    </x:row>
    <x:row r="77">
      <x:c r="A77" s="24" t="str">
        <x:v>SRC-SFD-MF-HISTORY-TOR-2012-001</x:v>
      </x:c>
      <x:c r="B77" s="24" t="str">
        <x:v>https://web.archive.org/web/20241006192210/https://sfd-yemen.org/uploads/issues/Microfinance%20Islamic%20Products%20Study(TOR)-20130109-132034.pdf</x:v>
      </x:c>
      <x:c r="C77" s="24" t="str">
        <x:v>["https://www.sfd-yemen.org/uploads/issues/Microfinance%20Islamic%20Products%20Study%28TOR%29-20130109-132034.pdf"]</x:v>
      </x:c>
      <x:c r="D77" s="24" t="str">
        <x:v>DS-MF-ORIGIN-CHRONOLOGY,DS-MFI-YEAR-COVERAGE</x:v>
      </x:c>
      <x:c r="E77" s="24" t="n">
        <x:v>2</x:v>
      </x:c>
      <x:c r="F77" s="168"/>
      <x:c r="G77" s="168"/>
      <x:c r="H77" s="168"/>
      <x:c r="I77" s="168"/>
      <x:c r="J77" s="168"/>
      <x:c r="K77" s="168" t="str">
        <x:v>LOCATOR_ONLY</x:v>
      </x:c>
      <x:c r="L77" s="168"/>
      <x:c r="M77" s="168"/>
      <x:c r="N77" s="168"/>
      <x:c r="O77" s="168"/>
      <x:c r="S77" t="str">
        <x:v>NOT_ASSESSED</x:v>
      </x:c>
      <x:c r="V77" t="str">
        <x:v>2026-10-03</x:v>
      </x:c>
    </x:row>
    <x:row r="78">
      <x:c r="A78" s="24" t="str">
        <x:v>SRC-SFD-NEWSLETTER-2000-Q4-001</x:v>
      </x:c>
      <x:c r="B78" s="24" t="str">
        <x:v>https://web.archive.org/web/20250213094943/https://sfd-yemen.org/uploads/issues/Newsletter-12-ENGLISH%20-20120718-113859.pdf</x:v>
      </x:c>
      <x:c r="C78" s="24" t="str">
        <x:v>["https://www.sfd-yemen.org/uploads/issues/Newsletter-12-ENGLISH%20-20120718-113859.pdf"]</x:v>
      </x:c>
      <x:c r="D78" s="24" t="str">
        <x:v>DS-MF-ORIGIN-CHRONOLOGY</x:v>
      </x:c>
      <x:c r="E78" s="24" t="n">
        <x:v>1</x:v>
      </x:c>
      <x:c r="F78" s="168" t="str">
        <x:v>Social Fund for Development (SFD) Newsletter (programme portfolios as of 31 December 2000)</x:v>
      </x:c>
      <x:c r="G78" s="168" t="str">
        <x:v>Social Fund for Development (SFD)</x:v>
      </x:c>
      <x:c r="H78" s="168"/>
      <x:c r="I78" s="168"/>
      <x:c r="J78" s="168"/>
      <x:c r="K78" s="168" t="str">
        <x:v>CITATION_CARD</x:v>
      </x:c>
      <x:c r="L78" s="168" t="str">
        <x:v>النشرة الإخبارية للصندوق الاجتماعي للتنمية (محافظ البرامج كما في 31 ديسمبر 2000)</x:v>
      </x:c>
      <x:c r="M78" s="168"/>
      <x:c r="N78" s="168"/>
      <x:c r="O78" s="168"/>
      <x:c r="S78" t="str">
        <x:v>NOT_ASSESSED</x:v>
      </x:c>
      <x:c r="V78" t="str">
        <x:v>2026-10-03</x:v>
      </x:c>
      <x:c r="Y78" t="str">
        <x:v>الصندوق الاجتماعي للتنمية</x:v>
      </x:c>
      <x:c r="Z78" t="str">
        <x:v>Newsletter</x:v>
      </x:c>
      <x:c r="AA78" t="str">
        <x:v>نشرة دورية</x:v>
      </x:c>
    </x:row>
    <x:row r="79">
      <x:c r="A79" s="24" t="str">
        <x:v>SRC-SFD-Q4-2009-001</x:v>
      </x:c>
      <x:c r="B79" s="24" t="str">
        <x:v>https://www.sfd-yemen.org/uploads/issues/Newsletter-2009-Q4-20120331-122623.pdf</x:v>
      </x:c>
      <x:c r="C79" s="24" t="str"/>
      <x:c r="D79" s="24" t="str">
        <x:v>DS-MFI-YEAR-COVERAGE</x:v>
      </x:c>
      <x:c r="E79" s="24" t="n">
        <x:v>1</x:v>
      </x:c>
      <x:c r="F79" s="168" t="str">
        <x:v>Social Fund for Development (SFD) Newsletter (fourth quarter of 2009)</x:v>
      </x:c>
      <x:c r="G79" s="168" t="str">
        <x:v>Social Fund for Development (SFD)</x:v>
      </x:c>
      <x:c r="H79" s="168"/>
      <x:c r="I79" s="168"/>
      <x:c r="J79" s="168"/>
      <x:c r="K79" s="168" t="str">
        <x:v>CITATION_CARD</x:v>
      </x:c>
      <x:c r="L79" s="168" t="str">
        <x:v>النشرة الإخبارية للصندوق الاجتماعي للتنمية (الربع الرابع من 2009)</x:v>
      </x:c>
      <x:c r="M79" s="168"/>
      <x:c r="N79" s="168"/>
      <x:c r="O79" s="168"/>
      <x:c r="S79" t="str">
        <x:v>NOT_ASSESSED</x:v>
      </x:c>
      <x:c r="Y79" t="str">
        <x:v>الصندوق الاجتماعي للتنمية</x:v>
      </x:c>
      <x:c r="Z79" t="str">
        <x:v>Newsletter</x:v>
      </x:c>
      <x:c r="AA79" t="str">
        <x:v>نشرة دورية</x:v>
      </x:c>
    </x:row>
    <x:row r="80">
      <x:c r="A80" s="24" t="str">
        <x:v>SRC-SFD-Q4-2010-001</x:v>
      </x:c>
      <x:c r="B80" s="24" t="str">
        <x:v>https://www.sfd-yemen.org/uploads/issues/Newsletter-2010-Q4-20120331-122753.pdf</x:v>
      </x:c>
      <x:c r="C80" s="24" t="str"/>
      <x:c r="D80" s="24" t="str">
        <x:v>DS-MFI-YEAR-COVERAGE,DS-MFI-TEMPORAL-SPINE,DS-MFI-METRIC-COVERAGE</x:v>
      </x:c>
      <x:c r="E80" s="24" t="n">
        <x:v>3</x:v>
      </x:c>
      <x:c r="F80" s="168" t="str">
        <x:v>Social Fund for Development (SFD) Newsletter (fourth quarter of 2010)</x:v>
      </x:c>
      <x:c r="G80" s="168" t="str">
        <x:v>Social Fund for Development (SFD)</x:v>
      </x:c>
      <x:c r="H80" s="168"/>
      <x:c r="I80" s="168"/>
      <x:c r="J80" s="168"/>
      <x:c r="K80" s="168" t="str">
        <x:v>CITATION_CARD</x:v>
      </x:c>
      <x:c r="L80" s="168" t="str">
        <x:v>النشرة الإخبارية للصندوق الاجتماعي للتنمية (الربع الرابع من 2010)</x:v>
      </x:c>
      <x:c r="M80" s="168"/>
      <x:c r="N80" s="168"/>
      <x:c r="O80" s="168"/>
      <x:c r="S80" t="str">
        <x:v>NOT_ASSESSED</x:v>
      </x:c>
      <x:c r="Y80" t="str">
        <x:v>الصندوق الاجتماعي للتنمية</x:v>
      </x:c>
      <x:c r="Z80" t="str">
        <x:v>Newsletter</x:v>
      </x:c>
      <x:c r="AA80" t="str">
        <x:v>نشرة دورية</x:v>
      </x:c>
    </x:row>
    <x:row r="81">
      <x:c r="A81" s="24" t="str">
        <x:v>SRC-SFD-Q4-2011-001</x:v>
      </x:c>
      <x:c r="B81" s="24" t="str">
        <x:v>https://www.sfd-yemen.org/uploads/issues/Newsletter-2011-Q4-20120505-151457.pdf</x:v>
      </x:c>
      <x:c r="C81" s="24" t="str"/>
      <x:c r="D81" s="24" t="str">
        <x:v>DS-MFI-YEAR-COVERAGE,DS-MFI-TEMPORAL-SPINE,DS-MFI-METRIC-COVERAGE</x:v>
      </x:c>
      <x:c r="E81" s="24" t="n">
        <x:v>3</x:v>
      </x:c>
      <x:c r="F81" s="168" t="str">
        <x:v>Social Fund for Development (SFD) Newsletter (fourth quarter of 2011)</x:v>
      </x:c>
      <x:c r="G81" s="168" t="str">
        <x:v>Social Fund for Development (SFD)</x:v>
      </x:c>
      <x:c r="H81" s="168"/>
      <x:c r="I81" s="168"/>
      <x:c r="J81" s="168"/>
      <x:c r="K81" s="168" t="str">
        <x:v>CITATION_CARD</x:v>
      </x:c>
      <x:c r="L81" s="168" t="str">
        <x:v>النشرة الإخبارية للصندوق الاجتماعي للتنمية (الربع الرابع من 2011)</x:v>
      </x:c>
      <x:c r="M81" s="168"/>
      <x:c r="N81" s="168"/>
      <x:c r="O81" s="168"/>
      <x:c r="S81" t="str">
        <x:v>NOT_ASSESSED</x:v>
      </x:c>
      <x:c r="Y81" t="str">
        <x:v>الصندوق الاجتماعي للتنمية</x:v>
      </x:c>
      <x:c r="Z81" t="str">
        <x:v>Newsletter</x:v>
      </x:c>
      <x:c r="AA81" t="str">
        <x:v>نشرة دورية</x:v>
      </x:c>
    </x:row>
    <x:row r="82">
      <x:c r="A82" s="24" t="str">
        <x:v>SRC-SFD-Q1-2012-001</x:v>
      </x:c>
      <x:c r="B82" s="24" t="str">
        <x:v>https://sfd-yemen.org/uploads/issues/Newsletter-Quarter-1-2012.pdf</x:v>
      </x:c>
      <x:c r="C82" s="24" t="str"/>
      <x:c r="D82" s="24" t="str">
        <x:v>DS-MFI-TEMPORAL-SPINE,DS-MFI-METRIC-COVERAGE</x:v>
      </x:c>
      <x:c r="E82" s="24" t="n">
        <x:v>2</x:v>
      </x:c>
      <x:c r="F82" s="168" t="str">
        <x:v>Social Fund for Development (SFD) Newsletter (first quarter of 2012)</x:v>
      </x:c>
      <x:c r="G82" s="168" t="str">
        <x:v>Social Fund for Development (SFD)</x:v>
      </x:c>
      <x:c r="H82" s="168"/>
      <x:c r="I82" s="168"/>
      <x:c r="J82" s="168"/>
      <x:c r="K82" s="168" t="str">
        <x:v>CITATION_CARD</x:v>
      </x:c>
      <x:c r="L82" s="168" t="str">
        <x:v>النشرة الإخبارية للصندوق الاجتماعي للتنمية (الربع الأول من 2012)</x:v>
      </x:c>
      <x:c r="M82" s="168"/>
      <x:c r="N82" s="168"/>
      <x:c r="O82" s="168"/>
      <x:c r="S82" t="str">
        <x:v>NOT_ASSESSED</x:v>
      </x:c>
      <x:c r="V82" t="str">
        <x:v>2026-10-03</x:v>
      </x:c>
      <x:c r="Y82" t="str">
        <x:v>الصندوق الاجتماعي للتنمية</x:v>
      </x:c>
      <x:c r="Z82" t="str">
        <x:v>Newsletter</x:v>
      </x:c>
      <x:c r="AA82" t="str">
        <x:v>نشرة دورية</x:v>
      </x:c>
    </x:row>
    <x:row r="83">
      <x:c r="A83" s="24" t="str">
        <x:v>SRC-SFD-Q4-2012-001</x:v>
      </x:c>
      <x:c r="B83" s="24" t="str">
        <x:v>https://www.sfd-yemen.org/uploads/issues/SFD_Nwesletter_en-6-20130422-060753.pdf</x:v>
      </x:c>
      <x:c r="C83" s="24" t="str"/>
      <x:c r="D83" s="24" t="str">
        <x:v>DS-MFI-YEAR-COVERAGE,DS-MFI-TEMPORAL-SPINE,DS-MFI-METRIC-COVERAGE,DS-MF-ORIGIN-CHRONOLOGY</x:v>
      </x:c>
      <x:c r="E83" s="24" t="n">
        <x:v>4</x:v>
      </x:c>
      <x:c r="F83" s="168" t="str">
        <x:v>Social Fund for Development (SFD) Newsletter (fourth quarter of 2012)</x:v>
      </x:c>
      <x:c r="G83" s="168" t="str">
        <x:v>Social Fund for Development (SFD)</x:v>
      </x:c>
      <x:c r="H83" s="168"/>
      <x:c r="I83" s="168"/>
      <x:c r="J83" s="168"/>
      <x:c r="K83" s="168" t="str">
        <x:v>CITATION_CARD</x:v>
      </x:c>
      <x:c r="L83" s="168" t="str">
        <x:v>النشرة الإخبارية للصندوق الاجتماعي للتنمية (الربع الرابع من 2012)</x:v>
      </x:c>
      <x:c r="M83" s="168"/>
      <x:c r="N83" s="168"/>
      <x:c r="O83" s="168"/>
      <x:c r="S83" t="str">
        <x:v>NOT_ASSESSED</x:v>
      </x:c>
      <x:c r="Y83" t="str">
        <x:v>الصندوق الاجتماعي للتنمية</x:v>
      </x:c>
      <x:c r="Z83" t="str">
        <x:v>Newsletter</x:v>
      </x:c>
      <x:c r="AA83" t="str">
        <x:v>نشرة دورية</x:v>
      </x:c>
    </x:row>
    <x:row r="84">
      <x:c r="A84" s="24" t="str">
        <x:v>SRC-SFD-Q2-2013-001</x:v>
      </x:c>
      <x:c r="B84" s="24" t="str">
        <x:v>https://web.archive.org/web/20240619144721/https://sfd.sfd-yemen.org/uploads/issues/SFD_Nwesletter_en-62-2%20NEW2-20140312-132450.pdf</x:v>
      </x:c>
      <x:c r="C84" s="24" t="str">
        <x:v>["https://sfd.sfd-yemen.org/uploads/issues/SFD_Nwesletter_en-62-2%20NEW2-20140312-132450.pdf"]</x:v>
      </x:c>
      <x:c r="D84" s="24" t="str">
        <x:v>DS-MFI-YEAR-COVERAGE,DS-MFI-TEMPORAL-SPINE,DS-MFI-METRIC-COVERAGE</x:v>
      </x:c>
      <x:c r="E84" s="24" t="n">
        <x:v>3</x:v>
      </x:c>
      <x:c r="F84" s="168" t="str">
        <x:v>Social Fund for Development (SFD) Newsletter (second quarter of 2013)</x:v>
      </x:c>
      <x:c r="G84" s="168" t="str">
        <x:v>Social Fund for Development (SFD)</x:v>
      </x:c>
      <x:c r="H84" s="168"/>
      <x:c r="I84" s="168"/>
      <x:c r="J84" s="168"/>
      <x:c r="K84" s="168" t="str">
        <x:v>CITATION_CARD</x:v>
      </x:c>
      <x:c r="L84" s="168" t="str">
        <x:v>النشرة الإخبارية للصندوق الاجتماعي للتنمية (الربع الثاني من 2013)</x:v>
      </x:c>
      <x:c r="M84" s="168"/>
      <x:c r="N84" s="168"/>
      <x:c r="O84" s="168"/>
      <x:c r="S84" t="str">
        <x:v>NOT_ASSESSED</x:v>
      </x:c>
      <x:c r="V84" t="str">
        <x:v>2026-10-03</x:v>
      </x:c>
      <x:c r="Y84" t="str">
        <x:v>الصندوق الاجتماعي للتنمية</x:v>
      </x:c>
      <x:c r="Z84" t="str">
        <x:v>Newsletter</x:v>
      </x:c>
      <x:c r="AA84" t="str">
        <x:v>نشرة دورية</x:v>
      </x:c>
    </x:row>
    <x:row r="85">
      <x:c r="A85" s="24" t="str">
        <x:v>SRC-SFD-Q2-2014-001</x:v>
      </x:c>
      <x:c r="B85" s="24" t="str">
        <x:v>https://sfd-yemen.org/uploads/issues/Newsletter-Quarter-2-2014.pdf</x:v>
      </x:c>
      <x:c r="C85" s="24" t="str"/>
      <x:c r="D85" s="24" t="str">
        <x:v>DS-MFI-YEAR-COVERAGE,DS-MFI-TEMPORAL-SPINE,DS-MFI-METRIC-COVERAGE</x:v>
      </x:c>
      <x:c r="E85" s="24" t="n">
        <x:v>3</x:v>
      </x:c>
      <x:c r="F85" s="168" t="str">
        <x:v>Social Fund for Development (SFD) Newsletter (second quarter of 2014)</x:v>
      </x:c>
      <x:c r="G85" s="168" t="str">
        <x:v>Social Fund for Development (SFD)</x:v>
      </x:c>
      <x:c r="H85" s="168"/>
      <x:c r="I85" s="168"/>
      <x:c r="J85" s="168"/>
      <x:c r="K85" s="168" t="str">
        <x:v>CITATION_CARD</x:v>
      </x:c>
      <x:c r="L85" s="168" t="str">
        <x:v>النشرة الإخبارية للصندوق الاجتماعي للتنمية (الربع الثاني من 2014)</x:v>
      </x:c>
      <x:c r="M85" s="168"/>
      <x:c r="N85" s="168"/>
      <x:c r="O85" s="168"/>
      <x:c r="S85" t="str">
        <x:v>NOT_ASSESSED</x:v>
      </x:c>
      <x:c r="V85" t="str">
        <x:v>2026-10-03</x:v>
      </x:c>
      <x:c r="Y85" t="str">
        <x:v>الصندوق الاجتماعي للتنمية</x:v>
      </x:c>
      <x:c r="Z85" t="str">
        <x:v>Newsletter</x:v>
      </x:c>
      <x:c r="AA85" t="str">
        <x:v>نشرة دورية</x:v>
      </x:c>
    </x:row>
    <x:row r="86">
      <x:c r="A86" s="24" t="str">
        <x:v>SRC-SFD-Q1-2015-001</x:v>
      </x:c>
      <x:c r="B86" s="24" t="str">
        <x:v>https://www.sfd-yemen.org/uploads/issues/NL69E-20160208-100802.pdf</x:v>
      </x:c>
      <x:c r="C86" s="24" t="str"/>
      <x:c r="D86" s="24" t="str">
        <x:v>DS-MFI-YEAR-COVERAGE,DS-MFI-TEMPORAL-SPINE,DS-MFI-METRIC-COVERAGE,DS-MF-ORIGIN-CHRONOLOGY</x:v>
      </x:c>
      <x:c r="E86" s="24" t="n">
        <x:v>4</x:v>
      </x:c>
      <x:c r="F86" s="168" t="str">
        <x:v>Social Fund for Development (SFD) Newsletter (first quarter of 2015)</x:v>
      </x:c>
      <x:c r="G86" s="168" t="str">
        <x:v>Social Fund for Development (SFD)</x:v>
      </x:c>
      <x:c r="H86" s="168"/>
      <x:c r="I86" s="168"/>
      <x:c r="J86" s="168"/>
      <x:c r="K86" s="168" t="str">
        <x:v>CITATION_CARD</x:v>
      </x:c>
      <x:c r="L86" s="168" t="str">
        <x:v>النشرة الإخبارية للصندوق الاجتماعي للتنمية (الربع الأول من 2015)</x:v>
      </x:c>
      <x:c r="M86" s="168"/>
      <x:c r="N86" s="168"/>
      <x:c r="O86" s="168"/>
      <x:c r="S86" t="str">
        <x:v>NOT_ASSESSED</x:v>
      </x:c>
      <x:c r="Y86" t="str">
        <x:v>الصندوق الاجتماعي للتنمية</x:v>
      </x:c>
      <x:c r="Z86" t="str">
        <x:v>Newsletter</x:v>
      </x:c>
      <x:c r="AA86" t="str">
        <x:v>نشرة دورية</x:v>
      </x:c>
    </x:row>
    <x:row r="87">
      <x:c r="A87" s="24" t="str">
        <x:v>SRC-SFD-Q3-2015-001</x:v>
      </x:c>
      <x:c r="B87" s="24" t="str">
        <x:v>https://www.sfd-yemen.org/uploads/issues/71E-20161101-183137.pdf</x:v>
      </x:c>
      <x:c r="C87" s="24" t="str"/>
      <x:c r="D87" s="24" t="str">
        <x:v>DS-MFI-YEAR-COVERAGE,DS-MFI-TEMPORAL-SPINE,DS-MFI-METRIC-COVERAGE,DS-MF-ORIGIN-CHRONOLOGY</x:v>
      </x:c>
      <x:c r="E87" s="24" t="n">
        <x:v>4</x:v>
      </x:c>
      <x:c r="F87" s="168" t="str">
        <x:v>Social Fund for Development (SFD) Newsletter (third quarter of 2015)</x:v>
      </x:c>
      <x:c r="G87" s="168" t="str">
        <x:v>Social Fund for Development (SFD)</x:v>
      </x:c>
      <x:c r="H87" s="168"/>
      <x:c r="I87" s="168"/>
      <x:c r="J87" s="168"/>
      <x:c r="K87" s="168" t="str">
        <x:v>CITATION_CARD</x:v>
      </x:c>
      <x:c r="L87" s="168" t="str">
        <x:v>النشرة الإخبارية للصندوق الاجتماعي للتنمية (الربع الثالث من 2015)</x:v>
      </x:c>
      <x:c r="M87" s="168"/>
      <x:c r="N87" s="168"/>
      <x:c r="O87" s="168"/>
      <x:c r="S87" t="str">
        <x:v>NOT_ASSESSED</x:v>
      </x:c>
      <x:c r="Y87" t="str">
        <x:v>الصندوق الاجتماعي للتنمية</x:v>
      </x:c>
      <x:c r="Z87" t="str">
        <x:v>Newsletter</x:v>
      </x:c>
      <x:c r="AA87" t="str">
        <x:v>نشرة دورية</x:v>
      </x:c>
    </x:row>
    <x:row r="88">
      <x:c r="A88" s="24" t="str">
        <x:v>SRC-SFD-Q4-2015-001</x:v>
      </x:c>
      <x:c r="B88" s="24" t="str">
        <x:v>https://www.sfd-yemen.org/uploads/issues/72E%282%29-20170212-184036.pdf</x:v>
      </x:c>
      <x:c r="C88" s="24" t="str"/>
      <x:c r="D88" s="24" t="str">
        <x:v>DS-MFI-YEAR-COVERAGE,DS-MFI-TEMPORAL-SPINE,DS-MFI-METRIC-COVERAGE,DS-MF-ORIGIN-CHRONOLOGY,DS-CONTRADICTIONS</x:v>
      </x:c>
      <x:c r="E88" s="24" t="n">
        <x:v>5</x:v>
      </x:c>
      <x:c r="F88" s="168" t="str">
        <x:v>Social Fund for Development (SFD) Newsletter (fourth quarter of 2015)</x:v>
      </x:c>
      <x:c r="G88" s="168" t="str">
        <x:v>Social Fund for Development (SFD)</x:v>
      </x:c>
      <x:c r="H88" s="168"/>
      <x:c r="I88" s="168"/>
      <x:c r="J88" s="168"/>
      <x:c r="K88" s="168" t="str">
        <x:v>CITATION_CARD</x:v>
      </x:c>
      <x:c r="L88" s="168" t="str">
        <x:v>النشرة الإخبارية للصندوق الاجتماعي للتنمية (الربع الرابع من 2015)</x:v>
      </x:c>
      <x:c r="M88" s="168"/>
      <x:c r="N88" s="168"/>
      <x:c r="O88" s="168"/>
      <x:c r="S88" t="str">
        <x:v>NOT_ASSESSED</x:v>
      </x:c>
      <x:c r="Y88" t="str">
        <x:v>الصندوق الاجتماعي للتنمية</x:v>
      </x:c>
      <x:c r="Z88" t="str">
        <x:v>Newsletter</x:v>
      </x:c>
      <x:c r="AA88" t="str">
        <x:v>نشرة دورية</x:v>
      </x:c>
    </x:row>
    <x:row r="89">
      <x:c r="A89" s="24" t="str">
        <x:v>SRC-SFD-Q3-2016-001</x:v>
      </x:c>
      <x:c r="B89" s="24" t="str">
        <x:v>https://www.sfd-yemen.org/uploads/issues/3rd_2016-en-Final-20170322-184916.pdf</x:v>
      </x:c>
      <x:c r="C89" s="24" t="str"/>
      <x:c r="D89" s="24" t="str">
        <x:v>DS-MFI-YEAR-COVERAGE,DS-MFI-TEMPORAL-SPINE,DS-MFI-METRIC-COVERAGE</x:v>
      </x:c>
      <x:c r="E89" s="24" t="n">
        <x:v>3</x:v>
      </x:c>
      <x:c r="F89" s="168" t="str">
        <x:v>Social Fund for Development (SFD) Newsletter (third quarter of 2016)</x:v>
      </x:c>
      <x:c r="G89" s="168" t="str">
        <x:v>Social Fund for Development (SFD)</x:v>
      </x:c>
      <x:c r="H89" s="168"/>
      <x:c r="I89" s="168"/>
      <x:c r="J89" s="168"/>
      <x:c r="K89" s="168" t="str">
        <x:v>CITATION_CARD</x:v>
      </x:c>
      <x:c r="L89" s="168" t="str">
        <x:v>النشرة الإخبارية للصندوق الاجتماعي للتنمية (الربع الثالث من 2016)</x:v>
      </x:c>
      <x:c r="M89" s="168"/>
      <x:c r="N89" s="168"/>
      <x:c r="O89" s="168"/>
      <x:c r="S89" t="str">
        <x:v>NOT_ASSESSED</x:v>
      </x:c>
      <x:c r="Y89" t="str">
        <x:v>الصندوق الاجتماعي للتنمية</x:v>
      </x:c>
      <x:c r="Z89" t="str">
        <x:v>Newsletter</x:v>
      </x:c>
      <x:c r="AA89" t="str">
        <x:v>نشرة دورية</x:v>
      </x:c>
    </x:row>
    <x:row r="90">
      <x:c r="A90" s="24" t="str">
        <x:v>SRC-SFD-Q4-2017-001</x:v>
      </x:c>
      <x:c r="B90" s="24" t="str">
        <x:v>https://sfd-yemen.org/uploads/issues/Newsletter-Quarter-4-2017.pdf</x:v>
      </x:c>
      <x:c r="C90" s="24" t="str"/>
      <x:c r="D90" s="24" t="str">
        <x:v>DS-MFI-YEAR-COVERAGE,DS-MFI-TEMPORAL-SPINE,DS-MFI-METRIC-COVERAGE</x:v>
      </x:c>
      <x:c r="E90" s="24" t="n">
        <x:v>3</x:v>
      </x:c>
      <x:c r="F90" s="168" t="str">
        <x:v>Social Fund for Development (SFD) Newsletter (fourth quarter of 2017)</x:v>
      </x:c>
      <x:c r="G90" s="168" t="str">
        <x:v>Social Fund for Development (SFD)</x:v>
      </x:c>
      <x:c r="H90" s="168"/>
      <x:c r="I90" s="168"/>
      <x:c r="J90" s="168"/>
      <x:c r="K90" s="168" t="str">
        <x:v>CITATION_CARD</x:v>
      </x:c>
      <x:c r="L90" s="168" t="str">
        <x:v>النشرة الإخبارية للصندوق الاجتماعي للتنمية (الربع الرابع من 2017)</x:v>
      </x:c>
      <x:c r="M90" s="168"/>
      <x:c r="N90" s="168"/>
      <x:c r="O90" s="168"/>
      <x:c r="S90" t="str">
        <x:v>NOT_ASSESSED</x:v>
      </x:c>
      <x:c r="V90" t="str">
        <x:v>2026-10-03</x:v>
      </x:c>
      <x:c r="Y90" t="str">
        <x:v>الصندوق الاجتماعي للتنمية</x:v>
      </x:c>
      <x:c r="Z90" t="str">
        <x:v>Newsletter</x:v>
      </x:c>
      <x:c r="AA90" t="str">
        <x:v>نشرة دورية</x:v>
      </x:c>
    </x:row>
    <x:row r="91">
      <x:c r="A91" s="24" t="str">
        <x:v>SRC-SFD-Q4-2018-001</x:v>
      </x:c>
      <x:c r="B91" s="24" t="str">
        <x:v>https://www.sfd-yemen.org/uploads/issues/EnglishNewsletter4thNL2018-20191202-201206.pdf</x:v>
      </x:c>
      <x:c r="C91" s="24" t="str"/>
      <x:c r="D91" s="24" t="str">
        <x:v>DS-MFI-YEAR-COVERAGE,DS-MFI-TEMPORAL-SPINE,DS-MFI-METRIC-COVERAGE,DS-CONTRADICTIONS</x:v>
      </x:c>
      <x:c r="E91" s="24" t="n">
        <x:v>4</x:v>
      </x:c>
      <x:c r="F91" s="168" t="str">
        <x:v>Social Fund for Development (SFD) Newsletter (fourth quarter of 2018)</x:v>
      </x:c>
      <x:c r="G91" s="168" t="str">
        <x:v>Social Fund for Development (SFD)</x:v>
      </x:c>
      <x:c r="H91" s="168"/>
      <x:c r="I91" s="168"/>
      <x:c r="J91" s="168"/>
      <x:c r="K91" s="168" t="str">
        <x:v>CITATION_CARD</x:v>
      </x:c>
      <x:c r="L91" s="168" t="str">
        <x:v>النشرة الإخبارية للصندوق الاجتماعي للتنمية (الربع الرابع من 2018)</x:v>
      </x:c>
      <x:c r="M91" s="168"/>
      <x:c r="N91" s="168"/>
      <x:c r="O91" s="168"/>
      <x:c r="S91" t="str">
        <x:v>NOT_ASSESSED</x:v>
      </x:c>
      <x:c r="Y91" t="str">
        <x:v>الصندوق الاجتماعي للتنمية</x:v>
      </x:c>
      <x:c r="Z91" t="str">
        <x:v>Newsletter</x:v>
      </x:c>
      <x:c r="AA91" t="str">
        <x:v>نشرة دورية</x:v>
      </x:c>
    </x:row>
    <x:row r="92">
      <x:c r="A92" s="24" t="str">
        <x:v>SRC-SFD-Q1-2019-001</x:v>
      </x:c>
      <x:c r="B92" s="24" t="str">
        <x:v>https://sfd-yemen.org/uploads/issues/Newsletter-Quarter-1-2019.pdf</x:v>
      </x:c>
      <x:c r="C92" s="24" t="str"/>
      <x:c r="D92" s="24" t="str">
        <x:v>DS-MFI-YEAR-COVERAGE,DS-MFI-TEMPORAL-SPINE,DS-MFI-METRIC-COVERAGE</x:v>
      </x:c>
      <x:c r="E92" s="24" t="n">
        <x:v>3</x:v>
      </x:c>
      <x:c r="F92" s="168" t="str">
        <x:v>Social Fund for Development (SFD) Newsletter (first quarter of 2019)</x:v>
      </x:c>
      <x:c r="G92" s="168" t="str">
        <x:v>Social Fund for Development (SFD)</x:v>
      </x:c>
      <x:c r="H92" s="168"/>
      <x:c r="I92" s="168"/>
      <x:c r="J92" s="168"/>
      <x:c r="K92" s="168" t="str">
        <x:v>CITATION_CARD</x:v>
      </x:c>
      <x:c r="L92" s="168" t="str">
        <x:v>النشرة الإخبارية للصندوق الاجتماعي للتنمية (الربع الأول من 2019)</x:v>
      </x:c>
      <x:c r="M92" s="168"/>
      <x:c r="N92" s="168"/>
      <x:c r="O92" s="168"/>
      <x:c r="S92" t="str">
        <x:v>NOT_ASSESSED</x:v>
      </x:c>
      <x:c r="V92" t="str">
        <x:v>2026-10-03</x:v>
      </x:c>
      <x:c r="Y92" t="str">
        <x:v>الصندوق الاجتماعي للتنمية</x:v>
      </x:c>
      <x:c r="Z92" t="str">
        <x:v>Newsletter</x:v>
      </x:c>
      <x:c r="AA92" t="str">
        <x:v>نشرة دورية</x:v>
      </x:c>
    </x:row>
    <x:row r="93">
      <x:c r="A93" s="24" t="str">
        <x:v>SRC-SFD-Q4-2020-001</x:v>
      </x:c>
      <x:c r="B93" s="24" t="str">
        <x:v>https://sfd-yemen.org/uploads/issues/Newsletter-Quarter-4-2020.pdf</x:v>
      </x:c>
      <x:c r="C93" s="24" t="str"/>
      <x:c r="D93" s="24" t="str">
        <x:v>DS-MFI-YEAR-COVERAGE,DS-MFI-TEMPORAL-SPINE,DS-MFI-METRIC-COVERAGE</x:v>
      </x:c>
      <x:c r="E93" s="24" t="n">
        <x:v>3</x:v>
      </x:c>
      <x:c r="F93" s="168" t="str">
        <x:v>Social Fund for Development (SFD) Newsletter (fourth quarter of 2020)</x:v>
      </x:c>
      <x:c r="G93" s="168" t="str">
        <x:v>Social Fund for Development (SFD)</x:v>
      </x:c>
      <x:c r="H93" s="168"/>
      <x:c r="I93" s="168"/>
      <x:c r="J93" s="168"/>
      <x:c r="K93" s="168" t="str">
        <x:v>CITATION_CARD</x:v>
      </x:c>
      <x:c r="L93" s="168" t="str">
        <x:v>النشرة الإخبارية للصندوق الاجتماعي للتنمية (الربع الرابع من 2020)</x:v>
      </x:c>
      <x:c r="M93" s="168"/>
      <x:c r="N93" s="168"/>
      <x:c r="O93" s="168"/>
      <x:c r="S93" t="str">
        <x:v>NOT_ASSESSED</x:v>
      </x:c>
      <x:c r="V93" t="str">
        <x:v>2026-10-03</x:v>
      </x:c>
      <x:c r="Y93" t="str">
        <x:v>الصندوق الاجتماعي للتنمية</x:v>
      </x:c>
      <x:c r="Z93" t="str">
        <x:v>Newsletter</x:v>
      </x:c>
      <x:c r="AA93" t="str">
        <x:v>نشرة دورية</x:v>
      </x:c>
    </x:row>
    <x:row r="94">
      <x:c r="A94" s="24" t="str">
        <x:v>SRC-WB-FINDEX-003</x:v>
      </x:c>
      <x:c r="B94" s="24" t="str">
        <x:v>https://microdata.worldbank.org/catalog/1096/study-description</x:v>
      </x:c>
      <x:c r="C94" s="24" t="str"/>
      <x:c r="D94" s="24" t="str">
        <x:v>DS-FINDEX-PUBLIC-HISTORY,DS-FINDEX-HISTORY-CROSSWALK</x:v>
      </x:c>
      <x:c r="E94" s="24" t="n">
        <x:v>1</x:v>
      </x:c>
      <x:c r="F94" s="168" t="str">
        <x:v>Global Financial Inclusion (Global Findex) Database 2011: Yemen (2011 survey)</x:v>
      </x:c>
      <x:c r="G94" s="168" t="str">
        <x:v>World Bank</x:v>
      </x:c>
      <x:c r="H94" s="168"/>
      <x:c r="I94" s="168"/>
      <x:c r="J94" s="168"/>
      <x:c r="K94" s="168" t="str">
        <x:v>CITATION_CARD</x:v>
      </x:c>
      <x:c r="L94" s="168" t="str">
        <x:v>قاعدة بيانات المؤشر العالمي للشمول المالي (Global Findex) لعام 2011: اليمن (مسح 2011)</x:v>
      </x:c>
      <x:c r="M94" s="168"/>
      <x:c r="N94" s="168"/>
      <x:c r="O94" s="168"/>
      <x:c r="S94" t="str">
        <x:v>NOT_ASSESSED</x:v>
      </x:c>
      <x:c r="Y94" t="str">
        <x:v>البنك الدولي</x:v>
      </x:c>
      <x:c r="Z94" t="str">
        <x:v>Survey dataset or indicator</x:v>
      </x:c>
      <x:c r="AA94" t="str">
        <x:v>مسح أو مؤشر</x:v>
      </x:c>
      <x:c r="AB94" t="str">
        <x:v>2015-04-03</x:v>
      </x:c>
    </x:row>
    <x:row r="95">
      <x:c r="A95" s="24" t="str">
        <x:v>SRC-WB-FINDEX-2014-001</x:v>
      </x:c>
      <x:c r="B95" s="24" t="str">
        <x:v>https://microdata.worldbank.org/catalog/2513</x:v>
      </x:c>
      <x:c r="C95" s="24" t="str"/>
      <x:c r="D95" s="24" t="str">
        <x:v>DS-FINDEX-PUBLIC-HISTORY,DS-FINDEX-HISTORY-CROSSWALK,DS-DEMAND-VINTAGE-LENS</x:v>
      </x:c>
      <x:c r="E95" s="24" t="n">
        <x:v>1</x:v>
      </x:c>
      <x:c r="F95" s="168" t="str">
        <x:v>Global Financial Inclusion (Global Findex) Database 2014: Yemen (2014 survey)</x:v>
      </x:c>
      <x:c r="G95" s="168" t="str">
        <x:v>World Bank</x:v>
      </x:c>
      <x:c r="H95" s="168"/>
      <x:c r="I95" s="168"/>
      <x:c r="J95" s="168"/>
      <x:c r="K95" s="168" t="str">
        <x:v>CITATION_CARD</x:v>
      </x:c>
      <x:c r="L95" s="168" t="str">
        <x:v>قاعدة بيانات المؤشر العالمي للشمول المالي (Global Findex) لعام 2014: اليمن (مسح 2014)</x:v>
      </x:c>
      <x:c r="M95" s="168"/>
      <x:c r="N95" s="168"/>
      <x:c r="O95" s="168"/>
      <x:c r="S95" t="str">
        <x:v>NOT_ASSESSED</x:v>
      </x:c>
      <x:c r="Y95" t="str">
        <x:v>البنك الدولي</x:v>
      </x:c>
      <x:c r="Z95" t="str">
        <x:v>Survey dataset or indicator</x:v>
      </x:c>
      <x:c r="AA95" t="str">
        <x:v>مسح أو مؤشر</x:v>
      </x:c>
      <x:c r="AB95" t="str">
        <x:v>2015-08-27</x:v>
      </x:c>
    </x:row>
    <x:row r="96">
      <x:c r="A96" s="24" t="str">
        <x:v>SRC-WB-FINDEX-LDB-2015-001</x:v>
      </x:c>
      <x:c r="B96" s="24" t="str">
        <x:v>https://documents1.worldbank.org/curated/en/621891468329460041/pdf/956790PUB097810til0Apr170at011300am.pdf</x:v>
      </x:c>
      <x:c r="C96" s="24" t="str">
        <x:v>["https://thedocs.worldbank.org/en/doc/215611483565355628-0050022017/original/LDB2015final.pdf"]</x:v>
      </x:c>
      <x:c r="D96" s="24" t="str">
        <x:v>DS-FINDEX-PUBLIC-HISTORY,DS-FINDEX-HISTORY-CROSSWALK,DS-DEMAND-VINTAGE-LENS</x:v>
      </x:c>
      <x:c r="E96" s="24" t="n">
        <x:v>42</x:v>
      </x:c>
      <x:c r="F96" s="168" t="str">
        <x:v>The Little Data Book on Financial Inclusion 2015 (Yemen data for 2014, with selected 2011 comparators)</x:v>
      </x:c>
      <x:c r="G96" s="168" t="str">
        <x:v>World Bank</x:v>
      </x:c>
      <x:c r="H96" s="168"/>
      <x:c r="I96" s="168"/>
      <x:c r="J96" s="168"/>
      <x:c r="K96" s="168" t="str">
        <x:v>CITATION_CARD</x:v>
      </x:c>
      <x:c r="L96" s="168" t="str">
        <x:v>كتيّب البيانات الموجز عن الشمول المالي 2015 (The Little Data Book on Financial Inclusion): بيانات اليمن لعام 2014 مع مقارنات مختارة لعام 2011</x:v>
      </x:c>
      <x:c r="M96" s="168"/>
      <x:c r="N96" s="168"/>
      <x:c r="O96" s="168"/>
      <x:c r="S96" t="str">
        <x:v>NOT_ASSESSED</x:v>
      </x:c>
      <x:c r="Y96" t="str">
        <x:v>البنك الدولي</x:v>
      </x:c>
      <x:c r="Z96" t="str">
        <x:v>Survey dataset or indicator</x:v>
      </x:c>
      <x:c r="AA96" t="str">
        <x:v>مسح أو مؤشر</x:v>
      </x:c>
      <x:c r="AB96" t="str">
        <x:v>2015</x:v>
      </x:c>
    </x:row>
    <x:row r="97">
      <x:c r="A97" s="24" t="str">
        <x:v>SRC-WB-NFID-RFX-2026-001</x:v>
      </x:c>
      <x:c r="B97" s="24" t="str">
        <x:v>https://www.worldbank.org/en/about/corporate-procurement/business-opportunities/administrative-procurement</x:v>
      </x:c>
      <x:c r="C97" s="24"/>
      <x:c r="D97" s="24" t="str">
        <x:v>DS-NFID-EOI-ALIGNMENT</x:v>
      </x:c>
      <x:c r="E97" s="24" t="n">
        <x:v>2</x:v>
      </x:c>
      <x:c r="F97" s="168"/>
      <x:c r="G97" s="168"/>
      <x:c r="H97" s="168"/>
      <x:c r="I97" s="168"/>
      <x:c r="J97" s="168"/>
      <x:c r="K97" s="168" t="str">
        <x:v>LOCATOR_ONLY</x:v>
      </x:c>
      <x:c r="L97" s="168"/>
      <x:c r="M97" s="168"/>
      <x:c r="N97" s="168"/>
      <x:c r="O97" s="168"/>
      <x:c r="S97" t="str">
        <x:v>NOT_ASSESSED</x:v>
      </x:c>
    </x:row>
    <x:row r="98">
      <x:c r="A98" s="24" t="str">
        <x:v>SRC-WB-FMIIP-ISR2-2026-001</x:v>
      </x:c>
      <x:c r="B98" s="24" t="str">
        <x:v>https://documents.worldbank.org/en/publication/documents-reports/documentdetail/099040826144025755</x:v>
      </x:c>
      <x:c r="C98" s="24" t="str"/>
      <x:c r="D98" s="24" t="str">
        <x:v>DS-NFID-EOI-ALIGNMENT,DS-REFORM-EVENTS,DS-FMIIP-IMPLEMENTATION-2026</x:v>
      </x:c>
      <x:c r="E98" s="24" t="n">
        <x:v>1</x:v>
      </x:c>
      <x:c r="F98" s="168" t="str">
        <x:v>Yemen Financial Market Infrastructure and Inclusion Project (FMIIP): Implementation Status and Results Report, sequence 2 (8 April 2026)</x:v>
      </x:c>
      <x:c r="G98" s="168" t="str">
        <x:v>World Bank</x:v>
      </x:c>
      <x:c r="H98" s="168" t="str">
        <x:v>Programmes and projects in Yemen</x:v>
      </x:c>
      <x:c r="I98" s="168" t="str">
        <x:v>Provides a dated public snapshot of FMIIP's implementation status, helping distinguish reported implementation progress from the project's end targets and from later operational outcomes.</x:v>
      </x:c>
      <x:c r="J98" s="168" t="str">
        <x:v>The existence of an implementation report, rating or milestone does not by itself prove that the fast payment system (FPS) or the real-time gross settlement (RTGS) system is fully live, reliable, widely used or delivering inclusion outcomes.</x:v>
      </x:c>
      <x:c r="K98" s="168" t="str">
        <x:v>FULL_PUBLIC_CARD</x:v>
      </x:c>
      <x:c r="L98" s="168" t="str">
        <x:v>مشروع البنية التحتية للأسواق المالية والشمول المالي في اليمن (FMIIP): تقرير حالة التنفيذ والنتائج، التسلسل 2 (8 أبريل 2026)</x:v>
      </x:c>
      <x:c r="M98" s="168" t="str">
        <x:v>البرامج والمشروعات في اليمن</x:v>
      </x:c>
      <x:c r="N98"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8"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8" t="str">
        <x:v>NOT_ASSESSED</x:v>
      </x:c>
      <x:c r="Y98" t="str">
        <x:v>البنك الدولي</x:v>
      </x:c>
      <x:c r="Z98" t="str">
        <x:v>Project document</x:v>
      </x:c>
      <x:c r="AA98" t="str">
        <x:v>وثيقة مشروع</x:v>
      </x:c>
      <x:c r="AB98" t="str">
        <x:v>2026-04-08</x:v>
      </x:c>
    </x:row>
    <x:row r="99">
      <x:c r="A99" s="24" t="str">
        <x:v>SRC-CBY-HIST-METHOD-001</x:v>
      </x:c>
      <x:c r="B99" s="24" t="str">
        <x:v>https://english.cby-ye.com/files/615d821b9d52b.pdf</x:v>
      </x:c>
      <x:c r="C99" s="24" t="str"/>
      <x:c r="D99" s="24" t="str">
        <x:v>DS-K04-CBY-CORPUS, DS-K04-CBY-OBJECTS</x:v>
      </x:c>
      <x:c r="E99" s="24" t="n">
        <x:v>3</x:v>
      </x:c>
      <x:c r="F99" s="168" t="str">
        <x:v>Quarterly Bulletin, Issue No. 1 (December 2020)</x:v>
      </x:c>
      <x:c r="G99" s="168" t="str">
        <x:v>Central Bank of Yemen — Aden</x:v>
      </x:c>
      <x:c r="H99" s="168"/>
      <x:c r="I99" s="168"/>
      <x:c r="J99" s="168"/>
      <x:c r="K99" s="168" t="str">
        <x:v>CITATION_CARD</x:v>
      </x:c>
      <x:c r="L99" s="168" t="str">
        <x:v>النشرة الفصلية، العدد 1 (ديسمبر 2020)</x:v>
      </x:c>
      <x:c r="M99" s="168"/>
      <x:c r="N99" s="168"/>
      <x:c r="O99" s="168"/>
      <x:c r="S99" t="str">
        <x:v>NOT_ASSESSED</x:v>
      </x:c>
      <x:c r="V99" t="str">
        <x:v>2026-09-26</x:v>
      </x:c>
      <x:c r="Y99" t="str">
        <x:v>البنك المركزي اليمني – عدن</x:v>
      </x:c>
      <x:c r="Z99" t="str">
        <x:v>Periodic statistical report</x:v>
      </x:c>
      <x:c r="AA99" t="str">
        <x:v>تقرير إحصائي دوري</x:v>
      </x:c>
      <x:c r="AB99" t="str">
        <x:v>2020-12</x:v>
      </x:c>
    </x:row>
    <x:row r="100">
      <x:c r="A100" s="24" t="str">
        <x:v>SRC-CBY-AR2015-HIST-001</x:v>
      </x:c>
      <x:c r="B100" s="24" t="str">
        <x:v>http://centralbank.gov.ye/App_Upload/Ann_rep2015AR.pdf</x:v>
      </x:c>
      <x:c r="C100" s="24" t="str"/>
      <x:c r="D100" s="24" t="str">
        <x:v>DS-K04-CBY-CORPUS, DS-K04-CBY-OBJECTS</x:v>
      </x:c>
      <x:c r="E100" s="24" t="n">
        <x:v>1</x:v>
      </x:c>
      <x:c r="F100" s="168"/>
      <x:c r="G100" s="168"/>
      <x:c r="H100" s="168"/>
      <x:c r="I100" s="168"/>
      <x:c r="J100" s="168"/>
      <x:c r="K100" s="168" t="str">
        <x:v>LOCATOR_ONLY</x:v>
      </x:c>
      <x:c r="L100" s="168"/>
      <x:c r="M100" s="168"/>
      <x:c r="N100" s="168"/>
      <x:c r="O100" s="168"/>
      <x:c r="S100" t="str">
        <x:v>NOT_ASSESSED</x:v>
      </x:c>
    </x:row>
    <x:row r="101">
      <x:c r="A101" s="24" t="str">
        <x:v>SRC-CBY-SANAA-C12-2024</x:v>
      </x:c>
      <x:c r="B101" s="24" t="str">
        <x:v>https://yemeneco.org/wp-content/uploads/2024/03/تعميم-رقم-12-خدمات-البنوك-والمؤسسات-المالية-العاملة-في-خدمات-الحوالات-الخارجية.pdf</x:v>
      </x:c>
      <x:c r="C101" s="24" t="str"/>
      <x:c r="D101" s="24" t="str">
        <x:v>DS-K04-CBY-CORPUS, DS-K04-CBY-OBJECTS</x:v>
      </x:c>
      <x:c r="E101" s="24" t="n">
        <x:v>1</x:v>
      </x:c>
      <x:c r="F101" s="168"/>
      <x:c r="G101" s="168"/>
      <x:c r="H101" s="168"/>
      <x:c r="I101" s="168"/>
      <x:c r="J101" s="168"/>
      <x:c r="K101" s="168" t="str">
        <x:v>LOCATOR_ONLY</x:v>
      </x:c>
      <x:c r="L101" s="168"/>
      <x:c r="M101" s="168"/>
      <x:c r="N101" s="168"/>
      <x:c r="O101" s="168"/>
      <x:c r="S101" t="str">
        <x:v>NOT_ASSESSED</x:v>
      </x:c>
    </x:row>
    <x:row r="102">
      <x:c r="A102" s="24" t="str">
        <x:v>SRC-CBY-SANAA-C14-2024</x:v>
      </x:c>
      <x:c r="B102" s="24" t="str">
        <x:v>https://www.ecoi.net/en/file/local/2117585/n2425953.pdf</x:v>
      </x:c>
      <x:c r="C102" s="24" t="str"/>
      <x:c r="D102" s="24" t="str">
        <x:v>DS-K04-CBY-CORPUS, DS-K04-CBY-OBJECTS</x:v>
      </x:c>
      <x:c r="E102" s="24" t="n">
        <x:v>1</x:v>
      </x:c>
      <x:c r="F102" s="168"/>
      <x:c r="G102" s="168"/>
      <x:c r="H102" s="168"/>
      <x:c r="I102" s="168"/>
      <x:c r="J102" s="168"/>
      <x:c r="K102" s="168" t="str">
        <x:v>LOCATOR_ONLY</x:v>
      </x:c>
      <x:c r="L102" s="168"/>
      <x:c r="M102" s="168"/>
      <x:c r="N102" s="168"/>
      <x:c r="O102" s="168"/>
      <x:c r="S102" t="str">
        <x:v>NOT_ASSESSED</x:v>
      </x:c>
    </x:row>
    <x:row r="103">
      <x:c r="A103" s="24" t="str">
        <x:v>SRC-CBY-SANAA-CURR-2024</x:v>
      </x:c>
      <x:c r="B103" s="24" t="str">
        <x:v>https://www.saba.ye/ar/news3337222.htm</x:v>
      </x:c>
      <x:c r="C103" s="24" t="str">
        <x:v>["https://centralbank.gov.ye/upldImgAndFile/file/urgent.pdf"]</x:v>
      </x:c>
      <x:c r="D103" s="24" t="str">
        <x:v>DS-K04-CBY-CORPUS, DS-K04-CBY-OBJECTS</x:v>
      </x:c>
      <x:c r="E103" s="24" t="n">
        <x:v>1</x:v>
      </x:c>
      <x:c r="F103" s="168" t="str">
        <x:v>News item concerning the Central Bank of Yemen — Sana'a (2024)</x:v>
      </x:c>
      <x:c r="G103" s="168" t="str">
        <x:v>Saba News Agency (saba.ye)</x:v>
      </x:c>
      <x:c r="H103" s="168"/>
      <x:c r="I103" s="168"/>
      <x:c r="J103" s="168"/>
      <x:c r="K103" s="168" t="str">
        <x:v>CITATION_CARD</x:v>
      </x:c>
      <x:c r="L103" s="168" t="str">
        <x:v>خبر يتعلق بالبنك المركزي اليمني – صنعاء (2024)</x:v>
      </x:c>
      <x:c r="M103" s="168"/>
      <x:c r="N103" s="168"/>
      <x:c r="O103" s="168"/>
      <x:c r="S103" t="str">
        <x:v>NOT_ASSESSED</x:v>
      </x:c>
      <x:c r="V103" t="str">
        <x:v>2026-09-26</x:v>
      </x:c>
      <x:c r="Y103" t="str">
        <x:v>وكالة الأنباء اليمنية سبأ (saba.ye)</x:v>
      </x:c>
      <x:c r="Z103" t="str">
        <x:v>Web page</x:v>
      </x:c>
      <x:c r="AA103" t="str">
        <x:v>صفحة إلكترونية</x:v>
      </x:c>
    </x:row>
    <x:row r="104">
      <x:c r="A104" s="24" t="str">
        <x:v>SRC-IMF-YEM-AIV-2025-2026</x:v>
      </x:c>
      <x:c r="B104" s="24" t="str">
        <x:v>https://www.imf.org/-/media/files/publications/cr/2026/english/1yemea2026001-source-pdf.pdf</x:v>
      </x:c>
      <x:c r="C104" s="24" t="str"/>
      <x:c r="D104" s="24" t="str">
        <x:v>DS-K04-REMIT-METHOD-RECON,DS-K04-REMIT-SOURCE-LENSES,DS-K04-V034-RECON-GATE</x:v>
      </x:c>
      <x:c r="E104" s="24" t="n">
        <x:v>8</x:v>
      </x:c>
      <x:c r="F104" s="168" t="str">
        <x:v>Republic of Yemen: 2025 Article IV Consultation (IMF Country Report No. 26/80)</x:v>
      </x:c>
      <x:c r="G104" s="168" t="str">
        <x:v>International Monetary Fund</x:v>
      </x:c>
      <x:c r="H104" s="168" t="str">
        <x:v>Yemen’s economy and policy context</x:v>
      </x:c>
      <x:c r="I104" s="168" t="str">
        <x:v>Provides the most recent IMF Article IV macro-financial framework, external-sector and banking context, and methodological information used to interpret remittances, reserves, banking conditions and reform context.</x:v>
      </x:c>
      <x:c r="J104" s="168" t="str">
        <x:v>The IMF macro framework and aggregates are not population financial-inclusion measures and should not be treated as whole-Yemen prevalence or as evidence that reform outcomes have been achieved.</x:v>
      </x:c>
      <x:c r="K104" s="168" t="str">
        <x:v>FULL_PUBLIC_CARD</x:v>
      </x:c>
      <x:c r="L104" s="168" t="str">
        <x:v>الجمهورية اليمنية: مشاورات المادة الرابعة لعام 2025 (تقرير صندوق النقد الدولي القُطري رقم 26/80)</x:v>
      </x:c>
      <x:c r="M104" s="168" t="str">
        <x:v>السياق الاقتصادي والسياساتي في اليمن</x:v>
      </x:c>
      <x:c r="N104"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التحويلات والاحتياطيات وأوضاع القطاع المصرفي وسياق الإصلاح.</x:v>
      </x:c>
      <x:c r="O104"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104" t="str">
        <x:v>NOT_ASSESSED</x:v>
      </x:c>
      <x:c r="Y104" t="str">
        <x:v>صندوق النقد الدولي</x:v>
      </x:c>
      <x:c r="Z104" t="str">
        <x:v>Staff report</x:v>
      </x:c>
      <x:c r="AA104" t="str">
        <x:v>تقرير خبراء</x:v>
      </x:c>
    </x:row>
    <x:row r="105">
      <x:c r="A105" s="24" t="str">
        <x:v>SRC-IMF-YEM-EGDDS-VAL-1996</x:v>
      </x:c>
      <x:c r="B105" s="24" t="str">
        <x:v>https://dsbb.imf.org/e-gdds/dqaf-base/country/YEM/category/AAB00</x:v>
      </x:c>
      <x:c r="C105" s="24" t="str"/>
      <x:c r="D105" s="24" t="str">
        <x:v>DS-K04-BANK-VALUATION-RECON</x:v>
      </x:c>
      <x:c r="E105" s="24" t="n">
        <x:v>1</x:v>
      </x:c>
      <x:c r="F105" s="168" t="str">
        <x:v>Yemen: e-GDDS metadata on market-rate valuation of foreign-currency accounts (historical reference 1996)</x:v>
      </x:c>
      <x:c r="G105" s="168" t="str">
        <x:v>International Monetary Fund</x:v>
      </x:c>
      <x:c r="H105" s="168"/>
      <x:c r="I105" s="168"/>
      <x:c r="J105" s="168"/>
      <x:c r="K105" s="168" t="str">
        <x:v>CITATION_CARD</x:v>
      </x:c>
      <x:c r="L105" s="168" t="str">
        <x:v>اليمن: البيانات الوصفية ضمن النظام العام المعزَّز لنشر البيانات (e-GDDS) بشأن تقييم حسابات العملات الأجنبية بسعر السوق (مرجع تاريخي: 1996)</x:v>
      </x:c>
      <x:c r="M105" s="168"/>
      <x:c r="N105" s="168"/>
      <x:c r="O105" s="168"/>
      <x:c r="S105" t="str">
        <x:v>NOT_ASSESSED</x:v>
      </x:c>
      <x:c r="Y105" t="str">
        <x:v>صندوق النقد الدولي</x:v>
      </x:c>
      <x:c r="Z105" t="str">
        <x:v>Method or standard</x:v>
      </x:c>
      <x:c r="AA105" t="str">
        <x:v>منهج أو معيار</x:v>
      </x:c>
    </x:row>
    <x:row r="106">
      <x:c r="A106" s="24" t="str">
        <x:v>SRC-WB-WDI-REMIT-YEM-CURRENT</x:v>
      </x:c>
      <x:c r="B106" s="24" t="str">
        <x:v>https://data.worldbank.org/indicator/BX.TRF.PWKR.CD.DT?locations=YE</x:v>
      </x:c>
      <x:c r="C106" s="24" t="str"/>
      <x:c r="D106" s="24" t="str">
        <x:v>DS-K04-REMIT-SOURCE-LENSES,DS-K04-PUBLICATION-BENCHMARK,DS-K04-REMIT-REGIMES</x:v>
      </x:c>
      <x:c r="E106" s="24" t="n">
        <x:v>2</x:v>
      </x:c>
      <x:c r="F106" s="168" t="str">
        <x:v>World Development Indicators: personal remittances received, Yemen (public data page reviewed 10 September 2026)</x:v>
      </x:c>
      <x:c r="G106" s="168" t="str">
        <x:v>World Bank</x:v>
      </x:c>
      <x:c r="H106" s="168"/>
      <x:c r="I106" s="168"/>
      <x:c r="J106" s="168"/>
      <x:c r="K106" s="168" t="str">
        <x:v>CITATION_CARD</x:v>
      </x:c>
      <x:c r="L106" s="168" t="str">
        <x:v>مؤشرات التنمية العالمية: التحويلات الشخصية الواردة، اليمن (صفحة البيانات العامة كما اطُّلع عليها في 10 سبتمبر 2026)</x:v>
      </x:c>
      <x:c r="M106" s="168"/>
      <x:c r="N106" s="168"/>
      <x:c r="O106" s="168"/>
      <x:c r="S106" t="str">
        <x:v>NOT_ASSESSED</x:v>
      </x:c>
      <x:c r="W106" t="str">
        <x:v>dataset</x:v>
      </x:c>
      <x:c r="Y106" t="str">
        <x:v>البنك الدولي</x:v>
      </x:c>
      <x:c r="Z106" t="str">
        <x:v>Survey dataset or indicator</x:v>
      </x:c>
      <x:c r="AA106" t="str">
        <x:v>مسح أو مؤشر</x:v>
      </x:c>
    </x:row>
    <x:row r="107">
      <x:c r="A107" s="24" t="str">
        <x:v>SRC-IGC-AIDDATA-REMIT-YEM-2026</x:v>
      </x:c>
      <x:c r="B107" s="24" t="str">
        <x:v>https://www.theigc.org/publications/cash-capital-leveraging-remittances-yemens-economic-future</x:v>
      </x:c>
      <x:c r="C107" s="24" t="str"/>
      <x:c r="D107" s="24" t="str">
        <x:v>DS-K04-REMIT-SOURCE-LENSES,DS-K04-PUBLICATION-BENCHMARK,DS-K04-CAUSEWAY-READING-001</x:v>
      </x:c>
      <x:c r="E107" s="24" t="n">
        <x:v>2</x:v>
      </x:c>
      <x:c r="F107" s="168" t="str">
        <x:v>From cash to capital: leveraging remittances for Yemen's economic future (February 2026)</x:v>
      </x:c>
      <x:c r="G107" s="168" t="str">
        <x:v>International Growth Centre (IGC), with AidData</x:v>
      </x:c>
      <x:c r="H107" s="168"/>
      <x:c r="I107" s="168"/>
      <x:c r="J107" s="168"/>
      <x:c r="K107" s="168" t="str">
        <x:v>CITATION_CARD</x:v>
      </x:c>
      <x:c r="L107" s="168" t="str">
        <x:v>من النقد إلى رأس المال: توظيف التحويلات لمستقبل اليمن الاقتصادي (فبراير 2026)</x:v>
      </x:c>
      <x:c r="M107" s="168"/>
      <x:c r="N107" s="168"/>
      <x:c r="O107" s="168"/>
      <x:c r="S107" t="str">
        <x:v>NOT_ASSESSED</x:v>
      </x:c>
      <x:c r="Y107" t="str">
        <x:v>المركز الدولي للنمو (IGC) بالشراكة مع AidData</x:v>
      </x:c>
      <x:c r="Z107" t="str">
        <x:v>Research or policy paper</x:v>
      </x:c>
      <x:c r="AA107" t="str">
        <x:v>ورقة بحثية أو سياساتية</x:v>
      </x:c>
      <x:c r="AB107" t="str">
        <x:v>2026-02</x:v>
      </x:c>
    </x:row>
    <x:row r="108">
      <x:c r="A108" s="24" t="str">
        <x:v>SRC-WB-MDB40-2024</x:v>
      </x:c>
      <x:c r="B108" s="24" t="str">
        <x:v>https://documents1.worldbank.org/curated/en/099714008132436612/pdf/IDU-a9cf73b5-fcad-425a-a0dd-cc8f2f3331ce.pdf</x:v>
      </x:c>
      <x:c r="C108" s="24" t="str"/>
      <x:c r="D108" s="24" t="str">
        <x:v>DS-K04-REMIT-SOURCE-LENSES</x:v>
      </x:c>
      <x:c r="E108" s="24" t="n">
        <x:v>1</x:v>
      </x:c>
      <x:c r="F108" s="168" t="str">
        <x:v>Remittances Slowed in 2023, Expected to Grow Faster in 2024: Migration and Development Brief 40 (June 2024)</x:v>
      </x:c>
      <x:c r="G108" s="168" t="str">
        <x:v>World Bank</x:v>
      </x:c>
      <x:c r="H108" s="168"/>
      <x:c r="I108" s="168"/>
      <x:c r="J108" s="168"/>
      <x:c r="K108" s="168" t="str">
        <x:v>CITATION_CARD</x:v>
      </x:c>
      <x:c r="L108" s="168" t="str">
        <x:v>تباطأت التحويلات في 2023 ويُتوقع أن تنمو بوتيرة أسرع في 2024: موجز الهجرة والتنمية رقم 40 (يونيو 2024)</x:v>
      </x:c>
      <x:c r="M108" s="168"/>
      <x:c r="N108" s="168"/>
      <x:c r="O108" s="168"/>
      <x:c r="S108" t="str">
        <x:v>NOT_ASSESSED</x:v>
      </x:c>
      <x:c r="Y108" t="str">
        <x:v>البنك الدولي</x:v>
      </x:c>
      <x:c r="Z108" t="str">
        <x:v>Research or policy paper</x:v>
      </x:c>
      <x:c r="AA108" t="str">
        <x:v>ورقة بحثية أو سياساتية</x:v>
      </x:c>
      <x:c r="AB108" t="str">
        <x:v>2024-06</x:v>
      </x:c>
    </x:row>
    <x:row r="109">
      <x:c r="A109" s="24" t="str">
        <x:v>SRC-SC-TRADE-FIN-YEM-2026</x:v>
      </x:c>
      <x:c r="B109" s="24" t="str">
        <x:v>https://sanaacenter.org/publications/policy-research/26389</x:v>
      </x:c>
      <x:c r="C109" s="24" t="str"/>
      <x:c r="D109" s="24" t="str">
        <x:v>DS-K04-PUBLICATION-BENCHMARK,DS-K04-REMIT-SOURCE-LENSES,DS-K04-CAUSEWAY-READING-001</x:v>
      </x:c>
      <x:c r="E109" s="24" t="n">
        <x:v>2</x:v>
      </x:c>
      <x:c r="F109" s="168" t="str">
        <x:v>Supporting Trade Finance in Yemen Amid Uncertainty (February 2026)</x:v>
      </x:c>
      <x:c r="G109" s="168" t="str">
        <x:v>Sana’a Center for Strategic Studies</x:v>
      </x:c>
      <x:c r="H109" s="168"/>
      <x:c r="I109" s="168"/>
      <x:c r="J109" s="168"/>
      <x:c r="K109" s="168" t="str">
        <x:v>CITATION_CARD</x:v>
      </x:c>
      <x:c r="L109" s="168" t="str">
        <x:v>دعم تمويل التجارة في اليمن في ظل حالة عدم اليقين (فبراير 2026)</x:v>
      </x:c>
      <x:c r="M109" s="168"/>
      <x:c r="N109" s="168"/>
      <x:c r="O109" s="168"/>
      <x:c r="S109" t="str">
        <x:v>NOT_ASSESSED</x:v>
      </x:c>
      <x:c r="Y109" t="str">
        <x:v>مركز صنعاء للدراسات الاستراتيجية</x:v>
      </x:c>
      <x:c r="Z109" t="str">
        <x:v>Research or policy paper</x:v>
      </x:c>
      <x:c r="AA109" t="str">
        <x:v>ورقة بحثية أو سياساتية</x:v>
      </x:c>
      <x:c r="AB109" t="str">
        <x:v>2026-02-17</x:v>
      </x:c>
    </x:row>
    <x:row r="110">
      <x:c r="A110" s="24" t="str">
        <x:v>SRC-ACAPS-YEM-REMIT-2021</x:v>
      </x:c>
      <x:c r="B110" s="24" t="str">
        <x:v>https://www.acaps.org/fileadmin/Data_Product/Main_media/20211015_acaps_yemen_analysis_hub_impact_of_remittances_on_yemens_economy.pdf</x:v>
      </x:c>
      <x:c r="C110" s="24" t="str"/>
      <x:c r="D110" s="24" t="str">
        <x:v>DS-K04-REMIT-SOURCE-LENSES,DS-K04-PUBLICATION-BENCHMARK</x:v>
      </x:c>
      <x:c r="E110" s="24" t="n">
        <x:v>1</x:v>
      </x:c>
      <x:c r="F110" s="168" t="str">
        <x:v>The impact of remittances on Yemen's economy (October 2021)</x:v>
      </x:c>
      <x:c r="G110" s="168" t="str">
        <x:v>ACAPS (Yemen Analysis Hub)</x:v>
      </x:c>
      <x:c r="H110" s="168"/>
      <x:c r="I110" s="168"/>
      <x:c r="J110" s="168"/>
      <x:c r="K110" s="168" t="str">
        <x:v>CITATION_CARD</x:v>
      </x:c>
      <x:c r="L110" s="168" t="str">
        <x:v>أثر التحويلات في اقتصاد اليمن (أكتوبر 2021)</x:v>
      </x:c>
      <x:c r="M110" s="168"/>
      <x:c r="N110" s="168"/>
      <x:c r="O110" s="168"/>
      <x:c r="S110" t="str">
        <x:v>NOT_ASSESSED</x:v>
      </x:c>
      <x:c r="Y110" t="str">
        <x:v>ACAPS (مركز تحليل اليمن)</x:v>
      </x:c>
      <x:c r="Z110" t="str">
        <x:v>Research or policy paper</x:v>
      </x:c>
      <x:c r="AA110" t="str">
        <x:v>ورقة بحثية أو سياساتية</x:v>
      </x:c>
      <x:c r="AB110" t="str">
        <x:v>2021-10-15</x:v>
      </x:c>
    </x:row>
    <x:row r="111">
      <x:c r="A111" s="24" t="str">
        <x:v>SRC-IMF-D4D-YEM-ESS-2025</x:v>
      </x:c>
      <x:c r="B111" s="24" t="str">
        <x:v>https://www.imf.org/-/media/files/capacity-developement/d4d/january-2026/d4d-fund-implementation-progress-fy26-midyear-january-2026.pdf</x:v>
      </x:c>
      <x:c r="C111" s="24" t="str"/>
      <x:c r="D111" s="24" t="str">
        <x:v>DS-K04-REMIT-REGIMES,DS-K04-BOP-COMPONENT-XWALK,DS-K04-V035-RECON-GATE</x:v>
      </x:c>
      <x:c r="E111" s="24" t="n">
        <x:v>2</x:v>
      </x:c>
      <x:c r="F111" s="168" t="str">
        <x:v>D4D-II implementation progress report (January 2026)</x:v>
      </x:c>
      <x:c r="G111" s="168" t="str">
        <x:v>International Monetary Fund</x:v>
      </x:c>
      <x:c r="H111" s="168"/>
      <x:c r="I111" s="168"/>
      <x:c r="J111" s="168"/>
      <x:c r="K111" s="168" t="str">
        <x:v>CITATION_CARD</x:v>
      </x:c>
      <x:c r="L111" s="168" t="str">
        <x:v>تقرير التقدم في التنفيذ لصندوق D4D-II (يناير 2026)</x:v>
      </x:c>
      <x:c r="M111" s="168"/>
      <x:c r="N111" s="168"/>
      <x:c r="O111" s="168"/>
      <x:c r="S111" t="str">
        <x:v>NOT_ASSESSED</x:v>
      </x:c>
      <x:c r="Y111" t="str">
        <x:v>صندوق النقد الدولي</x:v>
      </x:c>
      <x:c r="Z111" t="str">
        <x:v>Project document</x:v>
      </x:c>
      <x:c r="AA111" t="str">
        <x:v>وثيقة مشروع</x:v>
      </x:c>
      <x:c r="AB111" t="str">
        <x:v>2026-01</x:v>
      </x:c>
    </x:row>
    <x:row r="112">
      <x:c r="A112" s="24" t="str">
        <x:v>SRC-CBY-AR2025-BOP</x:v>
      </x:c>
      <x:c r="B112" s="24" t="str">
        <x:v>https://english.cby-ye.com/files/6a54b8fcd8b68.pdf</x:v>
      </x:c>
      <x:c r="C112" s="24"/>
      <x:c r="D112" s="24" t="str">
        <x:v>DS-K04-BOP-RESIDUAL-STRESS,DS-K04-BOP-COMPONENT-XWALK</x:v>
      </x:c>
      <x:c r="E112" s="24" t="n">
        <x:v>2</x:v>
      </x:c>
      <x:c r="F112" s="168" t="str">
        <x:v>Annual Report 2025</x:v>
      </x:c>
      <x:c r="G112" s="168" t="str">
        <x:v>Central Bank of Yemen — Aden</x:v>
      </x:c>
      <x:c r="H112" s="168" t="str">
        <x:v>Official Yemen documents and statistics</x:v>
      </x:c>
      <x:c r="I112" s="168" t="str">
        <x:v>Provides the 2025 edition of the annual report, used to examine revisions to remittance values in the balance of payments and to related external-sector series.</x:v>
      </x:c>
      <x:c r="J112" s="168" t="str">
        <x:v>A revision between editions of the report does not by itself establish an economic change between years, the volume of informal hawala transfers, or a financial-inclusion outcome for the population.</x:v>
      </x:c>
      <x:c r="K112" s="168" t="str">
        <x:v>FULL_PUBLIC_CARD</x:v>
      </x:c>
      <x:c r="L112" s="168" t="str">
        <x:v>التقرير السنوي 2025</x:v>
      </x:c>
      <x:c r="M112" s="168" t="str">
        <x:v>الوثائق والإحصاءات الرسمية في اليمن</x:v>
      </x:c>
      <x:c r="N112" s="168" t="str">
        <x:v>يوفر إصدار عام 2025 من التقرير السنوي، المستخدم لفحص التعديلات على قيم التحويلات في ميزان المدفوعات وعلى السلاسل ذات الصلة بالقطاع الخارجي.</x:v>
      </x:c>
      <x:c r="O112"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12" t="str">
        <x:v>NOT_ASSESSED</x:v>
      </x:c>
      <x:c r="Y112" t="str">
        <x:v>البنك المركزي اليمني – عدن</x:v>
      </x:c>
      <x:c r="Z112" t="str">
        <x:v>Annual report</x:v>
      </x:c>
      <x:c r="AA112" t="str">
        <x:v>تقرير سنوي</x:v>
      </x:c>
    </x:row>
    <x:row r="113">
      <x:c r="A113" s="24" t="str">
        <x:v>SRC-CBY-AR2024-BOP</x:v>
      </x:c>
      <x:c r="B113" s="24" t="str">
        <x:v>https://english.cby-ye.com/files/68c2ef16b4225.pdf</x:v>
      </x:c>
      <x:c r="C113" s="24"/>
      <x:c r="D113" s="24" t="str">
        <x:v>DS-K04-REMIT-REGIMES,DS-K04-BOP-COMPONENT-XWALK</x:v>
      </x:c>
      <x:c r="E113" s="24" t="n">
        <x:v>2</x:v>
      </x:c>
      <x:c r="F113" s="168" t="str">
        <x:v>Annual Report 2024</x:v>
      </x:c>
      <x:c r="G113" s="168" t="str">
        <x:v>Central Bank of Yemen — Aden</x:v>
      </x:c>
      <x:c r="H113" s="168" t="str">
        <x:v>Official Yemen documents and statistics</x:v>
      </x:c>
      <x:c r="I113" s="168" t="str">
        <x:v>Provides the 2024 edition of the annual report, used to compare remittance and balance-of-payments values for the same reference year across successive annual reports.</x:v>
      </x:c>
      <x:c r="J113" s="168" t="str">
        <x:v>A value published in this edition must not be compared directly with a later restated value without recording which edition each value comes from.</x:v>
      </x:c>
      <x:c r="K113" s="168" t="str">
        <x:v>FULL_PUBLIC_CARD</x:v>
      </x:c>
      <x:c r="L113" s="168" t="str">
        <x:v>التقرير السنوي 2024</x:v>
      </x:c>
      <x:c r="M113" s="168" t="str">
        <x:v>الوثائق والإحصاءات الرسمية في اليمن</x:v>
      </x:c>
      <x:c r="N113" s="168" t="str">
        <x:v>يوفر إصدار عام 2024 من التقرير السنوي، المستخدم لمقارنة قيم التحويلات وبنود ميزان المدفوعات للسنة المرجعية نفسها عبر الإصدارات المتعاقبة للتقرير السنوي.</x:v>
      </x:c>
      <x:c r="O113" s="168" t="str">
        <x:v>لا يجوز مقارنة قيمة منشورة في هذا الإصدار مباشرةً بقيمة معدَّلة في إصدار لاحق من دون تحديد الإصدار الذي صدرت فيه كل قيمة.</x:v>
      </x:c>
      <x:c r="S113" t="str">
        <x:v>NOT_ASSESSED</x:v>
      </x:c>
      <x:c r="Y113" t="str">
        <x:v>البنك المركزي اليمني – عدن</x:v>
      </x:c>
      <x:c r="Z113" t="str">
        <x:v>Annual report</x:v>
      </x:c>
      <x:c r="AA113" t="str">
        <x:v>تقرير سنوي</x:v>
      </x:c>
    </x:row>
    <x:row r="114">
      <x:c r="A114" s="24" t="str">
        <x:v>SRC-IMF-BPM6</x:v>
      </x:c>
      <x:c r="B114" s="24" t="str">
        <x:v>https://data.imf.org/-/media/iData/External-Storage/Documents/73FBCD5B6CDE4D289C60B9B0CAA40622/en/2-bpm6.pdf</x:v>
      </x:c>
      <x:c r="C114" s="24" t="str"/>
      <x:c r="D114" s="24" t="str">
        <x:v>DS-K04-BOP-IIP-RECON-SPEC</x:v>
      </x:c>
      <x:c r="E114" s="24" t="n">
        <x:v>2</x:v>
      </x:c>
      <x:c r="F114" s="168" t="str">
        <x:v>Balance of Payments and International Investment Position Manual, sixth edition (BPM6)</x:v>
      </x:c>
      <x:c r="G114" s="168" t="str">
        <x:v>International Monetary Fund</x:v>
      </x:c>
      <x:c r="H114" s="168"/>
      <x:c r="I114" s="168"/>
      <x:c r="J114" s="168"/>
      <x:c r="K114" s="168" t="str">
        <x:v>CITATION_CARD</x:v>
      </x:c>
      <x:c r="L114" s="168" t="str">
        <x:v>دليل ميزان المدفوعات ووضع الاستثمار الدولي، الطبعة السادسة (BPM6)</x:v>
      </x:c>
      <x:c r="M114" s="168"/>
      <x:c r="N114" s="168"/>
      <x:c r="O114" s="168"/>
      <x:c r="S114" t="str">
        <x:v>NOT_ASSESSED</x:v>
      </x:c>
      <x:c r="W114" t="str">
        <x:v>method/standard</x:v>
      </x:c>
      <x:c r="X114" t="str">
        <x:v>global method reference</x:v>
      </x:c>
      <x:c r="Y114" t="str">
        <x:v>صندوق النقد الدولي</x:v>
      </x:c>
      <x:c r="Z114" t="str">
        <x:v>Method or standard</x:v>
      </x:c>
      <x:c r="AA114" t="str">
        <x:v>منهج أو معيار</x:v>
      </x:c>
    </x:row>
    <x:row r="115">
      <x:c r="A115" s="24" t="str">
        <x:v>SRC-IMF-BPM6-COMP-GUIDE</x:v>
      </x:c>
      <x:c r="B115" s="24" t="str">
        <x:v>https://www.imf.org/external/pubs/ft/bop/2014/pdf/guide.pdf</x:v>
      </x:c>
      <x:c r="C115" s="24" t="str"/>
      <x:c r="D115" s="24" t="str">
        <x:v>DS-K04-BOP-IIP-RECON-SPEC</x:v>
      </x:c>
      <x:c r="E115" s="24" t="n">
        <x:v>2</x:v>
      </x:c>
      <x:c r="F115" s="168" t="str">
        <x:v>Balance of Payments and International Investment Position Compilation Guide (companion to BPM6)</x:v>
      </x:c>
      <x:c r="G115" s="168" t="str">
        <x:v>International Monetary Fund</x:v>
      </x:c>
      <x:c r="H115" s="168"/>
      <x:c r="I115" s="168"/>
      <x:c r="J115" s="168"/>
      <x:c r="K115" s="168" t="str">
        <x:v>CITATION_CARD</x:v>
      </x:c>
      <x:c r="L115" s="168" t="str">
        <x:v>دليل تجميع إحصاءات ميزان المدفوعات ووضع الاستثمار الدولي (المرافق للطبعة السادسة BPM6)</x:v>
      </x:c>
      <x:c r="M115" s="168"/>
      <x:c r="N115" s="168"/>
      <x:c r="O115" s="168"/>
      <x:c r="S115" t="str">
        <x:v>NOT_ASSESSED</x:v>
      </x:c>
      <x:c r="W115" t="str">
        <x:v>method/standard</x:v>
      </x:c>
      <x:c r="X115" t="str">
        <x:v>global method reference</x:v>
      </x:c>
      <x:c r="Y115" t="str">
        <x:v>صندوق النقد الدولي</x:v>
      </x:c>
      <x:c r="Z115" t="str">
        <x:v>Method or standard</x:v>
      </x:c>
      <x:c r="AA115" t="str">
        <x:v>منهج أو معيار</x:v>
      </x:c>
    </x:row>
    <x:row r="116">
      <x:c r="A116" s="24" t="str">
        <x:v>SRC-IMF-BPM7-IMPLEMENTATION</x:v>
      </x:c>
      <x:c r="B116" s="24" t="str">
        <x:v>https://www.imf.org/en/publications/policy-papers/issues/2025/07/10/release-of-new-standards-for-macroeconomic-statistics-bpm7-568453</x:v>
      </x:c>
      <x:c r="C116" s="24" t="str"/>
      <x:c r="D116" s="24" t="str">
        <x:v>DS-K04-BOP-IIP-RECON-SPEC,DS-K04-V035-RECON-GATE</x:v>
      </x:c>
      <x:c r="E116" s="24" t="n">
        <x:v>2</x:v>
      </x:c>
      <x:c r="F116" s="168" t="str">
        <x:v>Release of BPM7 and its implementation strategy (2025)</x:v>
      </x:c>
      <x:c r="G116" s="168" t="str">
        <x:v>International Monetary Fund</x:v>
      </x:c>
      <x:c r="H116" s="168"/>
      <x:c r="I116" s="168"/>
      <x:c r="J116" s="168"/>
      <x:c r="K116" s="168" t="str">
        <x:v>CITATION_CARD</x:v>
      </x:c>
      <x:c r="L116" s="168" t="str">
        <x:v>إصدار الطبعة السابعة من دليل ميزان المدفوعات (BPM7) واستراتيجية تطبيقها (2025)</x:v>
      </x:c>
      <x:c r="M116" s="168"/>
      <x:c r="N116" s="168"/>
      <x:c r="O116" s="168"/>
      <x:c r="S116" t="str">
        <x:v>NOT_ASSESSED</x:v>
      </x:c>
      <x:c r="W116" t="str">
        <x:v>method/standard</x:v>
      </x:c>
      <x:c r="X116" t="str">
        <x:v>global method reference</x:v>
      </x:c>
      <x:c r="Y116" t="str">
        <x:v>صندوق النقد الدولي</x:v>
      </x:c>
      <x:c r="Z116" t="str">
        <x:v>Method or standard</x:v>
      </x:c>
      <x:c r="AA116" t="str">
        <x:v>منهج أو معيار</x:v>
      </x:c>
    </x:row>
    <x:row r="117">
      <x:c r="A117" s="24" t="str">
        <x:v>SRC-IMF-YEM-SMP-2026</x:v>
      </x:c>
      <x:c r="B117" s="24" t="str">
        <x:v>https://www.imf.org/en/news/articles/2026/07/16/pr26249-yemen-imf-reaches-sla-on-new-staff-monitored-program</x:v>
      </x:c>
      <x:c r="C117" s="24" t="str"/>
      <x:c r="D117" s="24" t="str">
        <x:v>DS-K04-CBY-IMF-XWALK-REQUEST,DS-K04-V035-RECON-GATE</x:v>
      </x:c>
      <x:c r="E117" s="24" t="n">
        <x:v>1</x:v>
      </x:c>
      <x:c r="F117" s="168" t="str">
        <x:v>Yemen: staff-level agreement on a proposed Staff-Monitored Program (16 July 2026)</x:v>
      </x:c>
      <x:c r="G117" s="168" t="str">
        <x:v>International Monetary Fund</x:v>
      </x:c>
      <x:c r="H117" s="168" t="str">
        <x:v>Yemen’s economy and policy context</x:v>
      </x:c>
      <x:c r="I117" s="168" t="str">
        <x:v>Provides a dated statement of the reform and macro-financial policy package discussed with IMF staff in July 2026, useful for identifying the state of the reform process while keeping agreement, implementation and outcome distinct.</x:v>
      </x:c>
      <x:c r="J117" s="168" t="str">
        <x:v>A staff-level agreement on policies that could underpin an SMP is not IMF Board-approved financing and does not establish that the reforms were implemented or produced financial-inclusion outcomes.</x:v>
      </x:c>
      <x:c r="K117" s="168" t="str">
        <x:v>FULL_PUBLIC_CARD</x:v>
      </x:c>
      <x:c r="L117" s="168" t="str">
        <x:v>اليمن: اتفاق على مستوى الخبراء بشأن برنامج مقترح يراقبه خبراء صندوق النقد الدولي (SMP) (16 يوليو 2026)</x:v>
      </x:c>
      <x:c r="M117" s="168" t="str">
        <x:v>السياق الاقتصادي والسياساتي في اليمن</x:v>
      </x:c>
      <x:c r="N117"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7"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7" t="str">
        <x:v>NOT_ASSESSED</x:v>
      </x:c>
      <x:c r="Y117" t="str">
        <x:v>صندوق النقد الدولي</x:v>
      </x:c>
      <x:c r="Z117" t="str">
        <x:v>News release</x:v>
      </x:c>
      <x:c r="AA117" t="str">
        <x:v>بيان صحفي</x:v>
      </x:c>
      <x:c r="AB117" t="str">
        <x:v>2026-07-16</x:v>
      </x:c>
    </x:row>
    <x:row r="118">
      <x:c r="A118" s="24" t="str">
        <x:v>SRC-CCY-REMIT-ESTIMATE-2025</x:v>
      </x:c>
      <x:c r="B118" s="24"/>
      <x:c r="C118" s="24" t="str"/>
      <x:c r="D118" s="24" t="str">
        <x:v>DS-K04-BOP-RESIDUAL-STRESS,DS-K04-SOURCE-DEEP-INTAKE</x:v>
      </x:c>
      <x:c r="E118" s="24" t="n">
        <x:v>2</x:v>
      </x:c>
      <x:c r="F118" s="168"/>
      <x:c r="G118" s="168"/>
      <x:c r="H118" s="168"/>
      <x:c r="I118" s="168"/>
      <x:c r="J118" s="168"/>
      <x:c r="K118" s="168" t="str">
        <x:v>LOCATOR_ONLY</x:v>
      </x:c>
      <x:c r="L118" s="168"/>
      <x:c r="M118" s="168"/>
      <x:c r="N118" s="168"/>
      <x:c r="O118" s="168"/>
      <x:c r="P118" t="str">
        <x:v>USER_PROVIDED_FILE: Remittances in Yemen_Estimates and Impact_CCY.pdf</x:v>
      </x:c>
      <x:c r="S118" t="str">
        <x:v>NOT_ASSESSED</x:v>
      </x:c>
    </x:row>
    <x:row r="119">
      <x:c r="A119" s="24" t="str">
        <x:v>SRC-CCY-SAM-2024</x:v>
      </x:c>
      <x:c r="B119" s="24"/>
      <x:c r="C119" s="24" t="str"/>
      <x:c r="D119" s="24" t="str">
        <x:v>DS-K04-SOURCE-DEEP-INTAKE,DS-K04-CASH-FIN-TRANSMISSION</x:v>
      </x:c>
      <x:c r="E119" s="24" t="n">
        <x:v>2</x:v>
      </x:c>
      <x:c r="F119" s="168"/>
      <x:c r="G119" s="168"/>
      <x:c r="H119" s="168"/>
      <x:c r="I119" s="168"/>
      <x:c r="J119" s="168"/>
      <x:c r="K119" s="168" t="str">
        <x:v>LOCATOR_ONLY</x:v>
      </x:c>
      <x:c r="L119" s="168"/>
      <x:c r="M119" s="168"/>
      <x:c r="N119" s="168"/>
      <x:c r="O119" s="168"/>
      <x:c r="P119" t="str">
        <x:v>USER_PROVIDED_FILE: SAM_Multiplie Effect of Cash Study.pdf</x:v>
      </x:c>
      <x:c r="S119" t="str">
        <x:v>NOT_ASSESSED</x:v>
      </x:c>
    </x:row>
    <x:row r="120">
      <x:c r="A120" s="24" t="str">
        <x:v>SRC-CCY-CASH-DURATION-2026</x:v>
      </x:c>
      <x:c r="B120" s="24"/>
      <x:c r="C120" s="24" t="str"/>
      <x:c r="D120" s="24" t="str">
        <x:v>DS-K04-SOURCE-DEEP-INTAKE,DS-K04-CASH-FIN-TRANSMISSION</x:v>
      </x:c>
      <x:c r="E120" s="24" t="n">
        <x:v>2</x:v>
      </x:c>
      <x:c r="F120" s="168"/>
      <x:c r="G120" s="168"/>
      <x:c r="H120" s="168"/>
      <x:c r="I120" s="168"/>
      <x:c r="J120" s="168"/>
      <x:c r="K120" s="168" t="str">
        <x:v>LOCATOR_ONLY</x:v>
      </x:c>
      <x:c r="L120" s="168"/>
      <x:c r="M120" s="168"/>
      <x:c r="N120" s="168"/>
      <x:c r="O120" s="168"/>
      <x:c r="P120" t="str">
        <x:v>USER_PROVIDED_FILE: Cash Duration Report_CCY_2026.06.22.pdf</x:v>
      </x:c>
      <x:c r="S120" t="str">
        <x:v>NOT_ASSESSED</x:v>
      </x:c>
    </x:row>
    <x:row r="121">
      <x:c r="A121" s="24" t="str">
        <x:v>SRC-CCY-ISP-2024</x:v>
      </x:c>
      <x:c r="B121" s="24"/>
      <x:c r="C121" s="24" t="str"/>
      <x:c r="D121" s="24" t="str">
        <x:v>DS-K04-SOURCE-DEEP-INTAKE,DS-K04-CASH-FIN-TRANSMISSION</x:v>
      </x:c>
      <x:c r="E121" s="24" t="n">
        <x:v>2</x:v>
      </x:c>
      <x:c r="F121" s="168"/>
      <x:c r="G121" s="168"/>
      <x:c r="H121" s="168"/>
      <x:c r="I121" s="168"/>
      <x:c r="J121" s="168"/>
      <x:c r="K121" s="168" t="str">
        <x:v>LOCATOR_ONLY</x:v>
      </x:c>
      <x:c r="L121" s="168"/>
      <x:c r="M121" s="168"/>
      <x:c r="N121" s="168"/>
      <x:c r="O121" s="168"/>
      <x:c r="P121" t="str">
        <x:v>USER_PROVIDED_FILE: The Unseen Assistance_Measuring Informal Social Protection in Yemen.pdf</x:v>
      </x:c>
      <x:c r="S121" t="str">
        <x:v>NOT_ASSESSED</x:v>
      </x:c>
    </x:row>
    <x:row r="122">
      <x:c r="A122" s="24" t="str">
        <x:v>SRC-CCY-AMAL-2025</x:v>
      </x:c>
      <x:c r="B122" s="24"/>
      <x:c r="C122" s="24" t="str"/>
      <x:c r="D122" s="24" t="str">
        <x:v>DS-K04-SOURCE-DEEP-INTAKE,DS-K04-CASH-FIN-TRANSMISSION</x:v>
      </x:c>
      <x:c r="E122" s="24" t="n">
        <x:v>2</x:v>
      </x:c>
      <x:c r="F122" s="168"/>
      <x:c r="G122" s="168"/>
      <x:c r="H122" s="168"/>
      <x:c r="I122" s="168"/>
      <x:c r="J122" s="168"/>
      <x:c r="K122" s="168" t="str">
        <x:v>LOCATOR_ONLY</x:v>
      </x:c>
      <x:c r="L122" s="168"/>
      <x:c r="M122" s="168"/>
      <x:c r="N122" s="168"/>
      <x:c r="O122" s="168"/>
      <x:c r="P122" t="str">
        <x:v>USER_PROVIDED_FILE: AMAL Market Assessment _ Final.pdf</x:v>
      </x:c>
      <x:c r="S122" t="str">
        <x:v>NOT_ASSESSED</x:v>
      </x:c>
    </x:row>
    <x:row r="123">
      <x:c r="A123" s="24" t="str">
        <x:v>SRC-CCY-PRESSURE-2026</x:v>
      </x:c>
      <x:c r="B123" s="24"/>
      <x:c r="C123" s="24" t="str"/>
      <x:c r="D123" s="24" t="str">
        <x:v>DS-K04-SOURCE-DEEP-INTAKE,DS-K04-CASH-FIN-TRANSMISSION</x:v>
      </x:c>
      <x:c r="E123" s="24" t="n">
        <x:v>2</x:v>
      </x:c>
      <x:c r="F123" s="168"/>
      <x:c r="G123" s="168"/>
      <x:c r="H123" s="168"/>
      <x:c r="I123" s="168"/>
      <x:c r="J123" s="168"/>
      <x:c r="K123" s="168" t="str">
        <x:v>LOCATOR_ONLY</x:v>
      </x:c>
      <x:c r="L123" s="168"/>
      <x:c r="M123" s="168"/>
      <x:c r="N123" s="168"/>
      <x:c r="O123" s="168"/>
      <x:c r="P123" t="str">
        <x:v>USER_PROVIDED_FILE: Economic Impact of Iran-US War on Yemen_May 2026.pdf</x:v>
      </x:c>
      <x:c r="S123" t="str">
        <x:v>NOT_ASSESSED</x:v>
      </x:c>
    </x:row>
    <x:row r="124">
      <x:c r="A124" s="24" t="str">
        <x:v>SRC-AIDDATA-SAUDI-YEM-2015</x:v>
      </x:c>
      <x:c r="B124" s="24" t="str">
        <x:v>https://www.aiddata.org/blog/saudi-aid-to-yemen-stability-over-development</x:v>
      </x:c>
      <x:c r="C124" s="24" t="str"/>
      <x:c r="D124" s="24" t="str">
        <x:v>DS-K04-SOURCE-DEEP-INTAKE,DS-K04-SAUDI-SUPPORT-TRANSMISSION</x:v>
      </x:c>
      <x:c r="E124" s="24" t="n">
        <x:v>2</x:v>
      </x:c>
      <x:c r="F124" s="168" t="str">
        <x:v>Saudi aid to Yemen: stability over development? (May 2015)</x:v>
      </x:c>
      <x:c r="G124" s="168" t="str">
        <x:v>AidData</x:v>
      </x:c>
      <x:c r="H124" s="168"/>
      <x:c r="I124" s="168"/>
      <x:c r="J124" s="168"/>
      <x:c r="K124" s="168" t="str">
        <x:v>CITATION_CARD</x:v>
      </x:c>
      <x:c r="L124" s="168" t="str">
        <x:v>المساعدات السعودية لليمن: الاستقرار قبل التنمية؟ (مايو 2015)</x:v>
      </x:c>
      <x:c r="M124" s="168"/>
      <x:c r="N124" s="168"/>
      <x:c r="O124" s="168"/>
      <x:c r="S124" t="str">
        <x:v>NOT_ASSESSED</x:v>
      </x:c>
      <x:c r="Y124" t="str">
        <x:v>AidData</x:v>
      </x:c>
      <x:c r="Z124" t="str">
        <x:v>Research or policy paper</x:v>
      </x:c>
      <x:c r="AA124" t="str">
        <x:v>ورقة بحثية أو سياساتية</x:v>
      </x:c>
      <x:c r="AB124" t="str">
        <x:v>2015-05-08</x:v>
      </x:c>
    </x:row>
    <x:row r="125">
      <x:c r="A125" s="24" t="str">
        <x:v>SRC-LIT-XIDIAN-YEM-FI-2025</x:v>
      </x:c>
      <x:c r="B125" s="24" t="str">
        <x:v>https://www.researchgate.net/publication/393091523_The_Reality_of_Financial_Inclusion_and_Crucial_Issues_in_Yemen</x:v>
      </x:c>
      <x:c r="C125" s="24" t="str"/>
      <x:c r="D125" s="24" t="str">
        <x:v>DS-K04-SOURCE-DEEP-INTAKE,DS-K04-LITERATURE-SOURCE-AUDIT</x:v>
      </x:c>
      <x:c r="E125" s="24" t="n">
        <x:v>2</x:v>
      </x:c>
      <x:c r="F125" s="168"/>
      <x:c r="G125" s="168"/>
      <x:c r="H125" s="168"/>
      <x:c r="I125" s="168"/>
      <x:c r="J125" s="168"/>
      <x:c r="K125" s="168" t="str">
        <x:v>LOCATOR_ONLY</x:v>
      </x:c>
      <x:c r="L125" s="168"/>
      <x:c r="M125" s="168"/>
      <x:c r="N125" s="168"/>
      <x:c r="O125" s="168"/>
      <x:c r="S125" t="str">
        <x:v>NOT_ASSESSED</x:v>
      </x:c>
    </x:row>
    <x:row r="126">
      <x:c r="A126" s="24" t="str">
        <x:v>SRC-LIT-INVEST-ISLAMIC-FI-2024</x:v>
      </x:c>
      <x:c r="B126" s="24" t="str">
        <x:v>https://jurnal.iainponorogo.ac.id/index.php/invest/article/view/8340</x:v>
      </x:c>
      <x:c r="C126" s="24" t="str"/>
      <x:c r="D126" s="24" t="str">
        <x:v>DS-K04-SOURCE-DEEP-INTAKE,DS-K04-LITERATURE-SOURCE-AUDIT</x:v>
      </x:c>
      <x:c r="E126" s="24" t="n">
        <x:v>2</x:v>
      </x:c>
      <x:c r="F126" s="168"/>
      <x:c r="G126" s="168"/>
      <x:c r="H126" s="168"/>
      <x:c r="I126" s="168"/>
      <x:c r="J126" s="168"/>
      <x:c r="K126" s="168" t="str">
        <x:v>LOCATOR_ONLY</x:v>
      </x:c>
      <x:c r="L126" s="168"/>
      <x:c r="M126" s="168"/>
      <x:c r="N126" s="168"/>
      <x:c r="O126" s="168"/>
      <x:c r="S126" t="str">
        <x:v>NOT_ASSESSED</x:v>
      </x:c>
    </x:row>
    <x:row r="127">
      <x:c r="A127" s="24" t="str">
        <x:v>SRC-LIT-OEB-FX-PRICES-2025</x:v>
      </x:c>
      <x:c r="B127" s="24" t="str">
        <x:v>https://asjp.cerist.dz/en/article/273259</x:v>
      </x:c>
      <x:c r="C127" s="24" t="str"/>
      <x:c r="D127" s="24" t="str">
        <x:v>DS-K04-SOURCE-DEEP-INTAKE,DS-K04-LITERATURE-SOURCE-AUDIT</x:v>
      </x:c>
      <x:c r="E127" s="24" t="n">
        <x:v>2</x:v>
      </x:c>
      <x:c r="F127" s="168"/>
      <x:c r="G127" s="168"/>
      <x:c r="H127" s="168"/>
      <x:c r="I127" s="168"/>
      <x:c r="J127" s="168"/>
      <x:c r="K127" s="168" t="str">
        <x:v>LOCATOR_ONLY</x:v>
      </x:c>
      <x:c r="L127" s="168"/>
      <x:c r="M127" s="168"/>
      <x:c r="N127" s="168"/>
      <x:c r="O127" s="168"/>
      <x:c r="S127" t="str">
        <x:v>NOT_ASSESSED</x:v>
      </x:c>
    </x:row>
    <x:row r="128">
      <x:c r="A128" s="24" t="str">
        <x:v>SRC-LIT-ALG-FI-COMPARATIVE</x:v>
      </x:c>
      <x:c r="B128" s="24"/>
      <x:c r="C128" s="24" t="str"/>
      <x:c r="D128" s="24" t="str">
        <x:v>DS-K04-LITERATURE-SOURCE-AUDIT</x:v>
      </x:c>
      <x:c r="E128" s="24" t="n">
        <x:v>1</x:v>
      </x:c>
      <x:c r="F128" s="168"/>
      <x:c r="G128" s="168"/>
      <x:c r="H128" s="168"/>
      <x:c r="I128" s="168"/>
      <x:c r="J128" s="168"/>
      <x:c r="K128" s="168" t="str">
        <x:v>LOCATOR_ONLY</x:v>
      </x:c>
      <x:c r="L128" s="168"/>
      <x:c r="M128" s="168"/>
      <x:c r="N128" s="168"/>
      <x:c r="O128" s="168"/>
      <x:c r="P128" t="str">
        <x:v>USER_PROVIDED_FILE: Algeria_Financial_Inclusion_Governance_COMPARATIVE_ONLY.pdf</x:v>
      </x:c>
      <x:c r="S128" t="str">
        <x:v>NOT_ASSESSED</x:v>
      </x:c>
    </x:row>
    <x:row r="129">
      <x:c r="A129" s="24" t="str">
        <x:v>SRC-LIT-IND-FI-TEMPLATE-2023</x:v>
      </x:c>
      <x:c r="B129" s="24"/>
      <x:c r="C129" s="24" t="str"/>
      <x:c r="D129" s="24" t="str">
        <x:v>DS-K04-LITERATURE-SOURCE-AUDIT</x:v>
      </x:c>
      <x:c r="E129" s="24" t="n">
        <x:v>1</x:v>
      </x:c>
      <x:c r="F129" s="168"/>
      <x:c r="G129" s="168"/>
      <x:c r="H129" s="168"/>
      <x:c r="I129" s="168"/>
      <x:c r="J129" s="168"/>
      <x:c r="K129" s="168" t="str">
        <x:v>LOCATOR_ONLY</x:v>
      </x:c>
      <x:c r="L129" s="168"/>
      <x:c r="M129" s="168"/>
      <x:c r="N129" s="168"/>
      <x:c r="O129" s="168"/>
      <x:c r="P129" t="str">
        <x:v>USER_PROVIDED_FILE: REJECTED_AS_YEMEN_EVIDENCE__India_FI_Index_Template_2023.pdf</x:v>
      </x:c>
      <x:c r="S129" t="str">
        <x:v>NOT_ASSESSED</x:v>
      </x:c>
    </x:row>
    <x:row r="130">
      <x:c r="A130" s="24" t="str">
        <x:v>SRC-SANAA-MF-2020</x:v>
      </x:c>
      <x:c r="B130" s="24" t="str">
        <x:v>https://sanaacenter.org/publications/policy-research/9808</x:v>
      </x:c>
      <x:c r="C130" s="24" t="str">
        <x:v>["https://sanaacenter.org/files/Rethinking_Yemens_Economy_No6.pdf"]</x:v>
      </x:c>
      <x:c r="D130" s="24" t="str">
        <x:v>DS-K04-SOURCE-DEEP-INTAKE,DS-K04-LITERATURE-SOURCE-AUDIT,DS-V041-STRICT-COUNSEL</x:v>
      </x:c>
      <x:c r="E130" s="24" t="n">
        <x:v>3</x:v>
      </x:c>
      <x:c r="F130" s="168" t="str">
        <x:v>Microfinance in Yemen: An Overview of Challenges and Opportunities — Rethinking Yemen's Economy No. 6 (April 2020)</x:v>
      </x:c>
      <x:c r="G130" s="168" t="str">
        <x:v>Sana’a Center for Strategic Studies</x:v>
      </x:c>
      <x:c r="H130" s="168"/>
      <x:c r="I130" s="168"/>
      <x:c r="J130" s="168"/>
      <x:c r="K130" s="168" t="str">
        <x:v>CITATION_CARD</x:v>
      </x:c>
      <x:c r="L130" s="168" t="str">
        <x:v>التمويل الأصغر في اليمن: نظرة عامة على التحديات والفرص — سلسلة Rethinking Yemen's Economy، العدد 6 (أبريل 2020)</x:v>
      </x:c>
      <x:c r="M130" s="168"/>
      <x:c r="N130" s="168"/>
      <x:c r="O130" s="168"/>
      <x:c r="S130" t="str">
        <x:v>NOT_ASSESSED</x:v>
      </x:c>
      <x:c r="Y130" t="str">
        <x:v>مركز صنعاء للدراسات الاستراتيجية</x:v>
      </x:c>
      <x:c r="Z130" t="str">
        <x:v>Research or policy paper</x:v>
      </x:c>
      <x:c r="AA130" t="str">
        <x:v>ورقة بحثية أو سياساتية</x:v>
      </x:c>
      <x:c r="AB130" t="str">
        <x:v>2020-04-30</x:v>
      </x:c>
    </x:row>
    <x:row r="131">
      <x:c r="A131" s="24" t="str">
        <x:v>SRC-SANAA-EMONEY-2022</x:v>
      </x:c>
      <x:c r="B131" s="24" t="str">
        <x:v>https://sanaacenter.org/publications/policy-research/16974</x:v>
      </x:c>
      <x:c r="C131" s="24" t="str"/>
      <x:c r="D131" s="24" t="str">
        <x:v>DS-K04-SOURCE-DEEP-INTAKE,DS-K04-LITERATURE-SOURCE-AUDIT,DS-K04-CAUSEWAY-READING-002</x:v>
      </x:c>
      <x:c r="E131" s="24" t="n">
        <x:v>3</x:v>
      </x:c>
      <x:c r="F131" s="168" t="str">
        <x:v>Challenges and Prospects for Electronic Money and Payment Systems in Yemen</x:v>
      </x:c>
      <x:c r="G131" s="168" t="str">
        <x:v>Sana’a Center for Strategic Studies</x:v>
      </x:c>
      <x:c r="H131" s="168" t="str">
        <x:v>Research and analysis on Yemen’s financial sector</x:v>
      </x:c>
      <x:c r="I131"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31" s="168" t="str">
        <x:v>This 2022 analytical paper does not establish current law, current provider operating status, current adoption, or national financial-inclusion prevalence.</x:v>
      </x:c>
      <x:c r="K131" s="168" t="str">
        <x:v>FULL_PUBLIC_CARD</x:v>
      </x:c>
      <x:c r="L131" s="168" t="str">
        <x:v>تحديات وآفاق النقود الإلكترونية وأنظمة الدفع في اليمن</x:v>
      </x:c>
      <x:c r="M131" s="168" t="str">
        <x:v>البحوث والتحليلات حول القطاع المالي في اليمن</x:v>
      </x:c>
      <x:c r="N131"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31"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31" t="str">
        <x:v>NOT_ASSESSED</x:v>
      </x:c>
      <x:c r="Y131" t="str">
        <x:v>مركز صنعاء للدراسات الاستراتيجية</x:v>
      </x:c>
      <x:c r="Z131" t="str">
        <x:v>Research or policy paper</x:v>
      </x:c>
      <x:c r="AA131" t="str">
        <x:v>ورقة بحثية أو سياساتية</x:v>
      </x:c>
    </x:row>
    <x:row r="132">
      <x:c r="A132" s="24" t="str">
        <x:v>SRC-SANAA-MFB-2024</x:v>
      </x:c>
      <x:c r="B132" s="24" t="str">
        <x:v>https://sanaacenter.org/publications/policy-research/23418</x:v>
      </x:c>
      <x:c r="C132" s="24" t="str"/>
      <x:c r="D132" s="24" t="str">
        <x:v>DS-K04-SOURCE-DEEP-INTAKE,DS-K04-LITERATURE-SOURCE-AUDIT,DS-K04-CAUSEWAY-READING-002,DS-K04-MFB2023-RECON,DS-K04-MFB-TRANSFORM-LENS,DS-K04-CAUSEWAY-READING-003</x:v>
      </x:c>
      <x:c r="E132" s="24" t="n">
        <x:v>8</x:v>
      </x:c>
      <x:c r="F132" s="168" t="str">
        <x:v>Enhancing the Role of Microfinance Banks for Sustainable Impact in Yemen (2024)</x:v>
      </x:c>
      <x:c r="G132" s="168" t="str">
        <x:v>Sana’a Center for Strategic Studies</x:v>
      </x:c>
      <x:c r="H132" s="168" t="str">
        <x:v>Research and analysis on Yemen’s financial sector</x:v>
      </x:c>
      <x:c r="I132"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32" s="168" t="str">
        <x:v>The policy brief is not a current sector census, does not establish whether a named institution is operating now, and does not provide a national finance-access rate or causal impact estimate.</x:v>
      </x:c>
      <x:c r="K132" s="168" t="str">
        <x:v>FULL_PUBLIC_CARD</x:v>
      </x:c>
      <x:c r="L132" s="168" t="str">
        <x:v>تعزيز دور بنوك التمويل الأصغر لتحقيق أثر مستدام في اليمن (2024)</x:v>
      </x:c>
      <x:c r="M132" s="168" t="str">
        <x:v>البحوث والتحليلات حول القطاع المالي في اليمن</x:v>
      </x:c>
      <x:c r="N132"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32" s="168" t="str">
        <x:v>لا تمثل الورقة تعدادًا راهنًا للقطاع، ولا تثبت أن مؤسسة بعينها تعمل حاليًا، ولا تقدم معدلًا وطنيًا للوصول إلى التمويل أو تقديرًا سببيًا للأثر.</x:v>
      </x:c>
      <x:c r="S132" t="str">
        <x:v>NOT_ASSESSED</x:v>
      </x:c>
      <x:c r="Y132" t="str">
        <x:v>مركز صنعاء للدراسات الاستراتيجية</x:v>
      </x:c>
      <x:c r="Z132" t="str">
        <x:v>Research or policy paper</x:v>
      </x:c>
      <x:c r="AA132" t="str">
        <x:v>ورقة بحثية أو سياساتية</x:v>
      </x:c>
      <x:c r="AB132" t="str">
        <x:v>2024</x:v>
      </x:c>
    </x:row>
    <x:row r="133">
      <x:c r="A133" s="24" t="str">
        <x:v>SRC-MDPI-UTAUT-YEM-2022</x:v>
      </x:c>
      <x:c r="B133" s="24" t="str">
        <x:v>https://www.mdpi.com/2227-7099/10/10/259</x:v>
      </x:c>
      <x:c r="C133" s="24" t="str"/>
      <x:c r="D133" s="24" t="str">
        <x:v>DS-K04-SOURCE-DEEP-INTAKE,DS-K04-LITERATURE-SOURCE-AUDIT,DS-K04-CAUSEWAY-READING-002</x:v>
      </x:c>
      <x:c r="E133" s="24" t="n">
        <x:v>3</x:v>
      </x:c>
      <x:c r="F133" s="168" t="str">
        <x:v>Intention to Use E-Payments from the Perspective of the Unified Theory of Acceptance and Use of Technology (UTAUT): Evidence from Yemen (October 2022)</x:v>
      </x:c>
      <x:c r="G133" s="168" t="str">
        <x:v>Economies (MDPI)</x:v>
      </x:c>
      <x:c r="H133" s="168"/>
      <x:c r="I133" s="168"/>
      <x:c r="J133" s="168"/>
      <x:c r="K133" s="168" t="str">
        <x:v>CITATION_CARD</x:v>
      </x:c>
      <x:c r="L133" s="168" t="str">
        <x:v>نية استخدام المدفوعات الإلكترونية من منظور النظرية الموحدة لقبول التكنولوجيا واستخدامها (UTAUT): أدلة من اليمن (أكتوبر 2022)</x:v>
      </x:c>
      <x:c r="M133" s="168"/>
      <x:c r="N133" s="168"/>
      <x:c r="O133" s="168"/>
      <x:c r="S133" t="str">
        <x:v>NOT_ASSESSED</x:v>
      </x:c>
      <x:c r="Y133" t="str">
        <x:v>مجلة Economies (الناشر MDPI)</x:v>
      </x:c>
      <x:c r="Z133" t="str">
        <x:v>Research or policy paper</x:v>
      </x:c>
      <x:c r="AA133" t="str">
        <x:v>ورقة بحثية أو سياساتية</x:v>
      </x:c>
      <x:c r="AB133" t="str">
        <x:v>2022-10-18</x:v>
      </x:c>
    </x:row>
    <x:row r="134">
      <x:c r="A134" s="24" t="str">
        <x:v>SRC-IBS-EPAY-YEM-2020</x:v>
      </x:c>
      <x:c r="B134" s="24" t="str">
        <x:v>https://www.findevgateway.org/paper/2020/10/electronic-payment-services-yemen-challenges-and-opportunities-success</x:v>
      </x:c>
      <x:c r="C134"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4" s="24" t="str">
        <x:v>DS-K04-SOURCE-DEEP-INTAKE,DS-K04-LITERATURE-SOURCE-AUDIT,DS-K04-IBS2020-UPSTREAM,DS-K04-IBS2020-RECON</x:v>
      </x:c>
      <x:c r="E134" s="24" t="n">
        <x:v>4</x:v>
      </x:c>
      <x:c r="F134" s="168" t="str">
        <x:v>Electronic Payment Services in Yemen: Challenges and Opportunities for Success (October 2020)</x:v>
      </x:c>
      <x:c r="G134" s="168" t="str">
        <x:v>Institute of Banking Studies (IBS)</x:v>
      </x:c>
      <x:c r="H134" s="168"/>
      <x:c r="I134" s="168"/>
      <x:c r="J134" s="168"/>
      <x:c r="K134" s="168" t="str">
        <x:v>CITATION_CARD</x:v>
      </x:c>
      <x:c r="L134" s="168" t="str">
        <x:v>خدمات الدفع الإلكتروني في اليمن: التحديات وفرص النجاح (أكتوبر 2020)</x:v>
      </x:c>
      <x:c r="M134" s="168"/>
      <x:c r="N134" s="168"/>
      <x:c r="O134" s="168"/>
      <x:c r="S134" t="str">
        <x:v>NOT_ASSESSED</x:v>
      </x:c>
      <x:c r="Y134" t="str">
        <x:v>معهد الدراسات المصرفية</x:v>
      </x:c>
      <x:c r="Z134" t="str">
        <x:v>Research or policy paper</x:v>
      </x:c>
      <x:c r="AA134" t="str">
        <x:v>ورقة بحثية أو سياساتية</x:v>
      </x:c>
      <x:c r="AB134" t="str">
        <x:v>2020-10</x:v>
      </x:c>
    </x:row>
    <x:row r="135">
      <x:c r="A135" s="24" t="str">
        <x:v>SRC-ADEN-CBY-LIQ-2016</x:v>
      </x:c>
      <x:c r="B135" s="24" t="str">
        <x:v>https://search.mandumah.com/Record/932295</x:v>
      </x:c>
      <x:c r="C135" s="24" t="str"/>
      <x:c r="D135" s="24" t="str">
        <x:v>DS-K04-SOURCE-DEEP-INTAKE,DS-K04-LITERATURE-SOURCE-AUDIT</x:v>
      </x:c>
      <x:c r="E135" s="24" t="n">
        <x:v>2</x:v>
      </x:c>
      <x:c r="F135" s="168"/>
      <x:c r="G135" s="168"/>
      <x:c r="H135" s="168"/>
      <x:c r="I135" s="168"/>
      <x:c r="J135" s="168"/>
      <x:c r="K135" s="168" t="str">
        <x:v>LOCATOR_ONLY</x:v>
      </x:c>
      <x:c r="L135" s="168"/>
      <x:c r="M135" s="168"/>
      <x:c r="N135" s="168"/>
      <x:c r="O135" s="168"/>
      <x:c r="S135" t="str">
        <x:v>NOT_ASSESSED</x:v>
      </x:c>
    </x:row>
    <x:row r="136">
      <x:c r="A136" s="24" t="str">
        <x:v>SRC-SFD-SMED-LP-2023-NOV</x:v>
      </x:c>
      <x:c r="B136" s="24" t="str">
        <x:v>https://web.archive.org/web/20241112185856/https://smed.sfd-yemen.org/index.php/en/blog-4/aaflp1/477-nov-2023</x:v>
      </x:c>
      <x:c r="C136" s="24" t="str">
        <x:v>["https://smed.sfd-yemen.org/index.php/en/blog-4/aaflp1/477-nov-2023"]</x:v>
      </x:c>
      <x:c r="D136" s="24" t="str">
        <x:v>DS-K04-MFB2023-RECON,DS-K04-MFB-TRANSFORM-LENS</x:v>
      </x:c>
      <x:c r="E136" s="24" t="n">
        <x:v>2</x:v>
      </x:c>
      <x:c r="F136" s="168" t="str">
        <x:v>Small and Microenterprise Development (SMED) loan portfolio archive: November 2023 page</x:v>
      </x:c>
      <x:c r="G136" s="168" t="str">
        <x:v>Social Fund for Development (SFD)</x:v>
      </x:c>
      <x:c r="H136" s="168"/>
      <x:c r="I136" s="168"/>
      <x:c r="J136" s="168"/>
      <x:c r="K136" s="168" t="str">
        <x:v>CITATION_CARD</x:v>
      </x:c>
      <x:c r="L136" s="168" t="str">
        <x:v>أرشيف محفظة القروض لوحدة تنمية المنشآت الصغيرة والأصغر (SMED): صفحة نوفمبر 2023</x:v>
      </x:c>
      <x:c r="M136" s="168"/>
      <x:c r="N136" s="168"/>
      <x:c r="O136" s="168"/>
      <x:c r="S136" t="str">
        <x:v>NOT_ASSESSED</x:v>
      </x:c>
      <x:c r="V136" t="str">
        <x:v>2026-10-03</x:v>
      </x:c>
      <x:c r="Y136" t="str">
        <x:v>الصندوق الاجتماعي للتنمية</x:v>
      </x:c>
      <x:c r="Z136" t="str">
        <x:v>Database or web interface</x:v>
      </x:c>
      <x:c r="AA136" t="str">
        <x:v>قاعدة بيانات أو واجهة إلكترونية</x:v>
      </x:c>
    </x:row>
    <x:row r="137">
      <x:c r="A137" s="24" t="str">
        <x:v>SRC-MOPIC-YSEU-2023-080</x:v>
      </x:c>
      <x:c r="B137" s="24"/>
      <x:c r="C137" s="24" t="str"/>
      <x:c r="D137" s="24" t="str">
        <x:v>DS-K04-MFB2023-RECON — primary public locator unresolved; retain only as bounded cited dependency until source is recovered</x:v>
      </x:c>
      <x:c r="E137" s="24" t="n">
        <x:v>1</x:v>
      </x:c>
      <x:c r="F137" s="168"/>
      <x:c r="G137" s="168"/>
      <x:c r="H137" s="168"/>
      <x:c r="I137" s="168"/>
      <x:c r="J137" s="168"/>
      <x:c r="K137" s="168" t="str">
        <x:v>LOCATOR_ONLY</x:v>
      </x:c>
      <x:c r="L137" s="168"/>
      <x:c r="M137" s="168"/>
      <x:c r="N137" s="168"/>
      <x:c r="O137" s="168"/>
      <x:c r="S137" t="str">
        <x:v>NOT_ASSESSED</x:v>
      </x:c>
    </x:row>
    <x:row r="138">
      <x:c r="A138" s="24" t="str">
        <x:v>SRC-SANAA-SOCPROT-2024</x:v>
      </x:c>
      <x:c r="B138" s="24" t="str">
        <x:v>https://sanaacenter.org/publications/policy-research/22910</x:v>
      </x:c>
      <x:c r="C138" s="24" t="str"/>
      <x:c r="D138" s="24" t="str">
        <x:v>DS-K04-MFB2023-RECON,DS-K04-CAUSEWAY-READING-003</x:v>
      </x:c>
      <x:c r="E138" s="24" t="n">
        <x:v>2</x:v>
      </x:c>
      <x:c r="F138" s="168" t="str">
        <x:v>From Vulnerability to Empowerment: The Future of Social Protection in Yemen (July 2024)</x:v>
      </x:c>
      <x:c r="G138" s="168" t="str">
        <x:v>Sana’a Center for Strategic Studies</x:v>
      </x:c>
      <x:c r="H138" s="168"/>
      <x:c r="I138" s="168"/>
      <x:c r="J138" s="168"/>
      <x:c r="K138" s="168" t="str">
        <x:v>CITATION_CARD</x:v>
      </x:c>
      <x:c r="L138" s="168" t="str">
        <x:v>من الهشاشة إلى التمكين: مستقبل الحماية الاجتماعية في اليمن (يوليو 2024)</x:v>
      </x:c>
      <x:c r="M138" s="168"/>
      <x:c r="N138" s="168"/>
      <x:c r="O138" s="168"/>
      <x:c r="S138" t="str">
        <x:v>NOT_ASSESSED</x:v>
      </x:c>
      <x:c r="Y138" t="str">
        <x:v>مركز صنعاء للدراسات الاستراتيجية</x:v>
      </x:c>
      <x:c r="Z138" t="str">
        <x:v>Research or policy paper</x:v>
      </x:c>
      <x:c r="AA138" t="str">
        <x:v>ورقة بحثية أو سياساتية</x:v>
      </x:c>
      <x:c r="AB138" t="str">
        <x:v>2024-07-09</x:v>
      </x:c>
    </x:row>
    <x:row r="139">
      <x:c r="A139" s="24" t="str">
        <x:v>SRC-SANAA-YR-2025-Q2-MFB</x:v>
      </x:c>
      <x:c r="B139" s="24" t="str">
        <x:v>https://sanaacenter.org/the-yemen-review/april-june-2025/25056</x:v>
      </x:c>
      <x:c r="C139" s="24" t="str"/>
      <x:c r="D139" s="24" t="str">
        <x:v>DS-K04-MFB2023-RECON,DS-K04-CAUSEWAY-READING-003</x:v>
      </x:c>
      <x:c r="E139" s="24" t="n">
        <x:v>1</x:v>
      </x:c>
      <x:c r="F139" s="168" t="str">
        <x:v>The Economy — The Yemen Review Quarterly: April–June 2025 (July 2025)</x:v>
      </x:c>
      <x:c r="G139" s="168" t="str">
        <x:v>Sana’a Center for Strategic Studies</x:v>
      </x:c>
      <x:c r="H139" s="168"/>
      <x:c r="I139" s="168"/>
      <x:c r="J139" s="168"/>
      <x:c r="K139" s="168" t="str">
        <x:v>CITATION_CARD</x:v>
      </x:c>
      <x:c r="L139" s="168" t="str">
        <x:v>باب الاقتصاد في التقرير الفصلي The Yemen Review: أبريل–يونيو 2025 (يوليو 2025)</x:v>
      </x:c>
      <x:c r="M139" s="168"/>
      <x:c r="N139" s="168"/>
      <x:c r="O139" s="168"/>
      <x:c r="S139" t="str">
        <x:v>NOT_ASSESSED</x:v>
      </x:c>
      <x:c r="Y139" t="str">
        <x:v>مركز صنعاء للدراسات الاستراتيجية</x:v>
      </x:c>
      <x:c r="Z139" t="str">
        <x:v>Newsletter</x:v>
      </x:c>
      <x:c r="AA139" t="str">
        <x:v>نشرة دورية</x:v>
      </x:c>
      <x:c r="AB139" t="str">
        <x:v>2025-07-22</x:v>
      </x:c>
    </x:row>
    <x:row r="140">
      <x:c r="A140" s="24" t="str">
        <x:v>SRC-SMEPS-AR2024-2025</x:v>
      </x:c>
      <x:c r="B140" s="24" t="str">
        <x:v>https://smeps.org.ye/post/85</x:v>
      </x:c>
      <x:c r="C140" s="24" t="str">
        <x:v>["https://smeps.org.ye/upfiles/posts/SMEPS_File_08-10-2025-44011.pdf"]</x:v>
      </x:c>
      <x:c r="D140" s="24" t="str">
        <x:v>DS-SMEPS-2024-PROGRAMME-EVIDENCE</x:v>
      </x:c>
      <x:c r="E140" s="24" t="n">
        <x:v>28</x:v>
      </x:c>
      <x:c r="F140" s="168" t="str">
        <x:v>Small and Micro Enterprise Promotion Service (SMEPS) Annual Report 2024</x:v>
      </x:c>
      <x:c r="G140" s="168" t="str">
        <x:v>Small and Micro Enterprise Promotion Service (SMEPS)</x:v>
      </x:c>
      <x:c r="H140" s="168"/>
      <x:c r="I140" s="168"/>
      <x:c r="J140" s="168"/>
      <x:c r="K140" s="168" t="str">
        <x:v>CITATION_CARD</x:v>
      </x:c>
      <x:c r="L140" s="168" t="str">
        <x:v>التقرير السنوي لوكالة تنمية المنشآت الصغيرة والأصغر (SMEPS) لعام 2024</x:v>
      </x:c>
      <x:c r="M140" s="168"/>
      <x:c r="N140" s="168"/>
      <x:c r="O140" s="168"/>
      <x:c r="S140" t="str">
        <x:v>NOT_ASSESSED</x:v>
      </x:c>
      <x:c r="Y140" t="str">
        <x:v>وكالة تنمية المنشآت الصغيرة والأصغر</x:v>
      </x:c>
      <x:c r="Z140" t="str">
        <x:v>Annual report</x:v>
      </x:c>
      <x:c r="AA140" t="str">
        <x:v>تقرير سنوي</x:v>
      </x:c>
    </x:row>
    <x:row r="141">
      <x:c r="A141" s="24" t="str">
        <x:v>SRC-UNDP-FMIIP-001</x:v>
      </x:c>
      <x:c r="B141" s="24" t="str">
        <x:v>https://www.undp.org/yemen/projects/yemen-financial-market-infrastructure-and-inclusion-project</x:v>
      </x:c>
      <x:c r="C141" s="24" t="str">
        <x:v>["https://www.undp.org/ar/yemen/projects/mshrw-albnyt-althtyt-llaswaq-walshmwl-almaly-fy-alymn-fmiip"]</x:v>
      </x:c>
      <x:c r="D141" s="24" t="str">
        <x:v>DS-FMIIP-PROJECT-RESULTS, DS-FMIIP-IMPLEMENTATION-2026, 49_METRIC_CROSSWALK</x:v>
      </x:c>
      <x:c r="E141" s="24" t="n">
        <x:v>1</x:v>
      </x:c>
      <x:c r="F141" s="168" t="str">
        <x:v>Yemen Financial Market Infrastructure and Inclusion Project (FMIIP): implementation overview (2025–2030)</x:v>
      </x:c>
      <x:c r="G141" s="168" t="str">
        <x:v>United Nations Development Programme (UNDP)</x:v>
      </x:c>
      <x:c r="H141" s="168" t="str">
        <x:v>Programmes and projects in Yemen</x:v>
      </x:c>
      <x:c r="I141" s="168" t="str">
        <x:v>Official implementation overview for FMIIP, including the distinct FPS, RTGS/core-banking, access-and-use, and project-management components and the project's published result targets.</x:v>
      </x:c>
      <x:c r="J141" s="168" t="str">
        <x:v>Project design, funding, targets or implementation activity do not by themselves establish full go-live, reliable operation, adoption, unique active users or a financial-inclusion outcome.</x:v>
      </x:c>
      <x:c r="K141" s="168" t="str">
        <x:v>FULL_PUBLIC_CARD</x:v>
      </x:c>
      <x:c r="L141" s="168" t="str">
        <x:v>مشروع البنية التحتية للأسواق المالية والشمول المالي في اليمن (FMIIP): نظرة عامة على التنفيذ (2025–2030)</x:v>
      </x:c>
      <x:c r="M141" s="168" t="str">
        <x:v>البرامج والمشروعات في اليمن</x:v>
      </x:c>
      <x:c r="N141"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41"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41" t="str">
        <x:v>NOT_ASSESSED</x:v>
      </x:c>
      <x:c r="Y141" t="str">
        <x:v>برنامج الأمم المتحدة الإنمائي</x:v>
      </x:c>
      <x:c r="Z141" t="str">
        <x:v>Event or programme page</x:v>
      </x:c>
      <x:c r="AA141" t="str">
        <x:v>صفحة فعالية أو برنامج</x:v>
      </x:c>
    </x:row>
    <x:row r="142">
      <x:c r="A142" s="24" t="str">
        <x:v>SRC-WB-YEM-OUTLOOK-2016-001</x:v>
      </x:c>
      <x:c r="B142" s="24" t="str">
        <x:v>https://www.worldbank.org/en/country/yemen/publication/economic-outlook-spring-2016</x:v>
      </x:c>
      <x:c r="C142" s="24" t="str"/>
      <x:c r="D142" s="24" t="str">
        <x:v>DS-V4R3-SYSTEM-CHRONOLOGY</x:v>
      </x:c>
      <x:c r="E142" s="24" t="n">
        <x:v>2</x:v>
      </x:c>
      <x:c r="F142" s="168" t="str">
        <x:v>Yemen's Economic Outlook, Spring 2016</x:v>
      </x:c>
      <x:c r="G142" s="168" t="str">
        <x:v>World Bank</x:v>
      </x:c>
      <x:c r="H142" s="168"/>
      <x:c r="I142" s="168"/>
      <x:c r="J142" s="168"/>
      <x:c r="K142" s="168" t="str">
        <x:v>CITATION_CARD</x:v>
      </x:c>
      <x:c r="L142" s="168" t="str">
        <x:v>الآفاق الاقتصادية لليمن، ربيع 2016</x:v>
      </x:c>
      <x:c r="M142" s="168"/>
      <x:c r="N142" s="168"/>
      <x:c r="O142" s="168"/>
      <x:c r="S142" t="str">
        <x:v>NOT_ASSESSED</x:v>
      </x:c>
      <x:c r="Y142" t="str">
        <x:v>البنك الدولي</x:v>
      </x:c>
      <x:c r="Z142" t="str">
        <x:v>Research or policy paper</x:v>
      </x:c>
      <x:c r="AA142" t="str">
        <x:v>ورقة بحثية أو سياساتية</x:v>
      </x:c>
      <x:c r="AB142" t="str">
        <x:v>2016</x:v>
      </x:c>
    </x:row>
    <x:row r="143">
      <x:c r="A143" s="24" t="str">
        <x:v>SRC-WB-YEM-MONITOR-FALL2018-001</x:v>
      </x:c>
      <x:c r="B143" s="24" t="str">
        <x:v>https://documents1.worldbank.org/curated/en/508301539801659212/pdf/130967-REVISED-BRI-PUBLIC-Disclosed-10-19-2018.pdf</x:v>
      </x:c>
      <x:c r="C143" s="24" t="str">
        <x:v>["https://documents1.worldbank.org/curated/en/860331539801787860/pdf/130967-REVISED-BRI-ARABIC-PUBLIC-Disclosed-10-19-2018.pdf"]</x:v>
      </x:c>
      <x:c r="D143" s="24" t="str">
        <x:v>DS-V4R3-SYSTEM-CHRONOLOGY</x:v>
      </x:c>
      <x:c r="E143" s="24" t="n">
        <x:v>1</x:v>
      </x:c>
      <x:c r="F143" s="168" t="str">
        <x:v>Yemen Economic Monitoring Brief, Fall 2018</x:v>
      </x:c>
      <x:c r="G143" s="168" t="str">
        <x:v>World Bank</x:v>
      </x:c>
      <x:c r="H143" s="168"/>
      <x:c r="I143" s="168"/>
      <x:c r="J143" s="168"/>
      <x:c r="K143" s="168" t="str">
        <x:v>CITATION_CARD</x:v>
      </x:c>
      <x:c r="L143" s="168" t="str">
        <x:v>موجز الرصد الاقتصادي لليمن، خريف 2018</x:v>
      </x:c>
      <x:c r="M143" s="168"/>
      <x:c r="N143" s="168"/>
      <x:c r="O143" s="168"/>
      <x:c r="S143" t="str">
        <x:v>NOT_ASSESSED</x:v>
      </x:c>
      <x:c r="Y143" t="str">
        <x:v>البنك الدولي</x:v>
      </x:c>
      <x:c r="Z143" t="str">
        <x:v>Research or policy paper</x:v>
      </x:c>
      <x:c r="AA143" t="str">
        <x:v>ورقة بحثية أو سياساتية</x:v>
      </x:c>
      <x:c r="AB143" t="str">
        <x:v>2018</x:v>
      </x:c>
    </x:row>
    <x:row r="144">
      <x:c r="A144" s="24" t="str">
        <x:v>SRC-SPA-SAU-CBY-DEPOSIT-2018-001</x:v>
      </x:c>
      <x:c r="B144" s="24" t="str">
        <x:v>https://www.spa.gov.sa/w643267</x:v>
      </x:c>
      <x:c r="C144" s="24" t="str">
        <x:v>["https://www.spa.gov.sa/1739575"]</x:v>
      </x:c>
      <x:c r="D144" s="24" t="str">
        <x:v>DS-V4R3-SYSTEM-CHRONOLOGY</x:v>
      </x:c>
      <x:c r="E144" s="24" t="n">
        <x:v>1</x:v>
      </x:c>
      <x:c r="F144" s="168" t="str">
        <x:v>Saudi directive and agreement on a US$2 billion deposit to the Central Bank of Yemen (January–March 2018)</x:v>
      </x:c>
      <x:c r="G144" s="168" t="str">
        <x:v>Saudi Press Agency</x:v>
      </x:c>
      <x:c r="H144" s="168"/>
      <x:c r="I144" s="168"/>
      <x:c r="J144" s="168"/>
      <x:c r="K144" s="168" t="str">
        <x:v>CITATION_CARD</x:v>
      </x:c>
      <x:c r="L144" s="168" t="str">
        <x:v>توجيه سعودي واتفاقية بشأن وديعة بقيمة ملياري دولار في البنك المركزي اليمني (يناير–مارس 2018)</x:v>
      </x:c>
      <x:c r="M144" s="168"/>
      <x:c r="N144" s="168"/>
      <x:c r="O144" s="168"/>
      <x:c r="S144" t="str">
        <x:v>NOT_ASSESSED</x:v>
      </x:c>
      <x:c r="Y144" t="str">
        <x:v>وكالة الأنباء السعودية</x:v>
      </x:c>
      <x:c r="Z144" t="str">
        <x:v>News release</x:v>
      </x:c>
      <x:c r="AA144" t="str">
        <x:v>بيان صحفي</x:v>
      </x:c>
    </x:row>
    <x:row r="145">
      <x:c r="A145" s="24" t="str">
        <x:v>SRC-WB-YEM-MEU-2019-12-001</x:v>
      </x:c>
      <x:c r="B145" s="24" t="str">
        <x:v>https://documents1.worldbank.org/curated/en/812731581364170917/pdf/Yemen-Monthly-Economic-Update-December-2019.pdf</x:v>
      </x:c>
      <x:c r="C145" s="24" t="str"/>
      <x:c r="D145" s="24" t="str">
        <x:v>DS-V4R3-SYSTEM-CHRONOLOGY</x:v>
      </x:c>
      <x:c r="E145" s="24" t="n">
        <x:v>1</x:v>
      </x:c>
      <x:c r="F145" s="168" t="str">
        <x:v>Yemen Monthly Economic Update, December 2019</x:v>
      </x:c>
      <x:c r="G145" s="168" t="str">
        <x:v>World Bank</x:v>
      </x:c>
      <x:c r="H145" s="168"/>
      <x:c r="I145" s="168"/>
      <x:c r="J145" s="168"/>
      <x:c r="K145" s="168" t="str">
        <x:v>CITATION_CARD</x:v>
      </x:c>
      <x:c r="L145" s="168" t="str">
        <x:v>التحديث الاقتصادي الشهري لليمن، ديسمبر 2019</x:v>
      </x:c>
      <x:c r="M145" s="168"/>
      <x:c r="N145" s="168"/>
      <x:c r="O145" s="168"/>
      <x:c r="S145" t="str">
        <x:v>NOT_ASSESSED</x:v>
      </x:c>
      <x:c r="Y145" t="str">
        <x:v>البنك الدولي</x:v>
      </x:c>
      <x:c r="Z145" t="str">
        <x:v>Research or policy paper</x:v>
      </x:c>
      <x:c r="AA145" t="str">
        <x:v>ورقة بحثية أو سياساتية</x:v>
      </x:c>
      <x:c r="AB145" t="str">
        <x:v>2019-12</x:v>
      </x:c>
    </x:row>
    <x:row r="146">
      <x:c r="A146" s="24" t="str">
        <x:v>SRC-WB-YEM-ECON-2020-04-001</x:v>
      </x:c>
      <x:c r="B146" s="24" t="str">
        <x:v>https://www.worldbank.org/en/country/yemen/publication/economic-update-april-2020</x:v>
      </x:c>
      <x:c r="C146" s="24" t="str">
        <x:v>["https://documents1.worldbank.org/curated/en/306471584593583827/pdf/Yemen-Monthly-Economic-Update-February-2020.pdf"]</x:v>
      </x:c>
      <x:c r="D146" s="24" t="str">
        <x:v>DS-V4R3-SYSTEM-CHRONOLOGY</x:v>
      </x:c>
      <x:c r="E146" s="24" t="n">
        <x:v>1</x:v>
      </x:c>
      <x:c r="F146" s="168" t="str">
        <x:v>Yemen's Economic Update, April 2020</x:v>
      </x:c>
      <x:c r="G146" s="168" t="str">
        <x:v>World Bank</x:v>
      </x:c>
      <x:c r="H146" s="168"/>
      <x:c r="I146" s="168"/>
      <x:c r="J146" s="168"/>
      <x:c r="K146" s="168" t="str">
        <x:v>CITATION_CARD</x:v>
      </x:c>
      <x:c r="L146" s="168" t="str">
        <x:v>المستجدات الاقتصادية في اليمن، أبريل 2020</x:v>
      </x:c>
      <x:c r="M146" s="168"/>
      <x:c r="N146" s="168"/>
      <x:c r="O146" s="168"/>
      <x:c r="S146" t="str">
        <x:v>NOT_ASSESSED</x:v>
      </x:c>
      <x:c r="Y146" t="str">
        <x:v>البنك الدولي</x:v>
      </x:c>
      <x:c r="Z146" t="str">
        <x:v>Research or policy paper</x:v>
      </x:c>
      <x:c r="AA146" t="str">
        <x:v>ورقة بحثية أو سياساتية</x:v>
      </x:c>
      <x:c r="AB146" t="str">
        <x:v>2020-04-16</x:v>
      </x:c>
    </x:row>
    <x:row r="147">
      <x:c r="A147" s="24" t="str">
        <x:v>SRC-SPA-SAU-CBY-DEPOSIT-2023-001</x:v>
      </x:c>
      <x:c r="B147" s="24" t="str">
        <x:v>https://www.spa.gov.sa/w1857622</x:v>
      </x:c>
      <x:c r="C147" s="24" t="str"/>
      <x:c r="D147" s="24" t="str">
        <x:v>DS-V4R3-SYSTEM-CHRONOLOGY</x:v>
      </x:c>
      <x:c r="E147" s="24" t="n">
        <x:v>2</x:v>
      </x:c>
      <x:c r="F147" s="168" t="str">
        <x:v>Agreement on a US$1 billion Saudi deposit to the Central Bank of Yemen (21 February 2023)</x:v>
      </x:c>
      <x:c r="G147" s="168" t="str">
        <x:v>Saudi Press Agency</x:v>
      </x:c>
      <x:c r="H147" s="168"/>
      <x:c r="I147" s="168"/>
      <x:c r="J147" s="168"/>
      <x:c r="K147" s="168" t="str">
        <x:v>CITATION_CARD</x:v>
      </x:c>
      <x:c r="L147" s="168" t="str">
        <x:v>اتفاقية وديعة سعودية بقيمة مليار دولار في البنك المركزي اليمني (21 فبراير 2023)</x:v>
      </x:c>
      <x:c r="M147" s="168"/>
      <x:c r="N147" s="168"/>
      <x:c r="O147" s="168"/>
      <x:c r="S147" t="str">
        <x:v>NOT_ASSESSED</x:v>
      </x:c>
      <x:c r="Y147" t="str">
        <x:v>وكالة الأنباء السعودية</x:v>
      </x:c>
      <x:c r="Z147" t="str">
        <x:v>News release</x:v>
      </x:c>
      <x:c r="AA147" t="str">
        <x:v>بيان صحفي</x:v>
      </x:c>
    </x:row>
    <x:row r="148">
      <x:c r="A148" s="24" t="str">
        <x:v>SRC-WB-YEM-FRAGMENTATION-2025-001</x:v>
      </x:c>
      <x:c r="B148" s="24" t="str">
        <x:v>https://documents1.worldbank.org/curated/en/099052825174515006/pdf/BOSIB-524dd7c7-d52c-4876-80ed-1e3ea9df2463.pdf</x:v>
      </x:c>
      <x:c r="C148" s="24" t="str">
        <x:v>["https://documents1.worldbank.org/curated/en/099943010292431765/pdf/IDU1f65eefe71d79414f1618a511921980f32f1b.pdf"]</x:v>
      </x:c>
      <x:c r="D148" s="24" t="str">
        <x:v>DS-V4R3-SYSTEM-CHRONOLOGY</x:v>
      </x:c>
      <x:c r="E148" s="24" t="n">
        <x:v>2</x:v>
      </x:c>
      <x:c r="F148" s="168" t="str">
        <x:v>Yemen Financial Market Infrastructure and Inclusion Project (FMIIP, P180708): appraisal document (project approved 17 June 2025)</x:v>
      </x:c>
      <x:c r="G148" s="168" t="str">
        <x:v>World Bank</x:v>
      </x:c>
      <x:c r="H148" s="168"/>
      <x:c r="I148" s="168"/>
      <x:c r="J148" s="168"/>
      <x:c r="K148" s="168" t="str">
        <x:v>CITATION_CARD</x:v>
      </x:c>
      <x:c r="L148" s="168" t="str">
        <x:v>مشروع البنية التحتية للأسواق المالية والشمول المالي في اليمن (FMIIP، P180708): وثيقة التقييم المسبق (أُقرّ المشروع في 17 يونيو 2025)</x:v>
      </x:c>
      <x:c r="M148" s="168"/>
      <x:c r="N148" s="168"/>
      <x:c r="O148" s="168"/>
      <x:c r="S148" t="str">
        <x:v>NOT_ASSESSED</x:v>
      </x:c>
      <x:c r="Y148" t="str">
        <x:v>البنك الدولي</x:v>
      </x:c>
      <x:c r="Z148" t="str">
        <x:v>Project document</x:v>
      </x:c>
      <x:c r="AA148" t="str">
        <x:v>وثيقة مشروع</x:v>
      </x:c>
    </x:row>
    <x:row r="149">
      <x:c r="A149" s="24" t="str">
        <x:v>SRC-SPA-SAU-BUDGET-2026-001</x:v>
      </x:c>
      <x:c r="B149" s="24" t="str">
        <x:v>https://www.spa.gov.sa/en/N2525739</x:v>
      </x:c>
      <x:c r="C149" s="24" t="str">
        <x:v>["https://www.spa.gov.sa/N2525728"]</x:v>
      </x:c>
      <x:c r="D149" s="24" t="str">
        <x:v>DS-V4R3-SYSTEM-CHRONOLOGY</x:v>
      </x:c>
      <x:c r="E149" s="24" t="n">
        <x:v>1</x:v>
      </x:c>
      <x:c r="F149" s="168" t="str">
        <x:v>Agreement between the Saudi Development and Reconstruction Program for Yemen (SDRPY) and Yemen's Ministry of Finance on SAR1.3 billion in economic support (1 March 2026)</x:v>
      </x:c>
      <x:c r="G149" s="168" t="str">
        <x:v>Saudi Press Agency</x:v>
      </x:c>
      <x:c r="H149" s="168"/>
      <x:c r="I149" s="168"/>
      <x:c r="J149" s="168"/>
      <x:c r="K149" s="168" t="str">
        <x:v>CITATION_CARD</x:v>
      </x:c>
      <x:c r="L149" s="168" t="str">
        <x:v>اتفاقية بين البرنامج السعودي لتنمية وإعمار اليمن (SDRPY) ووزارة المالية اليمنية بشأن دعم اقتصادي بقيمة 1.3 مليار ريال سعودي (1 مارس 2026)</x:v>
      </x:c>
      <x:c r="M149" s="168"/>
      <x:c r="N149" s="168"/>
      <x:c r="O149" s="168"/>
      <x:c r="S149" t="str">
        <x:v>NOT_ASSESSED</x:v>
      </x:c>
      <x:c r="Y149" t="str">
        <x:v>وكالة الأنباء السعودية</x:v>
      </x:c>
      <x:c r="Z149" t="str">
        <x:v>News release</x:v>
      </x:c>
      <x:c r="AA149" t="str">
        <x:v>بيان صحفي</x:v>
      </x:c>
    </x:row>
    <x:row r="150">
      <x:c r="A150" s="24" t="str">
        <x:v>SRC-OECD-INFE-2023</x:v>
      </x:c>
      <x:c r="B150" s="24" t="str">
        <x:v>https://www.oecd.org/content/dam/oecd/en/publications/reports/2023/12/oecd-infe-2023-international-survey-of-adult-financial-literacy_8ce94e2c/56003a32-en.pdf</x:v>
      </x:c>
      <x:c r="C150" s="24" t="str"/>
      <x:c r="D150" s="24" t="str">
        <x:v>OECD/INFE method and benchmarks</x:v>
      </x:c>
      <x:c r="E150" s="24" t="str"/>
      <x:c r="F150" s="168" t="str">
        <x:v>OECD/INFE 2023 International Survey of Adult Financial Literacy</x:v>
      </x:c>
      <x:c r="G150" s="168" t="str">
        <x:v>OECD</x:v>
      </x:c>
      <x:c r="H150" s="168" t="str">
        <x:v>Measurement methods and international references</x:v>
      </x:c>
      <x:c r="I150"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50" s="168" t="str">
        <x:v>The international report does not by itself resolve Yemen-specific sampling, coverage or currentness questions, and it does not replace the underlying Yemen survey evidence or establish the situation of Yemen's population in 2026.</x:v>
      </x:c>
      <x:c r="K150" s="168" t="str">
        <x:v>FULL_PUBLIC_CARD</x:v>
      </x:c>
      <x:c r="L150" s="168" t="str">
        <x:v>المسح الدولي OECD/INFE لعام 2023 حول الثقافة المالية للبالغين</x:v>
      </x:c>
      <x:c r="M150" s="168" t="str">
        <x:v>مناهج القياس ومراجع دولية</x:v>
      </x:c>
      <x:c r="N150"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50"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50" t="str">
        <x:v>NOT_ASSESSED</x:v>
      </x:c>
      <x:c r="W150" t="str">
        <x:v>survey</x:v>
      </x:c>
      <x:c r="Y150" t="str">
        <x:v>منظمة التعاون الاقتصادي والتنمية</x:v>
      </x:c>
      <x:c r="Z150" t="str">
        <x:v>Survey dataset or indicator</x:v>
      </x:c>
      <x:c r="AA150" t="str">
        <x:v>مسح أو مؤشر</x:v>
      </x:c>
      <x:c r="AB150" t="str">
        <x:v>2023</x:v>
      </x:c>
    </x:row>
    <x:row r="151">
      <x:c r="A151" s="142" t="str">
        <x:v>SRC-WB-FINDEX-2025-EDITION</x:v>
      </x:c>
      <x:c r="B151" s="142" t="str">
        <x:v>https://www.worldbank.org/en/publication/globalfindex/download-data</x:v>
      </x:c>
      <x:c r="C151" s="142" t="str">
        <x:v>["https://www.worldbank.org/en/publication/globalfindex/report"]</x:v>
      </x:c>
      <x:c r="D151" s="142" t="str">
        <x:v>DS-FINDEX-CURRENTNESS</x:v>
      </x:c>
      <x:c r="E151" s="142" t="n">
        <x:v>1</x:v>
      </x:c>
      <x:c r="F151" s="168" t="str">
        <x:v>The Global Findex Database 2025: report, data and methodology</x:v>
      </x:c>
      <x:c r="G151" s="168" t="str">
        <x:v>World Bank</x:v>
      </x:c>
      <x:c r="H151" s="168" t="str">
        <x:v>Measurement methods and international references</x:v>
      </x:c>
      <x:c r="I151" s="168" t="str">
        <x:v>Provides the current global demand-side financial-inclusion measurement framework, report, data resources and methodology used to interpret currentness, definitions and cross-country measurement practice.</x:v>
      </x:c>
      <x:c r="J151" s="168" t="str">
        <x:v>The 2025 edition does not create a newer Yemen population estimate where no comparable Yemen observation exists; Yemen's available representative observation retains its own wave and fieldwork dates.</x:v>
      </x:c>
      <x:c r="K151" s="168" t="str">
        <x:v>FULL_PUBLIC_CARD</x:v>
      </x:c>
      <x:c r="L151" s="168" t="str">
        <x:v>قاعدة بيانات المؤشر العالمي للشمول المالي (Global Findex) 2025: التقرير والبيانات والمنهجية</x:v>
      </x:c>
      <x:c r="M151" s="168" t="str">
        <x:v>مناهج القياس ومراجع دولية</x:v>
      </x:c>
      <x:c r="N151"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51"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51" t="str">
        <x:v>NOT_ASSESSED</x:v>
      </x:c>
      <x:c r="Y151" t="str">
        <x:v>البنك الدولي</x:v>
      </x:c>
      <x:c r="Z151" t="str">
        <x:v>Data portal</x:v>
      </x:c>
      <x:c r="AA151" t="str">
        <x:v>بوابة بيانات</x:v>
      </x:c>
      <x:c r="AB151" t="str">
        <x:v>2025</x:v>
      </x:c>
    </x:row>
    <x:row r="152">
      <x:c r="A152" s="142" t="str">
        <x:v>SRC-WB-FMIIP-P180708</x:v>
      </x:c>
      <x:c r="B152" s="142" t="str">
        <x:v>https://maps.worldbank.org/projects/wb/pid/P180708?status=active</x:v>
      </x:c>
      <x:c r="C152" s="142" t="str">
        <x:v>["https://www.worldbank.org/en/news/press-release/2025/06/17/world-bank-approves-us-30-million-to-support-financial-inclusion-and-education-in-yemen", "https://documents1.worldbank.org/curated/en/099092225124020645/pdf/P180708-5de900d7-912a-4077-a4f4-f1664228ab67.pdf"]</x:v>
      </x:c>
      <x:c r="D152" s="142" t="str">
        <x:v>DS-FMIIP-PROJECT-RESULTS</x:v>
      </x:c>
      <x:c r="E152" s="142" t="n">
        <x:v>24</x:v>
      </x:c>
      <x:c r="F152" s="168" t="str">
        <x:v>Yemen Financial Market Infrastructure and Inclusion Project (FMIIP, P180708): project record and results framework (2025–2030)</x:v>
      </x:c>
      <x:c r="G152" s="168" t="str">
        <x:v>World Bank</x:v>
      </x:c>
      <x:c r="H152" s="168" t="str">
        <x:v>Programmes and projects in Yemen</x:v>
      </x:c>
      <x:c r="I152" s="168" t="str">
        <x:v>Official World Bank project record and results framework for FMIIP, including commitment, dates, development objective and the baseline/target indicators used to distinguish implementation outputs from measured outcomes.</x:v>
      </x:c>
      <x:c r="J152" s="168" t="str">
        <x:v>Approval, commitment amounts and project targets are not observed results and do not establish nationwide operational coverage or financial-inclusion prevalence.</x:v>
      </x:c>
      <x:c r="K152" s="168" t="str">
        <x:v>FULL_PUBLIC_CARD</x:v>
      </x:c>
      <x:c r="L152" s="168" t="str">
        <x:v>مشروع البنية التحتية للأسواق المالية والشمول المالي في اليمن (FMIIP، P180708): سجل المشروع وإطار النتائج (2025–2030)</x:v>
      </x:c>
      <x:c r="M152" s="168" t="str">
        <x:v>البرامج والمشروعات في اليمن</x:v>
      </x:c>
      <x:c r="N152"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52" s="168" t="str">
        <x:v>ليست الموافقة على المشروع أو قيمة الالتزام أو المستهدفات نتائجَ مرصودة، ولا تثبت تغطية تشغيلية على مستوى البلاد أو معدلًا للشمول المالي.</x:v>
      </x:c>
      <x:c r="S152" t="str">
        <x:v>NOT_ASSESSED</x:v>
      </x:c>
      <x:c r="Y152" t="str">
        <x:v>البنك الدولي</x:v>
      </x:c>
      <x:c r="Z152" t="str">
        <x:v>Project document</x:v>
      </x:c>
      <x:c r="AA152" t="str">
        <x:v>وثيقة مشروع</x:v>
      </x:c>
    </x:row>
    <x:row r="153">
      <x:c r="A153" t="str">
        <x:v>SRC-CGAP-ARAB-MEAS-2017-001</x:v>
      </x:c>
      <x:c r="B153" t="str">
        <x:v>https://www.cgap.org/research/publication/financial-inclusion-measurement-in-arab-world</x:v>
      </x:c>
      <x:c r="C153"/>
      <x:c r="D153" t="str">
        <x:v>RESOURCE_LIBRARY_ONLY__MEASUREMENT_METHOD</x:v>
      </x:c>
      <x:c r="E153" t="n">
        <x:v>0</x:v>
      </x:c>
      <x:c r="F153" s="168" t="str">
        <x:v>Financial Inclusion Measurement in the Arab World</x:v>
      </x:c>
      <x:c r="G153" s="168" t="str">
        <x:v>CGAP</x:v>
      </x:c>
      <x:c r="H153" s="168" t="str">
        <x:v>Measurement methods and international references</x:v>
      </x:c>
      <x:c r="I153" s="168" t="str">
        <x:v>Useful for framing measurement choices and comparability questions in Arab financial-inclusion systems.</x:v>
      </x:c>
      <x:c r="J153" s="168" t="str">
        <x:v>Does not provide a Yemen population estimate or update a Yemen observation.</x:v>
      </x:c>
      <x:c r="K153" s="168" t="str">
        <x:v>FULL_PUBLIC_CARD</x:v>
      </x:c>
      <x:c r="L153" s="168" t="str">
        <x:v>قياس الشمول المالي في العالم العربي</x:v>
      </x:c>
      <x:c r="M153" s="168" t="str">
        <x:v>مناهج القياس ومراجع دولية</x:v>
      </x:c>
      <x:c r="N153" s="168" t="str">
        <x:v>يفيد في تأطير خيارات القياس وأسئلة قابلية المقارنة في منظومات الشمول المالي العربية.</x:v>
      </x:c>
      <x:c r="O153" s="168" t="str">
        <x:v>لا يقدم تقديرًا سكانيًا لليمن ولا يحدّث أي مشاهدة يمنية.</x:v>
      </x:c>
      <x:c r="S153" t="str">
        <x:v>NOT_ASSESSED</x:v>
      </x:c>
      <x:c r="Y153" t="str">
        <x:v>المجموعة الاستشارية لمساعدة الفقراء (CGAP)</x:v>
      </x:c>
      <x:c r="Z153" t="str">
        <x:v>Research or policy paper</x:v>
      </x:c>
      <x:c r="AA153" t="str">
        <x:v>ورقة بحثية أو سياساتية</x:v>
      </x:c>
    </x:row>
    <x:row r="154">
      <x:c r="A154" t="str">
        <x:v>SRC-OECD-YOUTH-DFI-2020-001</x:v>
      </x:c>
      <x:c r="B154" t="str">
        <x:v>https://www.oecd.org/en/publications/advancing-the-digital-financial-inclusion-of-youth_21b829d8-en.html</x:v>
      </x:c>
      <x:c r="C154"/>
      <x:c r="D154" t="str">
        <x:v>RESOURCE_LIBRARY_ONLY__YOUTH_DIGITAL_INCLUSION</x:v>
      </x:c>
      <x:c r="E154" t="n">
        <x:v>0</x:v>
      </x:c>
      <x:c r="F154" s="168" t="str">
        <x:v>Advancing the Digital Financial Inclusion of Youth</x:v>
      </x:c>
      <x:c r="G154" s="168" t="str">
        <x:v>OECD</x:v>
      </x:c>
      <x:c r="H154" s="168" t="str">
        <x:v>Measurement methods and international references</x:v>
      </x:c>
      <x:c r="I154" s="168" t="str">
        <x:v>Useful for designing youth-focused digital-inclusion measurement and interpreting adoption barriers.</x:v>
      </x:c>
      <x:c r="J154" s="168" t="str">
        <x:v>Does not establish a Yemen youth financial-inclusion rate or current Yemen outcome.</x:v>
      </x:c>
      <x:c r="K154" s="168" t="str">
        <x:v>FULL_PUBLIC_CARD</x:v>
      </x:c>
      <x:c r="L154" s="168" t="str">
        <x:v>تعزيز الشمول المالي الرقمي للشباب</x:v>
      </x:c>
      <x:c r="M154" s="168" t="str">
        <x:v>مناهج القياس ومراجع دولية</x:v>
      </x:c>
      <x:c r="N154" s="168" t="str">
        <x:v>يفيد في تصميم قياس يركز على الشمول الرقمي للشباب وفهم عوائق التبني.</x:v>
      </x:c>
      <x:c r="O154" s="168" t="str">
        <x:v>لا يثبت معدلًا للشمول المالي لدى شباب اليمن ولا نتيجة يمنية راهنة.</x:v>
      </x:c>
      <x:c r="S154" t="str">
        <x:v>NOT_ASSESSED</x:v>
      </x:c>
      <x:c r="Y154" t="str">
        <x:v>منظمة التعاون الاقتصادي والتنمية</x:v>
      </x:c>
      <x:c r="Z154" t="str">
        <x:v>Research or policy paper</x:v>
      </x:c>
      <x:c r="AA154" t="str">
        <x:v>ورقة بحثية أو سياساتية</x:v>
      </x:c>
    </x:row>
    <x:row r="155">
      <x:c r="A155" t="str">
        <x:v>SRC-CBY-AR2022-001</x:v>
      </x:c>
      <x:c r="B155" t="str">
        <x:v>https://cby-ye.com/files/64a1f54c878e1.pdf</x:v>
      </x:c>
      <x:c r="C155"/>
      <x:c r="D155" t="str">
        <x:v>DS-K04-BANK-VALUATION-RECON,173_CBY_ANNUAL_VINTAGES</x:v>
      </x:c>
      <x:c r="E155" t="n">
        <x:v>0</x:v>
      </x:c>
      <x:c r="F155" t="str">
        <x:v>Annual Report 2022</x:v>
      </x:c>
      <x:c r="G155" t="str">
        <x:v>Central Bank of Yemen — Aden</x:v>
      </x:c>
      <x:c r="H155" t="str">
        <x:v>Official Yemen documents and statistics</x:v>
      </x:c>
      <x:c r="I155" t="str">
        <x:v>Provides an earlier edition of the annual report, needed to test whether changes in later reports reflect a change in valuation basis or a restatement rather than economic movement alone.</x:v>
      </x:c>
      <x:c r="J155" t="str">
        <x:v>Does not by itself establish current banking-system conditions, solvency, operating reach or a financial-inclusion outcome.</x:v>
      </x:c>
      <x:c r="K155" t="str">
        <x:v>FULL_PUBLIC_CARD</x:v>
      </x:c>
      <x:c r="L155" t="str">
        <x:v>التقرير السنوي 2022</x:v>
      </x:c>
      <x:c r="M155" t="str">
        <x:v>الوثائق والإحصاءات الرسمية في اليمن</x:v>
      </x:c>
      <x:c r="N155"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5" t="str">
        <x:v>لا يثبت بذاته أوضاع القطاع المصرفي الحالية أو الملاءة أو النطاق التشغيلي أو نتيجة للشمول المالي.</x:v>
      </x:c>
      <x:c r="S155" t="str">
        <x:v>NOT_ASSESSED</x:v>
      </x:c>
      <x:c r="Y155" t="str">
        <x:v>البنك المركزي اليمني – عدن</x:v>
      </x:c>
      <x:c r="Z155" t="str">
        <x:v>Annual report</x:v>
      </x:c>
      <x:c r="AA155" t="str">
        <x:v>تقرير سنوي</x:v>
      </x:c>
    </x:row>
    <x:row r="156">
      <x:c r="A156" t="str">
        <x:v>SRC-CBY-AR2023-001</x:v>
      </x:c>
      <x:c r="B156" t="str">
        <x:v>https://www.english.cby-ye.com/files/66e7e260be038.pdf</x:v>
      </x:c>
      <x:c r="C156"/>
      <x:c r="D156" t="str">
        <x:v>DS-K04-BANK-VALUATION-RECON,173_CBY_ANNUAL_VINTAGES</x:v>
      </x:c>
      <x:c r="E156" t="n">
        <x:v>0</x:v>
      </x:c>
      <x:c r="F156" t="str">
        <x:v>Annual Report 2023</x:v>
      </x:c>
      <x:c r="G156" t="str">
        <x:v>Central Bank of Yemen — Aden</x:v>
      </x:c>
      <x:c r="H156" t="str">
        <x:v>Official Yemen documents and statistics</x:v>
      </x:c>
      <x:c r="I156" t="str">
        <x:v>Documents the 2023 edition of the annual report, including the valuation-basis context needed to interpret restated banking positions across annual reports.</x:v>
      </x:c>
      <x:c r="J156" t="str">
        <x:v>Does not by itself prove that higher nominal banking positions represent real growth, broader credit reach, improved solvency or financial inclusion.</x:v>
      </x:c>
      <x:c r="K156" t="str">
        <x:v>FULL_PUBLIC_CARD</x:v>
      </x:c>
      <x:c r="L156" t="str">
        <x:v>التقرير السنوي 2023</x:v>
      </x:c>
      <x:c r="M156" t="str">
        <x:v>الوثائق والإحصاءات الرسمية في اليمن</x:v>
      </x:c>
      <x:c r="N156" t="str">
        <x:v>يوثق إصدار عام 2023 من التقرير السنوي، بما في ذلك سياق أساس التقييم اللازم لتفسير إعادة عرض المراكز المصرفية عبر التقارير السنوية.</x:v>
      </x:c>
      <x:c r="O156" t="str">
        <x:v>لا يثبت بذاته أن ارتفاع القيم الاسمية للمراكز المصرفية يمثل نموًا حقيقيًا أو اتساعًا في الوصول إلى الائتمان أو تحسنًا في الملاءة أو الشمول المالي.</x:v>
      </x:c>
      <x:c r="S156" t="str">
        <x:v>NOT_ASSESSED</x:v>
      </x:c>
      <x:c r="Y156" t="str">
        <x:v>البنك المركزي اليمني – عدن</x:v>
      </x:c>
      <x:c r="Z156" t="str">
        <x:v>Annual report</x:v>
      </x:c>
      <x:c r="AA156" t="str">
        <x:v>تقرير سنوي</x:v>
      </x:c>
    </x:row>
    <x:row r="157">
      <x:c r="A157" t="str">
        <x:v>SRC-CBY-ENF-17-2026</x:v>
      </x:c>
      <x:c r="B157" t="str">
        <x:v>https://cby-ye.com/news/973</x:v>
      </x:c>
      <x:c r="C157" t="str">
        <x:v>["https://www.cby-ye.com/files/6aabe46e975f1.pdf"]</x:v>
      </x:c>
      <x:c r="D157" t="str">
        <x:v>DS-PROVIDER-MASTER,DS-PROVIDER-STATUS-EVENTS</x:v>
      </x:c>
      <x:c r="E157" t="n">
        <x:v>2</x:v>
      </x:c>
      <x:c r="F157" t="str">
        <x:v>Governor's Decision No. 17 of 2026 on the licence suspension and closure of an exchange company (17 September 2026)</x:v>
      </x:c>
      <x:c r="G157" t="str">
        <x:v>Central Bank of Yemen — Aden</x:v>
      </x:c>
      <x:c r="H157"/>
      <x:c r="I157"/>
      <x:c r="J157"/>
      <x:c r="K157" t="str">
        <x:v>CITATION_CARD</x:v>
      </x:c>
      <x:c r="L157" t="str">
        <x:v>قرار المحافظ رقم (17) لسنة 2026 بشأن إيقاف ترخيص شركة صرافة وإغلاق مقرها (17 سبتمبر 2026)</x:v>
      </x:c>
      <x:c r="M157"/>
      <x:c r="N157"/>
      <x:c r="O157"/>
      <x:c r="S157" t="str">
        <x:v>NOT_ASSESSED</x:v>
      </x:c>
      <x:c r="V157" t="str">
        <x:v>2026-10-03</x:v>
      </x:c>
      <x:c r="W157" t="str">
        <x:v>decision/enforcement</x:v>
      </x:c>
      <x:c r="X157" t="str">
        <x:v>status event</x:v>
      </x:c>
      <x:c r="Y157" t="str">
        <x:v>البنك المركزي اليمني – عدن</x:v>
      </x:c>
      <x:c r="Z157" t="str">
        <x:v>Enforcement decision</x:v>
      </x:c>
      <x:c r="AA157" t="str">
        <x:v>قرار إنفاذ</x:v>
      </x:c>
      <x:c r="AB157" t="str">
        <x:v>2026-09-17</x:v>
      </x:c>
    </x:row>
    <x:row r="158">
      <x:c r="A158" t="str">
        <x:v>SRC-BIS-CPMI-FPS-RTGS-2021-001</x:v>
      </x:c>
      <x:c r="B158" t="str">
        <x:v>https://www.bis.org/publications/developments-retail-fast-payments-and-implications-rtgs-systems</x:v>
      </x:c>
      <x:c r="C158"/>
      <x:c r="D158" t="str">
        <x:v>RESOURCE_LIBRARY_ONLY__FPS_RTGS_IMPLEMENTATION</x:v>
      </x:c>
      <x:c r="E158" t="n">
        <x:v>0</x:v>
      </x:c>
      <x:c r="F158" t="str">
        <x:v>Developments in Retail Fast Payments and Implications for RTGS Systems</x:v>
      </x:c>
      <x:c r="G158" t="str">
        <x:v>Committee on Payments and Market Infrastructures (CPMI), Bank for International Settlements</x:v>
      </x:c>
      <x:c r="H158" t="str">
        <x:v>Payment-system design and digital payments</x:v>
      </x:c>
      <x:c r="I158" t="str">
        <x:v>Clarifies how retail fast-payment systems relate to RTGS, including central-bank roles, settlement design, operating hours, availability and reliability — useful for interpreting Yemen's separate FPS and RTGS components without conflating them.</x:v>
      </x:c>
      <x:c r="J158" t="str">
        <x:v>Cross-country design evidence does not establish Yemen implementation status, architecture choices, adoption, reliability or inclusion outcomes.</x:v>
      </x:c>
      <x:c r="K158" t="str">
        <x:v>FULL_PUBLIC_CARD</x:v>
      </x:c>
      <x:c r="L158" t="str">
        <x:v>تطورات المدفوعات السريعة للأفراد وانعكاساتها على أنظمة التسوية الإجمالية الفورية</x:v>
      </x:c>
      <x:c r="M158" t="str">
        <x:v>تصميم أنظمة الدفع والمدفوعات الرقمية</x:v>
      </x:c>
      <x:c r="N158"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8" t="str">
        <x:v>لا تثبت الأدلة المقارنة بين البلدان حالة التنفيذ في اليمن أو خيارات البنية التقنية أو التبني أو الموثوقية أو نتائج الشمول المالي.</x:v>
      </x:c>
      <x:c r="S158" t="str">
        <x:v>NOT_ASSESSED</x:v>
      </x:c>
      <x:c r="Y158" t="str">
        <x:v>لجنة المدفوعات والبنى التحتية للأسواق (CPMI)، بنك التسويات الدولية</x:v>
      </x:c>
      <x:c r="Z158" t="str">
        <x:v>Research or policy paper</x:v>
      </x:c>
      <x:c r="AA158" t="str">
        <x:v>ورقة بحثية أو سياساتية</x:v>
      </x:c>
    </x:row>
    <x:row r="159">
      <x:c r="A159" t="str">
        <x:v>SRC-BIS-CPMI-PAFI-FINTECH-2020-001</x:v>
      </x:c>
      <x:c r="B159" t="str">
        <x:v>https://www.bis.org/publications/payment-aspects-financial-inclusion-fintech-era</x:v>
      </x:c>
      <x:c r="C159"/>
      <x:c r="D159" t="str">
        <x:v>RESOURCE_LIBRARY_ONLY__PAFI_FINTECH</x:v>
      </x:c>
      <x:c r="E159" t="n">
        <x:v>0</x:v>
      </x:c>
      <x:c r="F159" t="str">
        <x:v>Payment Aspects of Financial Inclusion in the Fintech Era</x:v>
      </x:c>
      <x:c r="G159" t="str">
        <x:v>Committee on Payments and Market Infrastructures (CPMI) and World Bank Group</x:v>
      </x:c>
      <x:c r="H159" t="str">
        <x:v>Payment-system design and digital payments</x:v>
      </x:c>
      <x:c r="I159" t="str">
        <x:v>Extends the PAFI framework for the fintech era and is useful for separating access to safe transaction accounts, frequent use, enabling payment infrastructure and the risks that accompany digitalisation.</x:v>
      </x:c>
      <x:c r="J159" t="str">
        <x:v>A global framework does not establish a Yemen rate, a Yemen causal effect or the success of any specific digital-finance project.</x:v>
      </x:c>
      <x:c r="K159" t="str">
        <x:v>FULL_PUBLIC_CARD</x:v>
      </x:c>
      <x:c r="L159" t="str">
        <x:v>جوانب المدفوعات في الشمول المالي في عصر التكنولوجيا المالية</x:v>
      </x:c>
      <x:c r="M159" t="str">
        <x:v>تصميم أنظمة الدفع والمدفوعات الرقمية</x:v>
      </x:c>
      <x:c r="N159"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9" t="str">
        <x:v>لا يثبت الإطار العالمي معدلًا لليمن أو أثرًا سببيًا في اليمن أو نجاح أي مشروع محدد للتمويل الرقمي.</x:v>
      </x:c>
      <x:c r="S159" t="str">
        <x:v>NOT_ASSESSED</x:v>
      </x:c>
      <x:c r="Y159" t="str">
        <x:v>لجنة المدفوعات والبنى التحتية للأسواق (CPMI) ومجموعة البنك الدولي</x:v>
      </x:c>
      <x:c r="Z159" t="str">
        <x:v>Research or policy paper</x:v>
      </x:c>
      <x:c r="AA159" t="str">
        <x:v>ورقة بحثية أو سياساتية</x:v>
      </x:c>
    </x:row>
    <x:row r="160">
      <x:c r="A160" t="str">
        <x:v>SRC-WB-FASTT-FPS-2021-001</x:v>
      </x:c>
      <x:c r="B160" t="str">
        <x:v>https://fastpayments.worldbank.org/sites/default/files/2021-11/Fast%20Payment%20Flagship_Final_Nov%201.pdf</x:v>
      </x:c>
      <x:c r="C160" t="str">
        <x:v>["https://fastpayments.worldbank.org/resources"]</x:v>
      </x:c>
      <x:c r="D160" t="str">
        <x:v>RESOURCE_LIBRARY_ONLY__FPS_IMPLEMENTATION</x:v>
      </x:c>
      <x:c r="E160" t="n">
        <x:v>0</x:v>
      </x:c>
      <x:c r="F160" t="str">
        <x:v>Considerations and Lessons for the Development and Implementation of Fast Payment Systems</x:v>
      </x:c>
      <x:c r="G160" t="str">
        <x:v>World Bank</x:v>
      </x:c>
      <x:c r="H160" t="str">
        <x:v>Payment-system design and digital payments</x:v>
      </x:c>
      <x:c r="I160" t="str">
        <x:v>Provides a practical FPS lifecycle from conceptualisation through design, implementation, go-live and scale, covering use cases, participants, pricing, governance, interoperability, reliability and user adoption.</x:v>
      </x:c>
      <x:c r="J160" t="str">
        <x:v>It is an implementation reference, not a prescription for Yemen and not evidence that Yemen's FPS has reached any specific lifecycle stage or performance level.</x:v>
      </x:c>
      <x:c r="K160" t="str">
        <x:v>FULL_PUBLIC_CARD</x:v>
      </x:c>
      <x:c r="L160" t="str">
        <x:v>اعتبارات ودروس لتطوير أنظمة الدفع السريع وتنفيذها</x:v>
      </x:c>
      <x:c r="M160" t="str">
        <x:v>تصميم أنظمة الدفع والمدفوعات الرقمية</x:v>
      </x:c>
      <x:c r="N160"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60" t="str">
        <x:v>هو مرجع للتنفيذ وليس وصفة إلزامية لليمن، ولا يثبت أن نظام الدفع السريع في اليمن بلغ مرحلة محددة من دورة الحياة أو مستوى أداء بعينه.</x:v>
      </x:c>
      <x:c r="S160" t="str">
        <x:v>NOT_ASSESSED</x:v>
      </x:c>
      <x:c r="Y160" t="str">
        <x:v>البنك الدولي</x:v>
      </x:c>
      <x:c r="Z160" t="str">
        <x:v>Method or standard</x:v>
      </x:c>
      <x:c r="AA160" t="str">
        <x:v>منهج أو معيار</x:v>
      </x:c>
    </x:row>
    <x:row r="161">
      <x:c r="A161" t="str">
        <x:v>SRC-WB-G2PX-001</x:v>
      </x:c>
      <x:c r="B161" t="str">
        <x:v>https://www.worldbank.org/en/programs/g2px/overview</x:v>
      </x:c>
      <x:c r="C161" t="str">
        <x:v>["https://www.worldbank.org/en/programs/g2px/knowledge"]</x:v>
      </x:c>
      <x:c r="D161" t="str">
        <x:v>RESOURCE_LIBRARY_ONLY__G2P_DIGITISATION</x:v>
      </x:c>
      <x:c r="E161" t="n">
        <x:v>0</x:v>
      </x:c>
      <x:c r="F161" t="str">
        <x:v>G2Px: government-to-person payments — overview and knowledge resources</x:v>
      </x:c>
      <x:c r="G161" t="str">
        <x:v>World Bank</x:v>
      </x:c>
      <x:c r="H161" t="str">
        <x:v>Payment-system design and digital payments</x:v>
      </x:c>
      <x:c r="I161" t="str">
        <x:v>Useful for designing questions around responsible digitisation of government and social payments: recipient experience, cash-out cost and distance, complaint handling, account access and continued use after payment.</x:v>
      </x:c>
      <x:c r="J161" t="str">
        <x:v>Global G2P practice does not establish durable post-transfer use or any Yemen programme outcome.</x:v>
      </x:c>
      <x:c r="K161" t="str">
        <x:v>FULL_PUBLIC_CARD</x:v>
      </x:c>
      <x:c r="L161" t="str">
        <x:v>G2Px: المدفوعات من الحكومة إلى الأفراد — نظرة عامة وموارد معرفية</x:v>
      </x:c>
      <x:c r="M161" t="str">
        <x:v>تصميم أنظمة الدفع والمدفوعات الرقمية</x:v>
      </x:c>
      <x:c r="N161"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61" t="str">
        <x:v>لا تثبت الخبرات العالمية لمدفوعات G2P استمرار الاستخدام بعد التحويل ولا أي نتيجة لبرنامج يمني.</x:v>
      </x:c>
      <x:c r="S161" t="str">
        <x:v>NOT_ASSESSED</x:v>
      </x:c>
      <x:c r="Y161" t="str">
        <x:v>البنك الدولي</x:v>
      </x:c>
      <x:c r="Z161" t="str">
        <x:v>Event or programme page</x:v>
      </x:c>
      <x:c r="AA161" t="str">
        <x:v>صفحة فعالية أو برنامج</x:v>
      </x:c>
    </x:row>
    <x:row r="162">
      <x:c r="A162" t="str">
        <x:v>SRC-WB-YEM-CPF-2026-2030-001</x:v>
      </x:c>
      <x:c r="B162" t="str">
        <x:v>https://documents.worldbank.org/en/publication/documents-reports/documentdetail/099051226123536066</x:v>
      </x:c>
      <x:c r="C162" t="str">
        <x:v>["https://www.worldbank.org/ext/en/country/yemen/cpf"]</x:v>
      </x:c>
      <x:c r="D162" t="str">
        <x:v>RESOURCE_LIBRARY_ONLY__CURRENT_YEMEN_DEVELOPMENT_CONTEXT</x:v>
      </x:c>
      <x:c r="E162" t="n">
        <x:v>0</x:v>
      </x:c>
      <x:c r="F162" t="str">
        <x:v>Republic of Yemen: Country Partnership Framework for FY2026–FY2030</x:v>
      </x:c>
      <x:c r="G162" t="str">
        <x:v>World Bank Group</x:v>
      </x:c>
      <x:c r="H162" t="str">
        <x:v>Yemen’s economy and policy context</x:v>
      </x:c>
      <x:c r="I162" t="str">
        <x:v>Sets out the World Bank Group's current country strategy for Yemen on livelihoods, jobs, women’s economic participation, private-sector development and institutional strengthening, helping place financial-inclusion evidence inside the wider development programme.</x:v>
      </x:c>
      <x:c r="J162" t="str">
        <x:v>A country strategy and approved operations are not observed financial-inclusion outcomes and do not establish implementation results.</x:v>
      </x:c>
      <x:c r="K162" t="str">
        <x:v>FULL_PUBLIC_CARD</x:v>
      </x:c>
      <x:c r="L162" t="str">
        <x:v>الجمهورية اليمنية: إطار الشراكة القُطرية للسنوات المالية 2026–2030</x:v>
      </x:c>
      <x:c r="M162" t="str">
        <x:v>السياق الاقتصادي والسياساتي في اليمن</x:v>
      </x:c>
      <x:c r="N162"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62" t="str">
        <x:v>لا تمثل الاستراتيجية القُطرية والعمليات المعتمدة نتائج مرصودة للشمول المالي، ولا تثبت تحقق نتائج التنفيذ.</x:v>
      </x:c>
      <x:c r="S162" t="str">
        <x:v>NOT_ASSESSED</x:v>
      </x:c>
      <x:c r="Y162" t="str">
        <x:v>مجموعة البنك الدولي</x:v>
      </x:c>
      <x:c r="Z162" t="str">
        <x:v>Research or policy paper</x:v>
      </x:c>
      <x:c r="AA162" t="str">
        <x:v>ورقة بحثية أو سياساتية</x:v>
      </x:c>
    </x:row>
    <x:row r="163">
      <x:c r="A163" t="str">
        <x:v>SRC-WB-YEM-CNL-2026-001</x:v>
      </x:c>
      <x:c r="B163" t="str">
        <x:v>https://www.worldbank.org/en/news/press-release/2026/06/30/improving-human-capital-and-building-livelihoods-for-vulnerable-families-in-yemen</x:v>
      </x:c>
      <x:c r="C163"/>
      <x:c r="D163" t="str">
        <x:v>RESOURCE_LIBRARY_ONLY__CURRENT_YEMEN_CASH_IDENTITY_CONTEXT</x:v>
      </x:c>
      <x:c r="E163" t="n">
        <x:v>0</x:v>
      </x:c>
      <x:c r="F163" t="str">
        <x:v>Cash for Nutrition and Livelihoods Project, Yemen (approved 30 June 2026)</x:v>
      </x:c>
      <x:c r="G163" t="str">
        <x:v>World Bank</x:v>
      </x:c>
      <x:c r="H163" t="str">
        <x:v>Programmes and projects in Yemen</x:v>
      </x:c>
      <x:c r="I163" t="str">
        <x:v>A current programme reference linking cash support, livelihoods, village savings and loan associations, and identity documentation; useful for asking what happens between programme delivery, formal onboarding and durable financial use.</x:v>
      </x:c>
      <x:c r="J163" t="str">
        <x:v>Project targets, beneficiary counts, identity-document support or VSLA participation do not establish national financial-inclusion prevalence or persistent bank/e-wallet use.</x:v>
      </x:c>
      <x:c r="K163" t="str">
        <x:v>FULL_PUBLIC_CARD</x:v>
      </x:c>
      <x:c r="L163" t="str">
        <x:v>مشروع النقد مقابل التغذية وسبل العيش في اليمن (أُقرّ في 30 يونيو 2026)</x:v>
      </x:c>
      <x:c r="M163" t="str">
        <x:v>البرامج والمشروعات في اليمن</x:v>
      </x:c>
      <x:c r="N163"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63"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63" t="str">
        <x:v>NOT_ASSESSED</x:v>
      </x:c>
      <x:c r="Y163" t="str">
        <x:v>البنك الدولي</x:v>
      </x:c>
      <x:c r="Z163" t="str">
        <x:v>News release</x:v>
      </x:c>
      <x:c r="AA163" t="str">
        <x:v>بيان صحفي</x:v>
      </x:c>
    </x:row>
    <x:row r="164">
      <x:c r="A164" t="str">
        <x:v>SRC-WB-YEM-ECON-MONITOR-2026-SPRING-001</x:v>
      </x:c>
      <x:c r="B164" t="str">
        <x:v>https://www.worldbank.org/en/news/press-release/2026/05/21/economic-strain-deepens-in-yemen-as-regional-risks-intensify</x:v>
      </x:c>
      <x:c r="C164" t="str">
        <x:v>["https://www.worldbank.org/en/programs/the-yemen-fund"]</x:v>
      </x:c>
      <x:c r="D164" t="str">
        <x:v>RESOURCE_LIBRARY_ONLY__CURRENT_YEMEN_MACRO_CONTEXT</x:v>
      </x:c>
      <x:c r="E164" t="n">
        <x:v>0</x:v>
      </x:c>
      <x:c r="F164" t="str">
        <x:v>Yemen Economic Monitor, Spring 2026: Pushing Against the Tide</x:v>
      </x:c>
      <x:c r="G164" t="str">
        <x:v>World Bank</x:v>
      </x:c>
      <x:c r="H164" t="str">
        <x:v>Yemen’s economy and policy context</x:v>
      </x:c>
      <x:c r="I164"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4" t="str">
        <x:v>Macroeconomic estimates, projections and reform context are not direct measures of account ownership, financial-service use, provider operation or inclusion outcomes.</x:v>
      </x:c>
      <x:c r="K164" t="str">
        <x:v>FULL_PUBLIC_CARD</x:v>
      </x:c>
      <x:c r="L164" t="str">
        <x:v>المرصد الاقتصادي لليمن، ربيع 2026: مواجهة التيار</x:v>
      </x:c>
      <x:c r="M164" t="str">
        <x:v>السياق الاقتصادي والسياساتي في اليمن</x:v>
      </x:c>
      <x:c r="N164"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4"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4" t="str">
        <x:v>NOT_ASSESSED</x:v>
      </x:c>
      <x:c r="Y164" t="str">
        <x:v>البنك الدولي</x:v>
      </x:c>
      <x:c r="Z164" t="str">
        <x:v>Research or policy paper</x:v>
      </x:c>
      <x:c r="AA164" t="str">
        <x:v>ورقة بحثية أو سياساتية</x:v>
      </x:c>
    </x:row>
    <x:row r="165">
      <x:c r="A165" t="str">
        <x:v>SRC-KFW-YEM-MSME-FIN-III-47229</x:v>
      </x:c>
      <x:c r="B165" t="str">
        <x:v>https://www.kfw-entwicklungsbank.de/ipfz/Projektdatenbank/Foerderung-Des-Finanzsektors-Fuer-Kleinst--Klein--Und-Mittelunternehmen-Kkmu-Iii-47229.htm</x:v>
      </x:c>
      <x:c r="C165"/>
      <x:c r="D165" t="str">
        <x:v>RESOURCE_LIBRARY_ONLY__CURRENT_YEMEN_MSME_MFI_PROGRAMME</x:v>
      </x:c>
      <x:c r="E165" t="n">
        <x:v>0</x:v>
      </x:c>
      <x:c r="F165" t="str">
        <x:v>Promotion of the Financial Sector for Micro, Small and Medium-sized Enterprises (MSMEs) III, Yemen (project 47229)</x:v>
      </x:c>
      <x:c r="G165" t="str">
        <x:v>KfW Development Bank</x:v>
      </x:c>
      <x:c r="H165" t="str">
        <x:v>Programmes and projects in Yemen</x:v>
      </x:c>
      <x:c r="I165" t="str">
        <x:v>Official project information on refinancing and capacity support delivered through SFD/SMED and partner microfinance institutions for Yemeni MSMEs; useful context for distinguishing programme mechanisms from national access-to-finance measures.</x:v>
      </x:c>
      <x:c r="J165" t="str">
        <x:v>Project financing and delivery arrangements do not establish a national MSME finance-access rate, MFI performance across the sector or programme impact beyond documented results.</x:v>
      </x:c>
      <x:c r="K165" t="str">
        <x:v>FULL_PUBLIC_CARD</x:v>
      </x:c>
      <x:c r="L165" t="str">
        <x:v>دعم القطاع المالي للمنشآت الأصغر والصغيرة والمتوسطة (المرحلة الثالثة)، اليمن (المشروع 47229)</x:v>
      </x:c>
      <x:c r="M165" t="str">
        <x:v>البرامج والمشروعات في اليمن</x:v>
      </x:c>
      <x:c r="N165"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5"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5" t="str">
        <x:v>NOT_ASSESSED</x:v>
      </x:c>
      <x:c r="Y165" t="str">
        <x:v>بنك التنمية الألماني KfW</x:v>
      </x:c>
      <x:c r="Z165" t="str">
        <x:v>Event or programme page</x:v>
      </x:c>
      <x:c r="AA165" t="str">
        <x:v>صفحة فعالية أو برنامج</x:v>
      </x:c>
    </x:row>
    <x:row r="166">
      <x:c r="A166" t="str">
        <x:v>SRC-WB-G2PX-YEM-UCT-2024-001</x:v>
      </x:c>
      <x:c r="B166" t="str">
        <x:v>https://www.worldbank.org/en/events/2024/05/30/digitalizing-g2p-payments-in-yemen</x:v>
      </x:c>
      <x:c r="C166" t="str">
        <x:v>["https://documents1.worldbank.org/curated/en/099647503042425828/pdf/IDU-a9d1a6be-30dc-48e6-9318-cf9d26959fb9.pdf"]</x:v>
      </x:c>
      <x:c r="D166" t="str">
        <x:v>RESOURCE_LIBRARY_ONLY__YEMEN_G2P_DIGITISATION_PILOT,14_SYSTEM_CHRONOLOGY</x:v>
      </x:c>
      <x:c r="E166" t="n">
        <x:v>0</x:v>
      </x:c>
      <x:c r="F166" t="str">
        <x:v>Digitalizing Government-to-Person (G2P) Payments in Yemen: unconditional cash transfer (UCT) pilot (2024)</x:v>
      </x:c>
      <x:c r="G166" t="str">
        <x:v>World Bank (G2Px)</x:v>
      </x:c>
      <x:c r="H166" t="str">
        <x:v>Programmes and projects in Yemen</x:v>
      </x:c>
      <x:c r="I166"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6" t="str">
        <x:v>Pilot reach, account opening or successful payment does not establish repeat use, voluntary post-transfer use, saving, merchant use, service quality, or a national financial-inclusion outcome.</x:v>
      </x:c>
      <x:c r="K166" t="str">
        <x:v>FULL_PUBLIC_CARD</x:v>
      </x:c>
      <x:c r="L166" t="str">
        <x:v>رقمنة المدفوعات من الحكومة إلى الأفراد (G2P) في اليمن: المرحلة التجريبية في برنامج التحويلات النقدية غير المشروطة (2024)</x:v>
      </x:c>
      <x:c r="M166" t="str">
        <x:v>البرامج والمشروعات في اليمن</x:v>
      </x:c>
      <x:c r="N166"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6"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6" t="str">
        <x:v>NOT_ASSESSED</x:v>
      </x:c>
      <x:c r="Y166" t="str">
        <x:v>البنك الدولي (G2Px)</x:v>
      </x:c>
      <x:c r="Z166" t="str">
        <x:v>Event or programme page</x:v>
      </x:c>
      <x:c r="AA166" t="str">
        <x:v>صفحة فعالية أو برنامج</x:v>
      </x:c>
    </x:row>
    <x:row r="167">
      <x:c r="A167" t="str">
        <x:v>SRC-CBY-ENF-18-2026</x:v>
      </x:c>
      <x:c r="B167" t="str">
        <x:v>https://cby-ye.com/news/975</x:v>
      </x:c>
      <x:c r="C167" t="str">
        <x:v>["https://www.cby-ye.com/files/6ab52faa3604f.pdf"]</x:v>
      </x:c>
      <x:c r="D167" t="str">
        <x:v>DS-PROVIDER-STATUS-EVENTS</x:v>
      </x:c>
      <x:c r="E167" t="n">
        <x:v>1</x:v>
      </x:c>
      <x:c r="F167" t="str">
        <x:v>Governor's Decision No. 18 of 2026 on licence suspensions and closures (24 September 2026)</x:v>
      </x:c>
      <x:c r="G167" t="str">
        <x:v>Central Bank of Yemen — Aden</x:v>
      </x:c>
      <x:c r="K167" t="str">
        <x:v>CITATION_CARD</x:v>
      </x:c>
      <x:c r="L167" t="str">
        <x:v>قرار المحافظ رقم (18) لسنة 2026 بشأن إيقاف تراخيص وإغلاق مقرات (24 سبتمبر 2026)</x:v>
      </x:c>
      <x:c r="S167" t="str">
        <x:v>NOT_ASSESSED</x:v>
      </x:c>
      <x:c r="V167" t="str">
        <x:v>2026-10-03</x:v>
      </x:c>
      <x:c r="W167" t="str">
        <x:v>decision/enforcement</x:v>
      </x:c>
      <x:c r="X167" t="str">
        <x:v>status event</x:v>
      </x:c>
      <x:c r="Y167" t="str">
        <x:v>البنك المركزي اليمني – عدن</x:v>
      </x:c>
      <x:c r="Z167" t="str">
        <x:v>Enforcement decision</x:v>
      </x:c>
      <x:c r="AA167" t="str">
        <x:v>قرار إنفاذ</x:v>
      </x:c>
      <x:c r="AB167" t="str">
        <x:v>2026-09-24</x:v>
      </x:c>
    </x:row>
    <x:row r="168">
      <x:c r="A168" t="str">
        <x:v>SRC-CBY-DEC-23-2024-001</x:v>
      </x:c>
      <x:c r="B168" t="str">
        <x:v>https://cby-ye.com/files/667c596ef3bea.pdf</x:v>
      </x:c>
      <x:c r="C168" t="str">
        <x:v>["https://cby-ye.com/news/706"]</x:v>
      </x:c>
      <x:c r="D168" t="str">
        <x:v>DS-REFORM-EVENTS,DS-PRIMARY-AUTHORITY</x:v>
      </x:c>
      <x:c r="E168" t="n">
        <x:v>1</x:v>
      </x:c>
      <x:c r="F168" t="str">
        <x:v>Governor's Decision No. 23 of 2024 on domestic money-transfer activity (26 June 2024; ref. 343/CBY/2024)</x:v>
      </x:c>
      <x:c r="G168" t="str">
        <x:v>Central Bank of Yemen — Aden</x:v>
      </x:c>
      <x:c r="H168" t="str">
        <x:v>Official Yemen documents and statistics</x:v>
      </x:c>
      <x:c r="I168"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8" t="str">
        <x:v>A regulatory requirement does not establish that it was implemented, how many transfers moved to the network, or any effect on users or on financial inclusion.</x:v>
      </x:c>
      <x:c r="K168" t="str">
        <x:v>FULL_PUBLIC_CARD</x:v>
      </x:c>
      <x:c r="L168" t="str">
        <x:v>قرار المحافظ رقم (23) لسنة 2024 بشأن مزاولة نشاط التحويلات المالية الداخلية (26 يونيو 2024؛ المرجع 343/CBY/2024)</x:v>
      </x:c>
      <x:c r="M168" t="str">
        <x:v>الوثائق والإحصاءات الرسمية في اليمن</x:v>
      </x:c>
      <x:c r="N168"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8" t="str">
        <x:v>لا يثبت الإلزام التنظيمي أنه نُفذ فعليًا، ولا عدد الحوالات التي انتقلت إلى الشبكة، ولا أي أثر على المستخدمين أو على الشمول المالي.</x:v>
      </x:c>
      <x:c r="Q168" t="str">
        <x:v>Governor, Central Bank of Yemen — Aden</x:v>
      </x:c>
      <x:c r="R168" t="str">
        <x:v>cby-ye.com</x:v>
      </x:c>
      <x:c r="S168" t="str">
        <x:v>NOT_ASSESSED</x:v>
      </x:c>
      <x:c r="V168" t="str">
        <x:v>2026-09-26</x:v>
      </x:c>
      <x:c r="W168" t="str">
        <x:v>regulatory decision</x:v>
      </x:c>
      <x:c r="X168" t="str">
        <x:v>primary regulatory instrument (rule stage only; not implementation, use or outcome)</x:v>
      </x:c>
      <x:c r="Y168" t="str">
        <x:v>البنك المركزي اليمني – عدن</x:v>
      </x:c>
      <x:c r="Z168" t="str">
        <x:v>Regulatory decision</x:v>
      </x:c>
      <x:c r="AA168" t="str">
        <x:v>قرار تنظيمي</x:v>
      </x:c>
      <x:c r="AB168" t="str">
        <x:v>2024-06-26</x:v>
      </x:c>
    </x:row>
    <x:row r="169">
      <x:c r="A169" t="str">
        <x:v>SRC-AMB-MFB-SUPERVISION-2026</x:v>
      </x:c>
      <x:c r="B169" t="str">
        <x:v>https://www.findevgateway.org/paper/2026/09/beyond-financial-soundness-rebuilding-supervisory-framework-for-microfinance-banks-in</x:v>
      </x:c>
      <x:c r="D169" t="str">
        <x:v>RESOURCE_LIBRARY_ONLY__YEMEN_MFB_SUPERVISION</x:v>
      </x:c>
      <x:c r="E169" t="n">
        <x:v>0</x:v>
      </x:c>
      <x:c r="F169" t="str">
        <x:v>Beyond Financial Soundness: Rebuilding the Supervisory Framework for Microfinance Banks in Yemen (2026)</x:v>
      </x:c>
      <x:c r="G169" t="str">
        <x:v>Al-Amal Microfinance Bank (published on FinDev Gateway)</x:v>
      </x:c>
      <x:c r="H169" t="str">
        <x:v>Research and analysis on Yemen’s financial sector</x:v>
      </x:c>
      <x:c r="I169"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9"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9" t="str">
        <x:v>FULL_PUBLIC_CARD</x:v>
      </x:c>
      <x:c r="L169" t="str">
        <x:v>ما بعد السلامة المالية: إعادة بناء الإطار الإشرافي لبنوك التمويل الأصغر في اليمن (2026)</x:v>
      </x:c>
      <x:c r="M169" t="str">
        <x:v>البحوث والتحليلات حول القطاع المالي في اليمن</x:v>
      </x:c>
      <x:c r="N169"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9"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9" t="str">
        <x:v>Al-Amal Microfinance Bank</x:v>
      </x:c>
      <x:c r="R169" t="str">
        <x:v>FinDev Gateway</x:v>
      </x:c>
      <x:c r="S169" t="str">
        <x:v>NOT_ASSESSED</x:v>
      </x:c>
      <x:c r="V169" t="str">
        <x:v>2026-09-26</x:v>
      </x:c>
      <x:c r="Y169" t="str">
        <x:v>بنك الأمل للتمويل الأصغر (منشور على منصة FinDev Gateway)</x:v>
      </x:c>
      <x:c r="Z169" t="str">
        <x:v>Research or policy paper</x:v>
      </x:c>
      <x:c r="AA169" t="str">
        <x:v>ورقة بحثية أو سياساتية</x:v>
      </x:c>
      <x:c r="AB169" t="str">
        <x:v>2026-09</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97</x:v>
      </x:c>
      <x:c r="E6" s="24" t="str">
        <x:v>2024 Q1</x:v>
      </x:c>
      <x:c r="F6" s="24" t="str">
        <x:v>2026-06</x:v>
      </x:c>
      <x:c r="G6" s="24" t="n">
        <x:v>18</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60</x:v>
      </x:c>
      <x:c r="E10" s="24"/>
      <x:c r="F10" s="24"/>
      <x:c r="G10" s="24" t="n">
        <x:v>15</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2026-06</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30</x:v>
      </x:c>
      <x:c r="E35" s="24" t="n">
        <x:v>1997</x:v>
      </x:c>
      <x:c r="F35" s="24" t="str">
        <x:v>2026-05</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100 exchange companies, 231 individual establishments, 111 remittance agents, plus 442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18</x:v>
      </x:c>
      <x:c r="G55" s="24" t="str">
        <x:v>2024 Q3</x:v>
      </x:c>
      <x:c r="H55" s="24" t="str">
        <x:v>2026-06</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19</x:v>
      </x:c>
      <x:c r="G56" s="24" t="str">
        <x:v>2024 Q1</x:v>
      </x:c>
      <x:c r="H56" s="24" t="str">
        <x:v>2026-06</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18</x:v>
      </x:c>
      <x:c r="G57" s="24" t="str">
        <x:v>2024 Q1</x:v>
      </x:c>
      <x:c r="H57" s="24" t="str">
        <x:v>2026-06</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E-wallet subscribers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E-wallet subscribers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E-wallet subscribers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Bank accounts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Bank accounts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DS-FINDEX-WB-OBS</x:v>
      </x:c>
      <x:c r="B112" s="24" t="str">
        <x:v>FX.OWN.TOTL.ZS</x:v>
      </x:c>
      <x:c r="C112" s="24" t="str">
        <x:v>Account ownership at a financial institution or with a mobile-money-service provider — total</x:v>
      </x:c>
      <x:c r="D112" s="24" t="str">
        <x:v>Demand-side financial inclusion</x:v>
      </x:c>
      <x:c r="E112" s="24" t="str">
        <x:v>percent of population ages 15+</x:v>
      </x:c>
      <x:c r="F112" s="24" t="n">
        <x:v>1</x:v>
      </x:c>
      <x:c r="G112" s="24" t="str">
        <x:v>2022</x:v>
      </x:c>
      <x:c r="H112" s="24" t="str">
        <x:v>2022</x:v>
      </x:c>
      <x:c r="I112" s="24" t="str">
        <x:v>Primary published aggregate. Use same-wave definitions for subgroup comparison; preserve 2022 fieldwork timing caveat.</x:v>
      </x:c>
    </x:row>
    <x:row r="113">
      <x:c r="A113" s="24" t="str">
        <x:v>DS-FINDEX-WB-OBS</x:v>
      </x:c>
      <x:c r="B113" s="24" t="str">
        <x:v>FX.OWN.TOTL.FE.ZS</x:v>
      </x:c>
      <x:c r="C113" s="24" t="str">
        <x:v>Account ownership — female</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FX.OWN.TOTL.MA.ZS</x:v>
      </x:c>
      <x:c r="C114" s="24" t="str">
        <x:v>Account ownership — 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FX.OWN.TOTL.40.ZS</x:v>
      </x:c>
      <x:c r="C115" s="24" t="str">
        <x:v>Account ownership — poorest 40%</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FX.OWN.TOTL.60.ZS</x:v>
      </x:c>
      <x:c r="C116" s="24" t="str">
        <x:v>Account ownership — richest 60%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FX.OWN.TOTL.PL.ZS</x:v>
      </x:c>
      <x:c r="C117" s="24" t="str">
        <x:v>Account ownership — primary education or less</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DS-FINDEX-PUBLIC-HISTORY</x:v>
      </x:c>
      <x:c r="B118" s="24" t="str">
        <x:v>FHI-001</x:v>
      </x:c>
      <x:c r="C118" s="24" t="str">
        <x:v>Account ownership</x:v>
      </x:c>
      <x:c r="D118" s="24" t="str">
        <x:v>Demand-side historical weighted public Findex — ACCESS</x:v>
      </x:c>
      <x:c r="E118" s="24" t="str">
        <x:v>percent</x:v>
      </x:c>
      <x:c r="F118" s="24" t="n">
        <x:v>1</x:v>
      </x:c>
      <x:c r="G118" s="24" t="str">
        <x:v>2014</x:v>
      </x:c>
      <x:c r="H118" s="24" t="str">
        <x:v>2014</x:v>
      </x:c>
      <x:c r="I118" s="24" t="str">
        <x:v>Historical World Bank weighted public profile. Source '..' is missing, not zero; denominator and non-additive/conditional rules apply. Do not substitute for 2021-wave weighted values or current 2026 demand.</x:v>
      </x:c>
    </x:row>
    <x:row r="119">
      <x:c r="A119" s="24" t="str">
        <x:v>DS-FINDEX-PUBLIC-HISTORY</x:v>
      </x:c>
      <x:c r="B119" s="24" t="str">
        <x:v>FHI-002</x:v>
      </x:c>
      <x:c r="C119" s="24" t="str">
        <x:v>Account ownership — women</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FHI-003</x:v>
      </x:c>
      <x:c r="C120" s="24" t="str">
        <x:v>Account ownership — poorest 40%</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FHI-004</x:v>
      </x:c>
      <x:c r="C121" s="24" t="str">
        <x:v>Account ownership — young adults</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FHI-005</x:v>
      </x:c>
      <x:c r="C122" s="24" t="str">
        <x:v>Account ownership — rural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FHI-006</x:v>
      </x:c>
      <x:c r="C123" s="24" t="str">
        <x:v>Financial institution account ownership</x:v>
      </x:c>
      <x:c r="D123" s="24" t="str">
        <x:v>Demand-side historical weighted public Findex — ACCESS</x:v>
      </x:c>
      <x:c r="E123" s="24" t="str">
        <x:v>percent</x:v>
      </x:c>
      <x:c r="F123" s="24" t="n">
        <x:v>2</x:v>
      </x:c>
      <x:c r="G123" s="24" t="str">
        <x:v>2011</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FHI-007</x:v>
      </x:c>
      <x:c r="C124" s="24" t="str">
        <x:v>Mobile account ownership</x:v>
      </x:c>
      <x:c r="D124" s="24" t="str">
        <x:v>Demand-side historical weighted public Findex — ACCESS</x:v>
      </x:c>
      <x:c r="E124" s="24" t="str">
        <x:v>percent</x:v>
      </x:c>
      <x:c r="F124" s="24" t="n">
        <x:v>1</x:v>
      </x:c>
      <x:c r="G124" s="24" t="str">
        <x:v>2014</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FHI-008</x:v>
      </x:c>
      <x:c r="C125" s="24" t="str">
        <x:v>Has a debit card</x:v>
      </x:c>
      <x:c r="D125" s="24" t="str">
        <x:v>Demand-side historical weighted public Findex — ACCESS_USE</x:v>
      </x:c>
      <x:c r="E125" s="24" t="str">
        <x:v>percent</x:v>
      </x:c>
      <x:c r="F125" s="24" t="n">
        <x:v>2</x:v>
      </x:c>
      <x:c r="G125" s="24" t="str">
        <x:v>2011</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FHI-009</x:v>
      </x:c>
      <x:c r="C126" s="24" t="str">
        <x:v>ATM is main mode of withdrawal</x:v>
      </x:c>
      <x:c r="D126" s="24" t="str">
        <x:v>Demand-side historical weighted public Findex — ACCESS_USE</x:v>
      </x:c>
      <x:c r="E126" s="24" t="str">
        <x:v>percent</x:v>
      </x:c>
      <x:c r="F126" s="24" t="n">
        <x:v>1</x:v>
      </x:c>
      <x:c r="G126" s="24" t="str">
        <x:v>2014</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FHI-010</x:v>
      </x:c>
      <x:c r="C127" s="24" t="str">
        <x:v>Used an account to receive wages</x:v>
      </x:c>
      <x:c r="D127" s="24" t="str">
        <x:v>Demand-side historical weighted public Findex — ACCOUNT_USE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FHI-011</x:v>
      </x:c>
      <x:c r="C128" s="24" t="str">
        <x:v>Used an account to receive government transfers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FHI-012</x:v>
      </x:c>
      <x:c r="C129" s="24" t="str">
        <x:v>Used a financial institution account to pay utility bills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FHI-013</x:v>
      </x:c>
      <x:c r="C130" s="24" t="str">
        <x:v>Used a debit card to make payments</x:v>
      </x:c>
      <x:c r="D130" s="24" t="str">
        <x:v>Demand-side historical weighted public Findex — DIGITAL_PAYMENTS</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FHI-014</x:v>
      </x:c>
      <x:c r="C131" s="24" t="str">
        <x:v>Used a credit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FHI-015</x:v>
      </x:c>
      <x:c r="C132" s="24" t="str">
        <x:v>Used the Internet to pay bills or make purchases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FHI-016</x:v>
      </x:c>
      <x:c r="C133" s="24" t="str">
        <x:v>Sent domestic remittances</x:v>
      </x:c>
      <x:c r="D133" s="24" t="str">
        <x:v>Demand-side historical weighted public Findex — DOMESTIC_REMITTANCES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FHI-017</x:v>
      </x:c>
      <x:c r="C134" s="24" t="str">
        <x:v>Sent remittances via a financial institution</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FHI-018</x:v>
      </x:c>
      <x:c r="C135" s="24" t="str">
        <x:v>Sent remittances via a mobile phone</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FHI-019</x:v>
      </x:c>
      <x:c r="C136" s="24" t="str">
        <x:v>Sent remittances via a money transfer operator</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FHI-020</x:v>
      </x:c>
      <x:c r="C137" s="24" t="str">
        <x:v>Received domestic remittances</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FHI-021</x:v>
      </x:c>
      <x:c r="C138" s="24" t="str">
        <x:v>Received remittances via a financial institution</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FHI-022</x:v>
      </x:c>
      <x:c r="C139" s="24" t="str">
        <x:v>Received remittances via a mobile phone</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FHI-023</x:v>
      </x:c>
      <x:c r="C140" s="24" t="str">
        <x:v>Received remittances via a money transfer operator</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FHI-024</x:v>
      </x:c>
      <x:c r="C141" s="24" t="str">
        <x:v>Saved at a financial institution</x:v>
      </x:c>
      <x:c r="D141" s="24" t="str">
        <x:v>Demand-side historical weighted public Findex — SAVING</x:v>
      </x:c>
      <x:c r="E141" s="24" t="str">
        <x:v>percent</x:v>
      </x:c>
      <x:c r="F141" s="24" t="n">
        <x:v>2</x:v>
      </x:c>
      <x:c r="G141" s="24" t="str">
        <x:v>2011</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FHI-025</x:v>
      </x:c>
      <x:c r="C142" s="24" t="str">
        <x:v>Saved using a savings club or person outside the family</x:v>
      </x:c>
      <x:c r="D142" s="24" t="str">
        <x:v>Demand-side historical weighted public Findex — SAVING</x:v>
      </x:c>
      <x:c r="E142" s="24" t="str">
        <x:v>percent</x:v>
      </x:c>
      <x:c r="F142" s="24" t="n">
        <x:v>1</x:v>
      </x:c>
      <x:c r="G142" s="24" t="str">
        <x:v>2014</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FHI-026</x:v>
      </x:c>
      <x:c r="C143" s="24" t="str">
        <x:v>Saved any money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FHI-027</x:v>
      </x:c>
      <x:c r="C144" s="24" t="str">
        <x:v>Saved for old age</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FHI-028</x:v>
      </x:c>
      <x:c r="C145" s="24" t="str">
        <x:v>Saved for a farm or business</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FHI-029</x:v>
      </x:c>
      <x:c r="C146" s="24" t="str">
        <x:v>Saved for education or school fees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FHI-030</x:v>
      </x:c>
      <x:c r="C147" s="24" t="str">
        <x:v>Borrowed from a financial institution</x:v>
      </x:c>
      <x:c r="D147" s="24" t="str">
        <x:v>Demand-side historical weighted public Findex — BORROWING</x:v>
      </x:c>
      <x:c r="E147" s="24" t="str">
        <x:v>percent</x:v>
      </x:c>
      <x:c r="F147" s="24" t="n">
        <x:v>2</x:v>
      </x:c>
      <x:c r="G147" s="24" t="str">
        <x:v>2011</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FHI-031</x:v>
      </x:c>
      <x:c r="C148" s="24" t="str">
        <x:v>Borrowed from family or friends</x:v>
      </x:c>
      <x:c r="D148" s="24" t="str">
        <x:v>Demand-side historical weighted public Findex — BORROWING</x:v>
      </x:c>
      <x:c r="E148" s="24" t="str">
        <x:v>percent</x:v>
      </x:c>
      <x:c r="F148" s="24" t="n">
        <x:v>1</x:v>
      </x:c>
      <x:c r="G148" s="24" t="str">
        <x:v>2014</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FHI-032</x:v>
      </x:c>
      <x:c r="C149" s="24" t="str">
        <x:v>Borrowed from a private informal lender</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FHI-033</x:v>
      </x:c>
      <x:c r="C150" s="24" t="str">
        <x:v>Borrowed any money</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FHI-034</x:v>
      </x:c>
      <x:c r="C151" s="24" t="str">
        <x:v>Borrowed for a farm or business</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FHI-035</x:v>
      </x:c>
      <x:c r="C152" s="24" t="str">
        <x:v>Borrowed for education or school fees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FHI-036</x:v>
      </x:c>
      <x:c r="C153" s="24" t="str">
        <x:v>Outstanding mortgage at a financial institution</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DS-K04-IBS2020-UPSTREAM</x:v>
      </x:c>
      <x:c r="B154" s="24" t="str">
        <x:v>IBS-EM-001</x:v>
      </x:c>
      <x:c r="C154" s="24" t="str">
        <x:v>Electronic-money accounts — five study wallets/providers</x:v>
      </x:c>
      <x:c r="D154" s="24" t="str">
        <x:v>Payments / digital finance history</x:v>
      </x:c>
      <x:c r="E154" s="24" t="str">
        <x:v>accounts</x:v>
      </x:c>
      <x:c r="F154" s="24" t="n">
        <x:v>4</x:v>
      </x:c>
      <x:c r="G154" s="24" t="n">
        <x:v>2016</x:v>
      </x:c>
      <x:c r="H154" s="24" t="n">
        <x:v>2019</x:v>
      </x:c>
      <x:c r="I154" s="24" t="str">
        <x:v>Historical provider/source universe only; accounts are not people or necessarily active.</x:v>
      </x:c>
    </x:row>
    <x:row r="155">
      <x:c r="A155" s="24" t="str">
        <x:v>DS-K04-IBS2020-UPSTREAM</x:v>
      </x:c>
      <x:c r="B155" s="24" t="str">
        <x:v>IBS-EM-002</x:v>
      </x:c>
      <x:c r="C155" s="24" t="str">
        <x:v>Dormant/inactive electronic accounts</x:v>
      </x:c>
      <x:c r="D155" s="24" t="str">
        <x:v>Payments / digital finance history</x:v>
      </x:c>
      <x:c r="E155" s="24" t="str">
        <x:v>percent</x:v>
      </x:c>
      <x:c r="F155" s="24" t="n">
        <x:v>1</x:v>
      </x:c>
      <x:c r="G155" s="24" t="n">
        <x:v>2019</x:v>
      </x:c>
      <x:c r="H155" s="24" t="n">
        <x:v>2019</x:v>
      </x:c>
      <x:c r="I155" s="24" t="str">
        <x:v>Source-reported average 23%; not provider-specific/current.</x:v>
      </x:c>
    </x:row>
    <x:row r="156">
      <x:c r="A156" s="24" t="str">
        <x:v>DS-K04-IBS2020-UPSTREAM</x:v>
      </x:c>
      <x:c r="B156" s="24" t="str">
        <x:v>IBS-EM-003</x:v>
      </x:c>
      <x:c r="C156" s="24" t="str">
        <x:v>Female share of electronic-money users/accounts</x:v>
      </x:c>
      <x:c r="D156" s="24" t="str">
        <x:v>People / digital finance history</x:v>
      </x:c>
      <x:c r="E156" s="24" t="str">
        <x:v>percent</x:v>
      </x:c>
      <x:c r="F156" s="24" t="n">
        <x:v>1</x:v>
      </x:c>
      <x:c r="G156" s="24" t="str">
        <x:v>2016–2019 avg</x:v>
      </x:c>
      <x:c r="H156" s="24" t="str">
        <x:v>2016–2019 avg</x:v>
      </x:c>
      <x:c r="I156" s="24" t="str">
        <x:v>Historical source average; do not compare directly to national Findex or 611-user survey sample.</x:v>
      </x:c>
    </x:row>
    <x:row r="157">
      <x:c r="A157" s="24" t="str">
        <x:v>DS-K04-IBS2020-UPSTREAM</x:v>
      </x:c>
      <x:c r="B157" s="24" t="str">
        <x:v>IBS-EM-004</x:v>
      </x:c>
      <x:c r="C157" s="24" t="str">
        <x:v>Urban concentration of e-wallet accounts</x:v>
      </x:c>
      <x:c r="D157" s="24" t="str">
        <x:v>Geography / digital finance history</x:v>
      </x:c>
      <x:c r="E157" s="24" t="str">
        <x:v>percent</x:v>
      </x:c>
      <x:c r="F157" s="24" t="n">
        <x:v>1</x:v>
      </x:c>
      <x:c r="G157" s="24" t="str">
        <x:v>2016–2019 avg</x:v>
      </x:c>
      <x:c r="H157" s="24" t="str">
        <x:v>2016–2019 avg</x:v>
      </x:c>
      <x:c r="I157" s="24" t="str">
        <x:v>Historical provider-account distribution; not a current access map.</x:v>
      </x:c>
    </x:row>
    <x:row r="158">
      <x:c r="A158" s="24" t="str">
        <x:v>DS-K04-IBS2020-UPSTREAM</x:v>
      </x:c>
      <x:c r="B158" s="24" t="str">
        <x:v>IBS-EM-005</x:v>
      </x:c>
      <x:c r="C158" s="24" t="str">
        <x:v>E-money agents — five-provider study universe</x:v>
      </x:c>
      <x:c r="D158" s="24" t="str">
        <x:v>Payments / access infrastructure history</x:v>
      </x:c>
      <x:c r="E158" s="24" t="str">
        <x:v>agents</x:v>
      </x:c>
      <x:c r="F158" s="24" t="n">
        <x:v>4</x:v>
      </x:c>
      <x:c r="G158" s="24" t="n">
        <x:v>2016</x:v>
      </x:c>
      <x:c r="H158" s="24" t="n">
        <x:v>2019</x:v>
      </x:c>
      <x:c r="I158" s="24" t="str">
        <x:v>Historical source count; listed count does not prove current operation.</x:v>
      </x:c>
    </x:row>
    <x:row r="159">
      <x:c r="A159" s="24" t="str">
        <x:v>DS-K04-IBS2020-UPSTREAM</x:v>
      </x:c>
      <x:c r="B159" s="24" t="str">
        <x:v>IBS-EM-006</x:v>
      </x:c>
      <x:c r="C159" s="24" t="str">
        <x:v>E-money points of sale — five-provider study universe</x:v>
      </x:c>
      <x:c r="D159" s="24" t="str">
        <x:v>Payments / acceptance infrastructure history</x:v>
      </x:c>
      <x:c r="E159" s="24" t="str">
        <x:v>points</x:v>
      </x:c>
      <x:c r="F159" s="24" t="n">
        <x:v>4</x:v>
      </x:c>
      <x:c r="G159" s="24" t="n">
        <x:v>2016</x:v>
      </x:c>
      <x:c r="H159" s="24" t="n">
        <x:v>2019</x:v>
      </x:c>
      <x:c r="I159" s="24" t="str">
        <x:v>Historical source-defined acceptance points; not current merchant coverage.</x:v>
      </x:c>
    </x:row>
    <x:row r="160">
      <x:c r="A160" s="24" t="str">
        <x:v>DS-K04-IBS2020-UPSTREAM</x:v>
      </x:c>
      <x:c r="B160" s="24" t="str">
        <x:v>IBS-EM-007</x:v>
      </x:c>
      <x:c r="C160" s="24" t="str">
        <x:v>E-money transaction count</x:v>
      </x:c>
      <x:c r="D160" s="24" t="str">
        <x:v>Payments / digital finance history</x:v>
      </x:c>
      <x:c r="E160" s="24" t="str">
        <x:v>transactions</x:v>
      </x:c>
      <x:c r="F160" s="24" t="n">
        <x:v>4</x:v>
      </x:c>
      <x:c r="G160" s="24" t="n">
        <x:v>2016</x:v>
      </x:c>
      <x:c r="H160" s="24" t="n">
        <x:v>2019</x:v>
      </x:c>
      <x:c r="I160" s="24" t="str">
        <x:v>Debit/credit source labels preserved; no unique-user denominator.</x:v>
      </x:c>
    </x:row>
    <x:row r="161">
      <x:c r="A161" s="24" t="str">
        <x:v>DS-K04-IBS2020-UPSTREAM</x:v>
      </x:c>
      <x:c r="B161" s="24" t="str">
        <x:v>IBS-EM-008</x:v>
      </x:c>
      <x:c r="C161" s="24" t="str">
        <x:v>E-money transaction value</x:v>
      </x:c>
      <x:c r="D161" s="24" t="str">
        <x:v>Payments / digital finance history</x:v>
      </x:c>
      <x:c r="E161" s="24" t="str">
        <x:v>YER</x:v>
      </x:c>
      <x:c r="F161" s="24" t="n">
        <x:v>4</x:v>
      </x:c>
      <x:c r="G161" s="24" t="n">
        <x:v>2016</x:v>
      </x:c>
      <x:c r="H161" s="24" t="n">
        <x:v>2019</x:v>
      </x:c>
      <x:c r="I161" s="24" t="str">
        <x:v>Source Table 8 total; no welfare/merchant-adoption inference.</x:v>
      </x:c>
    </x:row>
    <x:row r="162">
      <x:c r="A162" s="24" t="str">
        <x:v>DS-K04-IBS2020-UPSTREAM</x:v>
      </x:c>
      <x:c r="B162" s="24" t="str">
        <x:v>IBS-EM-009</x:v>
      </x:c>
      <x:c r="C162" s="24" t="str">
        <x:v>Cash-in/cash-out share of e-money transaction value</x:v>
      </x:c>
      <x:c r="D162" s="24" t="str">
        <x:v>Payments / functional use history</x:v>
      </x:c>
      <x:c r="E162" s="24" t="str">
        <x:v>percent</x:v>
      </x:c>
      <x:c r="F162" s="24" t="n">
        <x:v>2</x:v>
      </x:c>
      <x:c r="G162" s="24" t="n">
        <x:v>2018</x:v>
      </x:c>
      <x:c r="H162" s="24" t="n">
        <x:v>2019</x:v>
      </x:c>
      <x:c r="I162" s="24" t="str">
        <x:v>CauseWay-derived from source Table 8; formula and categories exposed.</x:v>
      </x:c>
    </x:row>
    <x:row r="163">
      <x:c r="A163" s="24" t="str">
        <x:v>DS-K04-IBS2020-UPSTREAM</x:v>
      </x:c>
      <x:c r="B163" s="24" t="str">
        <x:v>IBS-EM-010</x:v>
      </x:c>
      <x:c r="C163" s="24" t="str">
        <x:v>Bank↔e-account transfer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DS-K04-MFB2023-RECON</x:v>
      </x:c>
      <x:c r="B164" s="24" t="str">
        <x:v>MFB23-001</x:v>
      </x:c>
      <x:c r="C164" s="24" t="str">
        <x:v>Active borrowers — end-2023 bounded secondary</x:v>
      </x:c>
      <x:c r="D164" s="24" t="str">
        <x:v>Microfinance / credit reach</x:v>
      </x:c>
      <x:c r="E164" s="24" t="str">
        <x:v>active borrowers</x:v>
      </x:c>
      <x:c r="F164" s="24" t="n">
        <x:v>1</x:v>
      </x:c>
      <x:c r="G164" s="24" t="n">
        <x:v>2023</x:v>
      </x:c>
      <x:c r="H164" s="24" t="n">
        <x:v>2023</x:v>
      </x:c>
      <x:c r="I164" s="24" t="str">
        <x:v>78,686; strong secondary with SFD/SMED primary locator. Show source tier and universe gap; not current 2026 or national adult prevalence.</x:v>
      </x:c>
    </x:row>
    <x:row r="165">
      <x:c r="A165" s="24" t="str">
        <x:v>DS-K04-MFB2023-RECON</x:v>
      </x:c>
      <x:c r="B165" s="24" t="str">
        <x:v>MFB23-002</x:v>
      </x:c>
      <x:c r="C165" s="24" t="str">
        <x:v>Active borrowers — June-2023 bounded secondary</x:v>
      </x:c>
      <x:c r="D165" s="24" t="str">
        <x:v>Microfinance / credit reach</x:v>
      </x:c>
      <x:c r="E165" s="24" t="str">
        <x:v>active borrowers</x:v>
      </x:c>
      <x:c r="F165" s="24" t="n">
        <x:v>1</x:v>
      </x:c>
      <x:c r="G165" s="24" t="str">
        <x:v>2023-06</x:v>
      </x:c>
      <x:c r="H165" s="24" t="str">
        <x:v>2023-06</x:v>
      </x:c>
      <x:c r="I165" s="24" t="str">
        <x:v>~80,800; separate MoPIC-linked June point. Do not interpolate to year-end.</x:v>
      </x:c>
    </x:row>
    <x:row r="166">
      <x:c r="A166" s="24" t="str">
        <x:v>DS-K04-MFB2023-RECON</x:v>
      </x:c>
      <x:c r="B166" s="24" t="str">
        <x:v>MFB23-003</x:v>
      </x:c>
      <x:c r="C166" s="24" t="str">
        <x:v>Outstanding microfinance portfolio — end-2023</x:v>
      </x:c>
      <x:c r="D166" s="24" t="str">
        <x:v>Microfinance / portfolio</x:v>
      </x:c>
      <x:c r="E166" s="24" t="str">
        <x:v>YER million nominal</x:v>
      </x:c>
      <x:c r="F166" s="24" t="n">
        <x:v>1</x:v>
      </x:c>
      <x:c r="G166" s="24" t="n">
        <x:v>2023</x:v>
      </x:c>
      <x:c r="H166" s="24" t="n">
        <x:v>2023</x:v>
      </x:c>
      <x:c r="I166" s="24" t="str">
        <x:v>~44,000 nominal YER million; secondary with SFD/SMED locator. No real-growth or USD conversion inference.</x:v>
      </x:c>
    </x:row>
    <x:row r="167">
      <x:c r="A167" s="24" t="str">
        <x:v>DS-K04-MFB2023-RECON</x:v>
      </x:c>
      <x:c r="B167" s="24" t="str">
        <x:v>MFB23-004</x:v>
      </x:c>
      <x:c r="C167" s="24" t="str">
        <x:v>MFB share of microfinance portfolio</x:v>
      </x:c>
      <x:c r="D167" s="24" t="str">
        <x:v>Microfinance / provider structure</x:v>
      </x:c>
      <x:c r="E167" s="24" t="str">
        <x:v>percent</x:v>
      </x:c>
      <x:c r="F167" s="24" t="n">
        <x:v>1</x:v>
      </x:c>
      <x:c r="G167" s="24" t="n">
        <x:v>2023</x:v>
      </x:c>
      <x:c r="H167" s="24" t="n">
        <x:v>2023</x:v>
      </x:c>
      <x:c r="I167" s="24" t="str">
        <x:v>~69% source-attributed secondary share; exact provider classification denominator remains open.</x:v>
      </x:c>
    </x:row>
    <x:row r="168">
      <x:c r="A168" s="24" t="str">
        <x:v>DS-K04-MFB2023-RECON</x:v>
      </x:c>
      <x:c r="B168" s="24" t="str">
        <x:v>MFB23-005</x:v>
      </x:c>
      <x:c r="C168" s="24" t="str">
        <x:v>Active savers/depositors — MFB source terminology</x:v>
      </x:c>
      <x:c r="D168" s="24" t="str">
        <x:v>Microfinance / deposits</x:v>
      </x:c>
      <x:c r="E168" s="24" t="str">
        <x:v>active savers/depositors</x:v>
      </x:c>
      <x:c r="F168" s="24" t="n">
        <x:v>1</x:v>
      </x:c>
      <x:c r="G168" s="24" t="n">
        <x:v>2023</x:v>
      </x:c>
      <x:c r="H168" s="24" t="n">
        <x:v>2023</x:v>
      </x:c>
      <x:c r="I168" s="24" t="str">
        <x:v>3.3m source-reported secondary object; never convert to unique people or inclusion prevalence.</x:v>
      </x:c>
    </x:row>
    <x:row r="169">
      <x:c r="A169" s="24" t="str">
        <x:v>DS-K04-MFB2023-RECON</x:v>
      </x:c>
      <x:c r="B169" s="24" t="str">
        <x:v>MFB23-006</x:v>
      </x:c>
      <x:c r="C169" s="24" t="str">
        <x:v>Borrower share — bank/MFB side</x:v>
      </x:c>
      <x:c r="D169" s="24" t="str">
        <x:v>Microfinance / provider structure</x:v>
      </x:c>
      <x:c r="E169" s="24" t="str">
        <x:v>percent</x:v>
      </x:c>
      <x:c r="F169" s="24" t="n">
        <x:v>1</x:v>
      </x:c>
      <x:c r="G169" s="24" t="str">
        <x:v>2010–2023 wording</x:v>
      </x:c>
      <x:c r="H169" s="24" t="str">
        <x:v>2010–2023 wording</x:v>
      </x:c>
      <x:c r="I169" s="24" t="str">
        <x:v>53% source wording; precise share held because period/denominator are under-specified.</x:v>
      </x:c>
    </x:row>
    <x:row r="170">
      <x:c r="A170" s="24" t="str">
        <x:v>DS-K04-MFB2023-RECON</x:v>
      </x:c>
      <x:c r="B170" s="24" t="str">
        <x:v>MFB23-007</x:v>
      </x:c>
      <x:c r="C170" s="24" t="str">
        <x:v>Borrower share — traditional MFI side</x:v>
      </x:c>
      <x:c r="D170" s="24" t="str">
        <x:v>Microfinance / provider structure</x:v>
      </x:c>
      <x:c r="E170" s="24" t="str">
        <x:v>percent</x:v>
      </x:c>
      <x:c r="F170" s="24" t="n">
        <x:v>1</x:v>
      </x:c>
      <x:c r="G170" s="24" t="str">
        <x:v>2010–2023 wording</x:v>
      </x:c>
      <x:c r="H170" s="24" t="str">
        <x:v>2010–2023 wording</x:v>
      </x:c>
      <x:c r="I170" s="24" t="str">
        <x:v>47% counterpart source wording; no pie or precise endpoint claim until denominator is recovered.</x:v>
      </x:c>
    </x:row>
    <x:row r="171">
      <x:c r="A171" s="24" t="str">
        <x:v>DS-K04-MFB2023-RECON</x:v>
      </x:c>
      <x:c r="B171" s="24" t="str">
        <x:v>MFB23-008</x:v>
      </x:c>
      <x:c r="C171" s="24" t="str">
        <x:v>MFB saver/deposit share</x:v>
      </x:c>
      <x:c r="D171" s="24" t="str">
        <x:v>Microfinance / deposits</x:v>
      </x:c>
      <x:c r="E171" s="24" t="str">
        <x:v>percent</x:v>
      </x:c>
      <x:c r="F171" s="24" t="n">
        <x:v>1</x:v>
      </x:c>
      <x:c r="G171" s="24" t="str">
        <x:v>2016–2023 wording</x:v>
      </x:c>
      <x:c r="H171" s="24" t="str">
        <x:v>2016–2023 wording</x:v>
      </x:c>
      <x:c r="I171" s="24" t="str">
        <x:v>96% source wording; exact endpoint/period-average semantics unresolved, so precise public share held.</x:v>
      </x:c>
    </x:row>
    <x:row r="172">
      <x:c r="A172" s="24" t="str">
        <x:v>DS-K04-MFB2023-RECON</x:v>
      </x:c>
      <x:c r="B172" s="24" t="str">
        <x:v>MFB23-009</x:v>
      </x:c>
      <x:c r="C172" s="24" t="str">
        <x:v>Traditional MFI saver/deposit share</x:v>
      </x:c>
      <x:c r="D172" s="24" t="str">
        <x:v>Microfinance / deposits</x:v>
      </x:c>
      <x:c r="E172" s="24" t="str">
        <x:v>percent</x:v>
      </x:c>
      <x:c r="F172" s="24" t="n">
        <x:v>1</x:v>
      </x:c>
      <x:c r="G172" s="24" t="str">
        <x:v>2016–2023 wording</x:v>
      </x:c>
      <x:c r="H172" s="24" t="str">
        <x:v>2016–2023 wording</x:v>
      </x:c>
      <x:c r="I172" s="24" t="str">
        <x:v>4% counterpart source wording; same denominator/period gate as MFB23-008.</x:v>
      </x:c>
    </x:row>
    <x:row r="173">
      <x:c r="A173" s="24" t="str">
        <x:v>DS-K04-MFB2023-RECON</x:v>
      </x:c>
      <x:c r="B173" s="24" t="str">
        <x:v>MFB23-010</x:v>
      </x:c>
      <x:c r="C173" s="24" t="str">
        <x:v>Al-Kuraimi share of saver growth — source wording</x:v>
      </x:c>
      <x:c r="D173" s="24" t="str">
        <x:v>Microfinance / concentration</x:v>
      </x:c>
      <x:c r="E173" s="24" t="str">
        <x:v>percent</x:v>
      </x:c>
      <x:c r="F173" s="24" t="n">
        <x:v>1</x:v>
      </x:c>
      <x:c r="G173" s="24" t="str">
        <x:v>post-2015–2023 wording</x:v>
      </x:c>
      <x:c r="H173" s="24" t="str">
        <x:v>post-2015–2023 wording</x:v>
      </x:c>
      <x:c r="I173" s="24" t="str">
        <x:v>91% of 'growth' in 2024 source; contradiction-held against later 2025 stock-share restatement.</x:v>
      </x:c>
    </x:row>
    <x:row r="174">
      <x:c r="A174" s="24" t="str">
        <x:v>DS-K04-MFB-TRANSFORM-LENS</x:v>
      </x:c>
      <x:c r="B174" s="24" t="str">
        <x:v>MFB23-D01</x:v>
      </x:c>
      <x:c r="C174" s="24" t="str">
        <x:v>Active-borrower change 2015 Q4 → 2023</x:v>
      </x:c>
      <x:c r="D174" s="24" t="str">
        <x:v>Microfinance / bounded derivation</x:v>
      </x:c>
      <x:c r="E174" s="24" t="str">
        <x:v>percent</x:v>
      </x:c>
      <x:c r="F174" s="24" t="n">
        <x:v>1</x:v>
      </x:c>
      <x:c r="G174" s="24" t="str">
        <x:v>2015–2023</x:v>
      </x:c>
      <x:c r="H174" s="24" t="str">
        <x:v>2015–2023</x:v>
      </x:c>
      <x:c r="I174" s="24" t="str">
        <x:v>Formula-derived ~-15.5%; primary 2015 anchor + bounded 2023 value; universe continuity caveat required.</x:v>
      </x:c>
    </x:row>
    <x:row r="175">
      <x:c r="A175" s="24" t="str">
        <x:v>DS-K04-MFB-TRANSFORM-LENS</x:v>
      </x:c>
      <x:c r="B175" s="24" t="str">
        <x:v>MFB23-D02</x:v>
      </x:c>
      <x:c r="C175" s="24" t="str">
        <x:v>Active-borrower change 2020 Q4 → 2023</x:v>
      </x:c>
      <x:c r="D175" s="24" t="str">
        <x:v>Microfinance / bounded derivation</x:v>
      </x:c>
      <x:c r="E175" s="24" t="str">
        <x:v>percent</x:v>
      </x:c>
      <x:c r="F175" s="24" t="n">
        <x:v>1</x:v>
      </x:c>
      <x:c r="G175" s="24" t="str">
        <x:v>2020–2023</x:v>
      </x:c>
      <x:c r="H175" s="24" t="str">
        <x:v>2020–2023</x:v>
      </x:c>
      <x:c r="I175" s="24" t="str">
        <x:v>Formula-derived; do not interpret causally or as unchanged provider universe.</x:v>
      </x:c>
    </x:row>
    <x:row r="176">
      <x:c r="A176" s="24" t="str">
        <x:v>DS-K04-MFB-TRANSFORM-LENS</x:v>
      </x:c>
      <x:c r="B176" s="24" t="str">
        <x:v>MFB23-D03</x:v>
      </x:c>
      <x:c r="C176" s="24" t="str">
        <x:v>Saver/depositor change 2020 Q4 → 2023</x:v>
      </x:c>
      <x:c r="D176" s="24" t="str">
        <x:v>Microfinance / bounded derivation</x:v>
      </x:c>
      <x:c r="E176" s="24" t="str">
        <x:v>percent</x:v>
      </x:c>
      <x:c r="F176" s="24" t="n">
        <x:v>1</x:v>
      </x:c>
      <x:c r="G176" s="24" t="str">
        <x:v>2020–2023</x:v>
      </x:c>
      <x:c r="H176" s="24" t="str">
        <x:v>2020–2023</x:v>
      </x:c>
      <x:c r="I176" s="24" t="str">
        <x:v>Formula-derived from primary 2020 and bounded 2023 source objects; not unique-person growth.</x:v>
      </x:c>
    </x:row>
    <x:row r="177">
      <x:c r="A177" s="24" t="str">
        <x:v>DS-K04-MFB-TRANSFORM-LENS</x:v>
      </x:c>
      <x:c r="B177" s="24" t="str">
        <x:v>MFB23-D04</x:v>
      </x:c>
      <x:c r="C177" s="24" t="str">
        <x:v>Nominal portfolio change 2020 Q4 → 2023</x:v>
      </x:c>
      <x:c r="D177" s="24" t="str">
        <x:v>Microfinance / bounded derivation</x:v>
      </x:c>
      <x:c r="E177" s="24" t="str">
        <x:v>percent</x:v>
      </x:c>
      <x:c r="F177" s="24" t="n">
        <x:v>1</x:v>
      </x:c>
      <x:c r="G177" s="24" t="str">
        <x:v>2020–2023</x:v>
      </x:c>
      <x:c r="H177" s="24" t="str">
        <x:v>2020–2023</x:v>
      </x:c>
      <x:c r="I177" s="24" t="str">
        <x:v>Nominal YER only; no real-growth inference.</x:v>
      </x:c>
    </x:row>
    <x:row r="178">
      <x:c r="A178" s="24" t="str">
        <x:v>DS-K04-MFB-TRANSFORM-LENS</x:v>
      </x:c>
      <x:c r="B178" s="24" t="str">
        <x:v>MFB23-D05</x:v>
      </x:c>
      <x:c r="C178" s="24" t="str">
        <x:v>Nominal portfolio per active borrower change 2020 Q4 → 2023</x:v>
      </x:c>
      <x:c r="D178" s="24" t="str">
        <x:v>Microfinance / bounded derivation</x:v>
      </x:c>
      <x:c r="E178" s="24" t="str">
        <x:v>percent</x:v>
      </x:c>
      <x:c r="F178" s="24" t="n">
        <x:v>1</x:v>
      </x:c>
      <x:c r="G178" s="24" t="str">
        <x:v>2020–2023</x:v>
      </x:c>
      <x:c r="H178" s="24" t="str">
        <x:v>2020–2023</x:v>
      </x:c>
      <x:c r="I178" s="24" t="str">
        <x:v>Diagnostic ratio only; not average loan size, borrower welfare or real credit intensity.</x:v>
      </x:c>
    </x:row>
    <x:row r="179">
      <x:c r="A179" s="24" t="str">
        <x:v>DS-K04-MFB-TRANSFORM-LENS</x:v>
      </x:c>
      <x:c r="B179" s="24" t="str">
        <x:v>MFB23-CURRENT-01</x:v>
      </x:c>
      <x:c r="C179" s="24" t="str">
        <x:v>Current CBY-Aden source-listed rows classified as microfinance banks</x:v>
      </x:c>
      <x:c r="D179" s="24" t="str">
        <x:v>Providers / institutional form</x:v>
      </x:c>
      <x:c r="E179" s="24" t="str">
        <x:v>source-listed bank rows</x:v>
      </x:c>
      <x:c r="F179" s="24" t="n">
        <x:v>1</x:v>
      </x:c>
      <x:c r="G179" s="24" t="n">
        <x:v>2026</x:v>
      </x:c>
      <x:c r="H179" s="24" t="n">
        <x:v>2026</x:v>
      </x:c>
      <x:c r="I179" s="24" t="str">
        <x:v>Formula count = 12 within 26-row controlled bank list; LISTED/LICENCED ≠ OPERATING/OUTREACH.</x:v>
      </x:c>
    </x:row>
    <x:row r="180">
      <x:c r="A180" s="24" t="str">
        <x:v>DS-V041-STRICT-COUNSEL</x:v>
      </x:c>
      <x:c r="B180" s="24" t="str">
        <x:v>MFB91-D01</x:v>
      </x:c>
      <x:c r="C180" s="24" t="str">
        <x:v>Al-Kuraimi share of industry saver growth — 2016→2019 diagnostic</x:v>
      </x:c>
      <x:c r="D180" s="24" t="str">
        <x:v>Microfinance / concentration diagnostic</x:v>
      </x:c>
      <x:c r="E180" s="24" t="str">
        <x:v>percent</x:v>
      </x:c>
      <x:c r="F180" s="24" t="n">
        <x:v>1</x:v>
      </x:c>
      <x:c r="G180" s="24" t="n">
        <x:v>2016</x:v>
      </x:c>
      <x:c r="H180" s="24" t="n">
        <x:v>2019</x:v>
      </x:c>
      <x:c r="I180" s="24"/>
    </x:row>
    <x:row r="181">
      <x:c r="A181" s="24" t="str">
        <x:v>DS-V041-STRICT-COUNSEL</x:v>
      </x:c>
      <x:c r="B181" s="24" t="str">
        <x:v>MFB91-D02</x:v>
      </x:c>
      <x:c r="C181" s="24" t="str">
        <x:v>Al-Kuraimi share of industry saver stock — 2019 diagnostic</x:v>
      </x:c>
      <x:c r="D181" s="24" t="str">
        <x:v>Microfinance / concentration diagnostic</x:v>
      </x:c>
      <x:c r="E181" s="24" t="str">
        <x:v>percent</x:v>
      </x:c>
      <x:c r="F181" s="24" t="n">
        <x:v>1</x:v>
      </x:c>
      <x:c r="G181" s="24" t="n">
        <x:v>2019</x:v>
      </x:c>
      <x:c r="H181" s="24" t="n">
        <x:v>2019</x:v>
      </x:c>
      <x:c r="I181" s="24"/>
    </x:row>
    <x:row r="182">
      <x:c r="A182" s="24" t="str">
        <x:v>DS-SMEPS-2024-PROGRAMME-EVIDENCE</x:v>
      </x:c>
      <x:c r="B182" s="24" t="str">
        <x:v>SMEPS_MSMES_SUPPORTED_COUNT</x:v>
      </x:c>
      <x:c r="C182" s="24" t="str">
        <x:v>MSMEs supported — observed/cumulative</x:v>
      </x:c>
      <x:c r="D182" s="24" t="str">
        <x:v>MSME development / programme</x:v>
      </x:c>
      <x:c r="E182" s="24" t="str">
        <x:v>MSMEs</x:v>
      </x:c>
      <x:c r="F182" s="24" t="n">
        <x:v>5</x:v>
      </x:c>
      <x:c r="G182" s="24" t="n">
        <x:v>2021</x:v>
      </x:c>
      <x:c r="H182" s="24" t="n">
        <x:v>2024</x:v>
      </x:c>
      <x:c r="I182" s="24" t="str">
        <x:v>Programme output only; not national MSME prevalence.</x:v>
      </x:c>
    </x:row>
    <x:row r="183">
      <x:c r="A183" s="24" t="str">
        <x:v>DS-SMEPS-2024-PROGRAMME-EVIDENCE</x:v>
      </x:c>
      <x:c r="B183" s="24" t="str">
        <x:v>SMEPS_MSMES_SUPPORTED_TARGET_COUNT</x:v>
      </x:c>
      <x:c r="C183" s="24" t="str">
        <x:v>MSMEs supported — programme target</x:v>
      </x:c>
      <x:c r="D183" s="24" t="str">
        <x:v>MSME development / programme</x:v>
      </x:c>
      <x:c r="E183" s="24" t="str">
        <x:v>MSMEs</x:v>
      </x:c>
      <x:c r="F183" s="24" t="n">
        <x:v>1</x:v>
      </x:c>
      <x:c r="G183" s="24" t="str">
        <x:v>2021–2024</x:v>
      </x:c>
      <x:c r="H183" s="24" t="str">
        <x:v>2021–2024</x:v>
      </x:c>
      <x:c r="I183" s="24" t="str">
        <x:v>Target ≠ result.</x:v>
      </x:c>
    </x:row>
    <x:row r="184">
      <x:c r="A184" s="24" t="str">
        <x:v>DS-SMEPS-2024-PROGRAMME-EVIDENCE</x:v>
      </x:c>
      <x:c r="B184" s="24" t="str">
        <x:v>SMEPS_JOBS_CREATED_SUSTAINED_COUNT</x:v>
      </x:c>
      <x:c r="C184" s="24" t="str">
        <x:v>Jobs created/sustained — observed/cumulative</x:v>
      </x:c>
      <x:c r="D184" s="24" t="str">
        <x:v>Livelihoods / firms</x:v>
      </x:c>
      <x:c r="E184" s="24" t="str">
        <x:v>jobs</x:v>
      </x:c>
      <x:c r="F184" s="24" t="n">
        <x:v>5</x:v>
      </x:c>
      <x:c r="G184" s="24" t="n">
        <x:v>2021</x:v>
      </x:c>
      <x:c r="H184" s="24" t="n">
        <x:v>2024</x:v>
      </x:c>
      <x:c r="I184" s="24" t="str">
        <x:v>Programme-reported jobs; not unique people or national employment change.</x:v>
      </x:c>
    </x:row>
    <x:row r="185">
      <x:c r="A185" s="24" t="str">
        <x:v>DS-SMEPS-2024-PROGRAMME-EVIDENCE</x:v>
      </x:c>
      <x:c r="B185" s="24" t="str">
        <x:v>SMEPS_JOBS_TARGET_COUNT</x:v>
      </x:c>
      <x:c r="C185" s="24" t="str">
        <x:v>Jobs — programme target</x:v>
      </x:c>
      <x:c r="D185" s="24" t="str">
        <x:v>Livelihoods / firms</x:v>
      </x:c>
      <x:c r="E185" s="24" t="str">
        <x:v>jobs</x:v>
      </x:c>
      <x:c r="F185" s="24" t="n">
        <x:v>1</x:v>
      </x:c>
      <x:c r="G185" s="24" t="str">
        <x:v>2021–2024</x:v>
      </x:c>
      <x:c r="H185" s="24" t="str">
        <x:v>2021–2024</x:v>
      </x:c>
      <x:c r="I185" s="24" t="str">
        <x:v>Target ≠ result.</x:v>
      </x:c>
    </x:row>
    <x:row r="186">
      <x:c r="A186" s="24" t="str">
        <x:v>DS-SMEPS-2024-PROGRAMME-EVIDENCE</x:v>
      </x:c>
      <x:c r="B186" s="24" t="str">
        <x:v>SMEPS_WOMEN_SHARE_JOBS_PCT</x:v>
      </x:c>
      <x:c r="C186" s="24" t="str">
        <x:v>Women share of programme-reported jobs</x:v>
      </x:c>
      <x:c r="D186" s="24" t="str">
        <x:v>Gender / programme</x:v>
      </x:c>
      <x:c r="E186" s="24" t="str">
        <x:v>percent</x:v>
      </x:c>
      <x:c r="F186" s="24" t="n">
        <x:v>5</x:v>
      </x:c>
      <x:c r="G186" s="24" t="n">
        <x:v>2021</x:v>
      </x:c>
      <x:c r="H186" s="24" t="n">
        <x:v>2024</x:v>
      </x:c>
      <x:c r="I186" s="24" t="str">
        <x:v>Programme-output denominator only.</x:v>
      </x:c>
    </x:row>
    <x:row r="187">
      <x:c r="A187" s="24" t="str">
        <x:v>DS-SMEPS-2024-PROGRAMME-EVIDENCE</x:v>
      </x:c>
      <x:c r="B187" s="24" t="str">
        <x:v>SMEPS_WOMEN_SHARE_JOBS_TARGET_PCT</x:v>
      </x:c>
      <x:c r="C187" s="24" t="str">
        <x:v>Women share of jobs — target</x:v>
      </x:c>
      <x:c r="D187" s="24" t="str">
        <x:v>Gender / programme</x:v>
      </x:c>
      <x:c r="E187" s="24" t="str">
        <x:v>percent</x:v>
      </x:c>
      <x:c r="F187" s="24" t="n">
        <x:v>1</x:v>
      </x:c>
      <x:c r="G187" s="24" t="str">
        <x:v>2021–2024</x:v>
      </x:c>
      <x:c r="H187" s="24" t="str">
        <x:v>2021–2024</x:v>
      </x:c>
      <x:c r="I187" s="24" t="str">
        <x:v>Target ≠ result.</x:v>
      </x:c>
    </x:row>
    <x:row r="188">
      <x:c r="A188" s="24" t="str">
        <x:v>DS-SMEPS-2024-PROGRAMME-EVIDENCE</x:v>
      </x:c>
      <x:c r="B188" s="24" t="str">
        <x:v>SMEPS_FIN_SERVICES_ACCESS_PCT</x:v>
      </x:c>
      <x:c r="C188" s="24" t="str">
        <x:v>SMEPS-supported MSMEs accessing financial services</x:v>
      </x:c>
      <x:c r="D188" s="24" t="str">
        <x:v>MSME finance / programme KPI</x:v>
      </x:c>
      <x:c r="E188" s="24" t="str">
        <x:v>percent</x:v>
      </x:c>
      <x:c r="F188" s="24" t="n">
        <x:v>5</x:v>
      </x:c>
      <x:c r="G188" s="24" t="n">
        <x:v>2021</x:v>
      </x:c>
      <x:c r="H188" s="24" t="n">
        <x:v>2024</x:v>
      </x:c>
      <x:c r="I188" s="24" t="str">
        <x:v>Source-reported programme KPI; denominator/assessment base detail open in summary table; not national prevalence.</x:v>
      </x:c>
    </x:row>
    <x:row r="189">
      <x:c r="A189" s="24" t="str">
        <x:v>DS-SMEPS-2024-PROGRAMME-EVIDENCE</x:v>
      </x:c>
      <x:c r="B189" s="24" t="str">
        <x:v>SMEPS_FIN_SERVICES_ACCESS_TARGET_PCT</x:v>
      </x:c>
      <x:c r="C189" s="24" t="str">
        <x:v>SMEPS financial-services-access KPI target</x:v>
      </x:c>
      <x:c r="D189" s="24" t="str">
        <x:v>MSME finance / programme KPI</x:v>
      </x:c>
      <x:c r="E189" s="24" t="str">
        <x:v>percent</x:v>
      </x:c>
      <x:c r="F189" s="24" t="n">
        <x:v>1</x:v>
      </x:c>
      <x:c r="G189" s="24" t="str">
        <x:v>2021–2024</x:v>
      </x:c>
      <x:c r="H189" s="24" t="str">
        <x:v>2021–2024</x:v>
      </x:c>
      <x:c r="I189" s="24" t="str">
        <x:v>Target ≠ result and not a national target.</x:v>
      </x:c>
    </x:row>
    <x:row r="190">
      <x:c r="A190" s="24" t="str">
        <x:v>DS-SMEPS-2024-PROGRAMME-EVIDENCE</x:v>
      </x:c>
      <x:c r="B190" s="24" t="str">
        <x:v>SMEPS_DISBURSEMENT_USD</x:v>
      </x:c>
      <x:c r="C190" s="24" t="str">
        <x:v>SMEPS programme disbursement</x:v>
      </x:c>
      <x:c r="D190" s="24" t="str">
        <x:v>Programme finance</x:v>
      </x:c>
      <x:c r="E190" s="24" t="str">
        <x:v>USD</x:v>
      </x:c>
      <x:c r="F190" s="24" t="n">
        <x:v>2</x:v>
      </x:c>
      <x:c r="G190" s="24" t="n">
        <x:v>2021</x:v>
      </x:c>
      <x:c r="H190" s="24" t="n">
        <x:v>2024</x:v>
      </x:c>
      <x:c r="I190" s="24" t="str">
        <x:v>Programme disbursement; not downstream lending or financial-sector credit.</x:v>
      </x:c>
    </x:row>
    <x:row r="191">
      <x:c r="A191" s="24" t="str">
        <x:v>DS-SMEPS-2024-PROGRAMME-EVIDENCE</x:v>
      </x:c>
      <x:c r="B191" s="24" t="str">
        <x:v>SMEPS_FEMALE_OWNED_SHARE_PCT</x:v>
      </x:c>
      <x:c r="C191" s="24" t="str">
        <x:v>Female-owned/led share of SMEPS-supported MSMEs</x:v>
      </x:c>
      <x:c r="D191" s="24" t="str">
        <x:v>Gender / firms / programme</x:v>
      </x:c>
      <x:c r="E191" s="24" t="str">
        <x:v>percent</x:v>
      </x:c>
      <x:c r="F191" s="24" t="n">
        <x:v>2</x:v>
      </x:c>
      <x:c r="G191" s="24" t="n">
        <x:v>2021</x:v>
      </x:c>
      <x:c r="H191" s="24" t="n">
        <x:v>2024</x:v>
      </x:c>
      <x:c r="I191" s="24" t="str">
        <x:v>Programme participant composition; not national firm-ownership prevalence.</x:v>
      </x:c>
    </x:row>
    <x:row r="192">
      <x:c r="A192" s="142" t="str">
        <x:v>DS-FINDEX-CURRENTNESS</x:v>
      </x:c>
      <x:c r="B192" s="142" t="str">
        <x:v>FINDEX_YEMEN_LATEST_OBS_YEAR</x:v>
      </x:c>
      <x:c r="C192" s="142" t="str">
        <x:v>Latest available Yemen Global Findex observation year</x:v>
      </x:c>
      <x:c r="D192" s="142" t="str">
        <x:v>People / currentness</x:v>
      </x:c>
      <x:c r="E192" s="142" t="str">
        <x:v>year</x:v>
      </x:c>
      <x:c r="F192" s="142" t="n">
        <x:v>1</x:v>
      </x:c>
      <x:c r="G192" s="142" t="n">
        <x:v>2022</x:v>
      </x:c>
      <x:c r="H192" s="142" t="n">
        <x:v>2025</x:v>
      </x:c>
      <x:c r="I192" s="142" t="str">
        <x:v>The Global Findex 2025 edition includes 2024 data for many economies, but Yemen's latest available account-ownership observation remains 2022. Do not create a 2024 Yemen value.</x:v>
      </x:c>
    </x:row>
    <x:row r="193">
      <x:c r="A193" s="142" t="str">
        <x:v>DS-FMIIP-PROJECT-RESULTS</x:v>
      </x:c>
      <x:c r="B193" s="142" t="str">
        <x:v>FMIIP_RTGS_VALUE_INCREASE_TARGET_PCT</x:v>
      </x:c>
      <x:c r="C193" s="142" t="str">
        <x:v>Increase in value of RTGS transactions</x:v>
      </x:c>
      <x:c r="D193" s="142" t="str">
        <x:v>Payments / project target</x:v>
      </x:c>
      <x:c r="E193" s="142" t="str">
        <x:v>percent</x:v>
      </x:c>
      <x:c r="F193" s="142" t="n">
        <x:v>1</x:v>
      </x:c>
      <x:c r="G193" s="142" t="n">
        <x:v>2025</x:v>
      </x:c>
      <x:c r="H193" s="142" t="n">
        <x:v>2030</x:v>
      </x:c>
      <x:c r="I193" s="142" t="str">
        <x:v>Baseline 0; closing target 20%. Project target, not observed inclusion outcome.</x:v>
      </x:c>
    </x:row>
    <x:row r="194">
      <x:c r="A194" s="142" t="str">
        <x:v>DS-FMIIP-PROJECT-RESULTS</x:v>
      </x:c>
      <x:c r="B194" s="142" t="str">
        <x:v>FMIIP_EPAY_BENEFICIARIES_COUNT</x:v>
      </x:c>
      <x:c r="C194" s="142" t="str">
        <x:v>Beneficiaries receiving or making electronic payments/transfers</x:v>
      </x:c>
      <x:c r="D194" s="142" t="str">
        <x:v>Payments / project target</x:v>
      </x:c>
      <x:c r="E194" s="142" t="str">
        <x:v>project-defined beneficiaries</x:v>
      </x:c>
      <x:c r="F194" s="142" t="n">
        <x:v>1</x:v>
      </x:c>
      <x:c r="G194" s="142" t="n">
        <x:v>2025</x:v>
      </x:c>
      <x:c r="H194" s="142" t="n">
        <x:v>2030</x:v>
      </x:c>
      <x:c r="I194" s="142" t="str">
        <x:v>Baseline 10,761; closing target 1,000,000. Do not equate beneficiaries with transactions or all adults.</x:v>
      </x:c>
    </x:row>
    <x:row r="195">
      <x:c r="A195" s="142" t="str">
        <x:v>DS-FMIIP-PROJECT-RESULTS</x:v>
      </x:c>
      <x:c r="B195" s="142" t="str">
        <x:v>FMIIP_EPAY_BENEFICIARIES_FEMALE_COUNT</x:v>
      </x:c>
      <x:c r="C195" s="142" t="str">
        <x:v>Female beneficiaries receiving or making electronic payments/transfers</x:v>
      </x:c>
      <x:c r="D195" s="142" t="str">
        <x:v>Gender / project target</x:v>
      </x:c>
      <x:c r="E195" s="142" t="str">
        <x:v>female beneficiaries</x:v>
      </x:c>
      <x:c r="F195" s="142" t="n">
        <x:v>1</x:v>
      </x:c>
      <x:c r="G195" s="142" t="n">
        <x:v>2030</x:v>
      </x:c>
      <x:c r="H195" s="142" t="n">
        <x:v>2030</x:v>
      </x:c>
      <x:c r="I195" s="142" t="str">
        <x:v>Closing target 480,000 (48% of total target); no baseline stated in the cited public result framework.</x:v>
      </x:c>
    </x:row>
    <x:row r="196">
      <x:c r="A196" s="142" t="str">
        <x:v>DS-FMIIP-PROJECT-RESULTS</x:v>
      </x:c>
      <x:c r="B196" s="142" t="str">
        <x:v>FMIIP_FINANCIAL_ACCESS_POINTS_COUNT</x:v>
      </x:c>
      <x:c r="C196" s="142" t="str">
        <x:v>Financial access points</x:v>
      </x:c>
      <x:c r="D196" s="142" t="str">
        <x:v>Access / project target</x:v>
      </x:c>
      <x:c r="E196" s="142" t="str">
        <x:v>project-defined access points</x:v>
      </x:c>
      <x:c r="F196" s="142" t="n">
        <x:v>1</x:v>
      </x:c>
      <x:c r="G196" s="142" t="n">
        <x:v>2025</x:v>
      </x:c>
      <x:c r="H196" s="142" t="n">
        <x:v>2030</x:v>
      </x:c>
      <x:c r="I196" s="142" t="str">
        <x:v>Baseline 817; closing target 1,021 (25% increase). Do not add ATMs, POS and agents unless the project taxonomy/deduplication permits it.</x:v>
      </x:c>
    </x:row>
    <x:row r="197">
      <x:c r="A197" s="142" t="str">
        <x:v>DS-FMIIP-PROJECT-RESULTS</x:v>
      </x:c>
      <x:c r="B197" s="142" t="str">
        <x:v>FMIIP_TRANSACTION_COST_REDUCTION_TARGET_PCT</x:v>
      </x:c>
      <x:c r="C197" s="142" t="str">
        <x:v>Decrease in transaction cost to customers</x:v>
      </x:c>
      <x:c r="D197" s="142" t="str">
        <x:v>Payments / project target</x:v>
      </x:c>
      <x:c r="E197" s="142" t="str">
        <x:v>percent decrease</x:v>
      </x:c>
      <x:c r="F197" s="142" t="n">
        <x:v>1</x:v>
      </x:c>
      <x:c r="G197" s="142" t="n">
        <x:v>2025</x:v>
      </x:c>
      <x:c r="H197" s="142" t="n">
        <x:v>2030</x:v>
      </x:c>
      <x:c r="I197" s="142" t="str">
        <x:v>Baseline 0; closing target 50%. A target is not an observed cost reduction.</x:v>
      </x:c>
    </x:row>
    <x:row r="198">
      <x:c r="A198" s="142" t="str">
        <x:v>DS-FMIIP-PROJECT-RESULTS</x:v>
      </x:c>
      <x:c r="B198" s="142" t="str">
        <x:v>FMIIP_FPS_OPERATIONAL_STATE</x:v>
      </x:c>
      <x:c r="C198" s="142" t="str">
        <x:v>Fast Payment System developed and operational</x:v>
      </x:c>
      <x:c r="D198" s="142" t="str">
        <x:v>Payments / infrastructure</x:v>
      </x:c>
      <x:c r="E198" s="142" t="str">
        <x:v>yes/no</x:v>
      </x:c>
      <x:c r="F198" s="142" t="n">
        <x:v>1</x:v>
      </x:c>
      <x:c r="G198" s="142" t="n">
        <x:v>2025</x:v>
      </x:c>
      <x:c r="H198" s="142" t="n">
        <x:v>2030</x:v>
      </x:c>
      <x:c r="I198" s="142" t="str">
        <x:v>Baseline No; closing target Yes. Operational state is not population adoption.</x:v>
      </x:c>
    </x:row>
    <x:row r="199">
      <x:c r="A199" s="142" t="str">
        <x:v>DS-FMIIP-PROJECT-RESULTS</x:v>
      </x:c>
      <x:c r="B199" s="142" t="str">
        <x:v>FMIIP_FPS_CLEARED_TRANSACTIONS_ANNUAL</x:v>
      </x:c>
      <x:c r="C199" s="142" t="str">
        <x:v>Annual cleared FPS transactions</x:v>
      </x:c>
      <x:c r="D199" s="142" t="str">
        <x:v>Payments / infrastructure</x:v>
      </x:c>
      <x:c r="E199" s="142" t="str">
        <x:v>transactions / source wording</x:v>
      </x:c>
      <x:c r="F199" s="142" t="n">
        <x:v>1</x:v>
      </x:c>
      <x:c r="G199" s="142" t="n">
        <x:v>2025</x:v>
      </x:c>
      <x:c r="H199" s="142" t="n">
        <x:v>2030</x:v>
      </x:c>
      <x:c r="I199" s="142" t="str">
        <x:v>Baseline 0; closing target 600,000. Preserve source wording and confirm volume/value semantics before any derived rate.</x:v>
      </x:c>
    </x:row>
    <x:row r="200">
      <x:c r="A200" s="142" t="str">
        <x:v>DS-FMIIP-PROJECT-RESULTS</x:v>
      </x:c>
      <x:c r="B200" s="142" t="str">
        <x:v>FMIIP_FPS_PARTICIPATING_FIS_COUNT</x:v>
      </x:c>
      <x:c r="C200" s="142" t="str">
        <x:v>Participating financial institutions in FPS</x:v>
      </x:c>
      <x:c r="D200" s="142" t="str">
        <x:v>Payments / infrastructure</x:v>
      </x:c>
      <x:c r="E200" s="142" t="str">
        <x:v>institutions</x:v>
      </x:c>
      <x:c r="F200" s="142" t="n">
        <x:v>1</x:v>
      </x:c>
      <x:c r="G200" s="142" t="n">
        <x:v>2025</x:v>
      </x:c>
      <x:c r="H200" s="142" t="n">
        <x:v>2030</x:v>
      </x:c>
      <x:c r="I200" s="142" t="str">
        <x:v>Baseline 0; closing target 10. Participation is not equivalent to active end-user use.</x:v>
      </x:c>
    </x:row>
    <x:row r="201">
      <x:c r="A201" s="142" t="str">
        <x:v>DS-FMIIP-PROJECT-RESULTS</x:v>
      </x:c>
      <x:c r="B201" s="142" t="str">
        <x:v>FMIIP_FPS_USE_CASES_COUNT</x:v>
      </x:c>
      <x:c r="C201" s="142" t="str">
        <x:v>FPS use cases</x:v>
      </x:c>
      <x:c r="D201" s="142" t="str">
        <x:v>Payments / infrastructure</x:v>
      </x:c>
      <x:c r="E201" s="142" t="str">
        <x:v>use cases</x:v>
      </x:c>
      <x:c r="F201" s="142" t="n">
        <x:v>1</x:v>
      </x:c>
      <x:c r="G201" s="142" t="n">
        <x:v>2025</x:v>
      </x:c>
      <x:c r="H201" s="142" t="n">
        <x:v>2030</x:v>
      </x:c>
      <x:c r="I201" s="142" t="str">
        <x:v>Baseline 1; closing target 3. Use-case count does not establish scale of use.</x:v>
      </x:c>
    </x:row>
    <x:row r="202">
      <x:c r="A202" s="142" t="str">
        <x:v>DS-FMIIP-PROJECT-RESULTS</x:v>
      </x:c>
      <x:c r="B202" s="142" t="str">
        <x:v>FMIIP_RTGS_OPERATIONAL_STATE</x:v>
      </x:c>
      <x:c r="C202" s="142" t="str">
        <x:v>RTGS developed and operational</x:v>
      </x:c>
      <x:c r="D202" s="142" t="str">
        <x:v>Payments / infrastructure</x:v>
      </x:c>
      <x:c r="E202" s="142" t="str">
        <x:v>yes/no</x:v>
      </x:c>
      <x:c r="F202" s="142" t="n">
        <x:v>1</x:v>
      </x:c>
      <x:c r="G202" s="142" t="n">
        <x:v>2025</x:v>
      </x:c>
      <x:c r="H202" s="142" t="n">
        <x:v>2030</x:v>
      </x:c>
      <x:c r="I202" s="142" t="str">
        <x:v>Baseline No; closing target Yes. Go-live is a system milestone, not an inclusion outcome.</x:v>
      </x:c>
    </x:row>
    <x:row r="203">
      <x:c r="A203" s="142" t="str">
        <x:v>DS-FMIIP-PROJECT-RESULTS</x:v>
      </x:c>
      <x:c r="B203" s="142" t="str">
        <x:v>FMIIP_RTGS_PARTICIPATING_PSPS_COUNT</x:v>
      </x:c>
      <x:c r="C203" s="142" t="str">
        <x:v>Participating PSPs in RTGS</x:v>
      </x:c>
      <x:c r="D203" s="142" t="str">
        <x:v>Payments / infrastructure</x:v>
      </x:c>
      <x:c r="E203" s="142" t="str">
        <x:v>PSPs</x:v>
      </x:c>
      <x:c r="F203" s="142" t="n">
        <x:v>1</x:v>
      </x:c>
      <x:c r="G203" s="142" t="n">
        <x:v>2025</x:v>
      </x:c>
      <x:c r="H203" s="142" t="n">
        <x:v>2030</x:v>
      </x:c>
      <x:c r="I203" s="142" t="str">
        <x:v>Baseline 0; closing target 10. Participation does not establish transaction activity or user reach.</x:v>
      </x:c>
    </x:row>
    <x:row r="204">
      <x:c r="A204" s="142" t="str">
        <x:v>DS-FMIIP-PROJECT-RESULTS</x:v>
      </x:c>
      <x:c r="B204" s="142" t="str">
        <x:v>FMIIP_MERCHANTS_ACCEPTING_EPAY_COUNT</x:v>
      </x:c>
      <x:c r="C204" s="142" t="str">
        <x:v>Merchants accepting electronic payments</x:v>
      </x:c>
      <x:c r="D204" s="142" t="str">
        <x:v>Payments / firms / project target</x:v>
      </x:c>
      <x:c r="E204" s="142" t="str">
        <x:v>merchants</x:v>
      </x:c>
      <x:c r="F204" s="142" t="n">
        <x:v>1</x:v>
      </x:c>
      <x:c r="G204" s="142" t="n">
        <x:v>2025</x:v>
      </x:c>
      <x:c r="H204" s="142" t="n">
        <x:v>2030</x:v>
      </x:c>
      <x:c r="I204" s="142" t="str">
        <x:v>Baseline 170; closing target 500. Merchants are not POS terminals.</x:v>
      </x:c>
    </x:row>
    <x:row r="205">
      <x:c r="A205" s="142" t="str">
        <x:v>DS-FMIIP-PROJECT-RESULTS</x:v>
      </x:c>
      <x:c r="B205" s="142" t="str">
        <x:v>FMIIP_ACTIVE_BANK_ACCOUNTS_COUNT</x:v>
      </x:c>
      <x:c r="C205" s="142" t="str">
        <x:v>Active bank accounts</x:v>
      </x:c>
      <x:c r="D205" s="142" t="str">
        <x:v>Accounts / project target</x:v>
      </x:c>
      <x:c r="E205" s="142" t="str">
        <x:v>active accounts</x:v>
      </x:c>
      <x:c r="F205" s="142" t="n">
        <x:v>1</x:v>
      </x:c>
      <x:c r="G205" s="142" t="n">
        <x:v>2025</x:v>
      </x:c>
      <x:c r="H205" s="142" t="n">
        <x:v>2030</x:v>
      </x:c>
      <x:c r="I205" s="142" t="str">
        <x:v>Baseline 1,062,441; closing target 1,381,171. Active accounts are not unique people and are not directly comparable to all CBY-reported accounts without definition reconciliation.</x:v>
      </x:c>
    </x:row>
    <x:row r="206">
      <x:c r="A206" s="142" t="str">
        <x:v>DS-FMIIP-PROJECT-RESULTS</x:v>
      </x:c>
      <x:c r="B206" s="142" t="str">
        <x:v>FMIIP_ACTIVE_BANK_ACCOUNTS_FEMALE_COUNT</x:v>
      </x:c>
      <x:c r="C206" s="142" t="str">
        <x:v>Female-owned active bank accounts</x:v>
      </x:c>
      <x:c r="D206" s="142" t="str">
        <x:v>Gender / accounts / project target</x:v>
      </x:c>
      <x:c r="E206" s="142" t="str">
        <x:v>active accounts</x:v>
      </x:c>
      <x:c r="F206" s="142" t="n">
        <x:v>1</x:v>
      </x:c>
      <x:c r="G206" s="142" t="n">
        <x:v>2025</x:v>
      </x:c>
      <x:c r="H206" s="142" t="n">
        <x:v>2030</x:v>
      </x:c>
      <x:c r="I206" s="142" t="str">
        <x:v>Baseline 200,898; closing target 261,167. Account ownership unit is project-defined accounts, not women as unique persons.</x:v>
      </x:c>
    </x:row>
    <x:row r="207">
      <x:c r="A207" s="142" t="str">
        <x:v>DS-FMIIP-PROJECT-RESULTS</x:v>
      </x:c>
      <x:c r="B207" s="142" t="str">
        <x:v>FMIIP_ACTIVE_EWALLET_ACCOUNTS_COUNT</x:v>
      </x:c>
      <x:c r="C207" s="142" t="str">
        <x:v>Active e-wallet accounts</x:v>
      </x:c>
      <x:c r="D207" s="142" t="str">
        <x:v>Digital finance / project target</x:v>
      </x:c>
      <x:c r="E207" s="142" t="str">
        <x:v>active e-wallet accounts</x:v>
      </x:c>
      <x:c r="F207" s="142" t="n">
        <x:v>1</x:v>
      </x:c>
      <x:c r="G207" s="142" t="n">
        <x:v>2025</x:v>
      </x:c>
      <x:c r="H207" s="142" t="n">
        <x:v>2030</x:v>
      </x:c>
      <x:c r="I207" s="142" t="str">
        <x:v>Baseline 375,252; closing target 487,828. Do not compare with subscribers without a documented definition bridge.</x:v>
      </x:c>
    </x:row>
    <x:row r="208">
      <x:c r="A208" s="142" t="str">
        <x:v>DS-FMIIP-PROJECT-RESULTS</x:v>
      </x:c>
      <x:c r="B208" s="142" t="str">
        <x:v>FMIIP_ACTIVE_EWALLET_ACCOUNTS_FEMALE_COUNT</x:v>
      </x:c>
      <x:c r="C208" s="142" t="str">
        <x:v>Female-owned active e-wallet accounts</x:v>
      </x:c>
      <x:c r="D208" s="142" t="str">
        <x:v>Gender / digital finance / project target</x:v>
      </x:c>
      <x:c r="E208" s="142" t="str">
        <x:v>active e-wallet accounts</x:v>
      </x:c>
      <x:c r="F208" s="142" t="n">
        <x:v>1</x:v>
      </x:c>
      <x:c r="G208" s="142" t="n">
        <x:v>2030</x:v>
      </x:c>
      <x:c r="H208" s="142" t="n">
        <x:v>2030</x:v>
      </x:c>
      <x:c r="I208" s="142" t="str">
        <x:v>Closing target 73,174 (15% of total target); the public result framework does not state a female baseline in the cited table.</x:v>
      </x:c>
    </x:row>
    <x:row r="209">
      <x:c r="A209" s="142" t="str">
        <x:v>DS-FMIIP-PROJECT-RESULTS</x:v>
      </x:c>
      <x:c r="B209" s="142" t="str">
        <x:v>FMIIP_LICENSED_FI_AGENTS_COUNT</x:v>
      </x:c>
      <x:c r="C209" s="142" t="str">
        <x:v>Agents of licensed financial institutions</x:v>
      </x:c>
      <x:c r="D209" s="142" t="str">
        <x:v>Access / project target</x:v>
      </x:c>
      <x:c r="E209" s="142" t="str">
        <x:v>agents</x:v>
      </x:c>
      <x:c r="F209" s="142" t="n">
        <x:v>1</x:v>
      </x:c>
      <x:c r="G209" s="142" t="n">
        <x:v>2025</x:v>
      </x:c>
      <x:c r="H209" s="142" t="n">
        <x:v>2030</x:v>
      </x:c>
      <x:c r="I209" s="142" t="str">
        <x:v>Baseline 65; closing target 71. Agent count is not unique customers or geographic coverage.</x:v>
      </x:c>
    </x:row>
    <x:row r="210">
      <x:c r="A210" s="142" t="str">
        <x:v>DS-FMIIP-PROJECT-RESULTS</x:v>
      </x:c>
      <x:c r="B210" s="142" t="str">
        <x:v>FMIIP_FEMALE_AGENTS_COUNT</x:v>
      </x:c>
      <x:c r="C210" s="142" t="str">
        <x:v>Female agents</x:v>
      </x:c>
      <x:c r="D210" s="142" t="str">
        <x:v>Gender / access / project target</x:v>
      </x:c>
      <x:c r="E210" s="142" t="str">
        <x:v>agents</x:v>
      </x:c>
      <x:c r="F210" s="142" t="n">
        <x:v>1</x:v>
      </x:c>
      <x:c r="G210" s="142" t="n">
        <x:v>2025</x:v>
      </x:c>
      <x:c r="H210" s="142" t="n">
        <x:v>2030</x:v>
      </x:c>
      <x:c r="I210" s="142" t="str">
        <x:v>Baseline 1; closing target 20. Provider workforce/agent composition is not a population-access rate.</x:v>
      </x:c>
    </x:row>
    <x:row r="211">
      <x:c r="A211" s="142" t="str">
        <x:v>DS-FMIIP-PROJECT-RESULTS</x:v>
      </x:c>
      <x:c r="B211" s="142" t="str">
        <x:v>FMIIP_FINANCIAL_LITERACY_CAMPAIGNS_COUNT</x:v>
      </x:c>
      <x:c r="C211" s="142" t="str">
        <x:v>Financial literacy campaigns</x:v>
      </x:c>
      <x:c r="D211" s="142" t="str">
        <x:v>Capability / project output</x:v>
      </x:c>
      <x:c r="E211" s="142" t="str">
        <x:v>campaigns</x:v>
      </x:c>
      <x:c r="F211" s="142" t="n">
        <x:v>1</x:v>
      </x:c>
      <x:c r="G211" s="142" t="n">
        <x:v>2025</x:v>
      </x:c>
      <x:c r="H211" s="142" t="n">
        <x:v>2030</x:v>
      </x:c>
      <x:c r="I211" s="142" t="str">
        <x:v>Baseline 0; closing target 10. Campaign delivery is not measured financial-literacy improvement.</x:v>
      </x:c>
    </x:row>
    <x:row r="212">
      <x:c r="A212" s="142" t="str">
        <x:v>DS-FMIIP-PROJECT-RESULTS</x:v>
      </x:c>
      <x:c r="B212" s="142" t="str">
        <x:v>FMIIP_FEMALE_FOCUSED_FL_CAMPAIGNS_COUNT</x:v>
      </x:c>
      <x:c r="C212" s="142" t="str">
        <x:v>Female-focused financial literacy campaigns</x:v>
      </x:c>
      <x:c r="D212" s="142" t="str">
        <x:v>Gender / capability / project output</x:v>
      </x:c>
      <x:c r="E212" s="142" t="str">
        <x:v>campaigns</x:v>
      </x:c>
      <x:c r="F212" s="142" t="n">
        <x:v>1</x:v>
      </x:c>
      <x:c r="G212" s="142" t="n">
        <x:v>2025</x:v>
      </x:c>
      <x:c r="H212" s="142" t="n">
        <x:v>2030</x:v>
      </x:c>
      <x:c r="I212" s="142" t="str">
        <x:v>Baseline 0; closing target 5. Activity is not outcome.</x:v>
      </x:c>
    </x:row>
    <x:row r="213">
      <x:c r="A213" s="142" t="str">
        <x:v>DS-FMIIP-PROJECT-RESULTS</x:v>
      </x:c>
      <x:c r="B213" s="142" t="str">
        <x:v>FMIIP_BENEFICIARY_SATISFACTION_TARGET_PCT</x:v>
      </x:c>
      <x:c r="C213" s="142" t="str">
        <x:v>Beneficiaries satisfied with level of service</x:v>
      </x:c>
      <x:c r="D213" s="142" t="str">
        <x:v>Quality / project target</x:v>
      </x:c>
      <x:c r="E213" s="142" t="str">
        <x:v>percent</x:v>
      </x:c>
      <x:c r="F213" s="142" t="n">
        <x:v>1</x:v>
      </x:c>
      <x:c r="G213" s="142" t="n">
        <x:v>2025</x:v>
      </x:c>
      <x:c r="H213" s="142" t="n">
        <x:v>2030</x:v>
      </x:c>
      <x:c r="I213" s="142" t="str">
        <x:v>Baseline 0; closing target 80%. Use only with the project's beneficiary universe and survey method.</x:v>
      </x:c>
    </x:row>
    <x:row r="214">
      <x:c r="A214" s="142" t="str">
        <x:v>DS-FMIIP-PROJECT-RESULTS</x:v>
      </x:c>
      <x:c r="B214" s="142" t="str">
        <x:v>FMIIP_FEMALE_BENEFICIARY_SATISFACTION_TARGET_PCT</x:v>
      </x:c>
      <x:c r="C214" s="142" t="str">
        <x:v>Female beneficiaries satisfied with level of service</x:v>
      </x:c>
      <x:c r="D214" s="142" t="str">
        <x:v>Gender / quality / project target</x:v>
      </x:c>
      <x:c r="E214" s="142" t="str">
        <x:v>percent</x:v>
      </x:c>
      <x:c r="F214" s="142" t="n">
        <x:v>1</x:v>
      </x:c>
      <x:c r="G214" s="142" t="n">
        <x:v>2025</x:v>
      </x:c>
      <x:c r="H214" s="142" t="n">
        <x:v>2030</x:v>
      </x:c>
      <x:c r="I214" s="142" t="str">
        <x:v>Baseline 0; closing target 80%. Do not generalize to women nationally.</x:v>
      </x:c>
    </x:row>
    <x:row r="215">
      <x:c r="A215" s="142" t="str">
        <x:v>DS-FMIIP-PROJECT-RESULTS</x:v>
      </x:c>
      <x:c r="B215" s="142" t="str">
        <x:v>FMIIP_GRIEVANCES_TIMELY_ADDRESS_TARGET_PCT</x:v>
      </x:c>
      <x:c r="C215" s="142" t="str">
        <x:v>Grievances addressed within stipulated time</x:v>
      </x:c>
      <x:c r="D215" s="142" t="str">
        <x:v>Consumer protection / project target</x:v>
      </x:c>
      <x:c r="E215" s="142" t="str">
        <x:v>percent</x:v>
      </x:c>
      <x:c r="F215" s="142" t="n">
        <x:v>1</x:v>
      </x:c>
      <x:c r="G215" s="142" t="n">
        <x:v>2025</x:v>
      </x:c>
      <x:c r="H215" s="142" t="n">
        <x:v>2030</x:v>
      </x:c>
      <x:c r="I215" s="142" t="str">
        <x:v>Baseline 0; closing target 90%. Project grievance performance is distinct from sector-wide consumer-redress performance.</x:v>
      </x:c>
    </x:row>
    <x:row r="216">
      <x:c r="A216" s="142" t="str">
        <x:v>DS-FMIIP-PROJECT-RESULTS</x:v>
      </x:c>
      <x:c r="B216" s="142" t="str">
        <x:v>FMIIP_FEMALE_GRIEVANCES_TIMELY_ADDRESS_TARGET_PCT</x:v>
      </x:c>
      <x:c r="C216" s="142" t="str">
        <x:v>Female grievances addressed within stipulated time</x:v>
      </x:c>
      <x:c r="D216" s="142" t="str">
        <x:v>Gender / consumer protection / project target</x:v>
      </x:c>
      <x:c r="E216" s="142" t="str">
        <x:v>percent</x:v>
      </x:c>
      <x:c r="F216" s="142" t="n">
        <x:v>1</x:v>
      </x:c>
      <x:c r="G216" s="142" t="n">
        <x:v>2025</x:v>
      </x:c>
      <x:c r="H216" s="142" t="n">
        <x:v>2030</x:v>
      </x:c>
      <x:c r="I216" s="142" t="str">
        <x:v>Baseline 0; closing target 90%. Project-specific grievance metric, not sector-wide evidence.</x:v>
      </x:c>
    </x:row>
    <x:row r="217">
      <x:c r="A217" t="str">
        <x:v>DS-CBY-EXCHANGE-ROSTER-2026-COUNTS</x:v>
      </x:c>
      <x:c r="B217" t="str">
        <x:v>CBY_EXCH_COMPANIES_ROSTER_2026_COUNT</x:v>
      </x:c>
      <x:c r="C217" t="str">
        <x:v>Exchange companies listed in official 2026 roster</x:v>
      </x:c>
      <x:c r="D217" t="str">
        <x:v>Providers</x:v>
      </x:c>
      <x:c r="E217" t="str">
        <x:v>source-listed rows</x:v>
      </x:c>
      <x:c r="F217" t="n">
        <x:v>1</x:v>
      </x:c>
      <x:c r="G217" t="n">
        <x:v>2026</x:v>
      </x:c>
      <x:c r="H217" t="n">
        <x:v>2026</x:v>
      </x:c>
      <x:c r="I217" t="str">
        <x:v>100 listed companies; annual roster presence does not prove current operation.</x:v>
      </x:c>
    </x:row>
    <x:row r="218">
      <x:c r="A218" t="str">
        <x:v>DS-CBY-EXCHANGE-ROSTER-2026-COUNTS</x:v>
      </x:c>
      <x:c r="B218" t="str">
        <x:v>CBY_EXCH_ESTABLISHMENTS_ROSTER_2026_COUNT</x:v>
      </x:c>
      <x:c r="C218" t="str">
        <x:v>Individual exchange establishments listed in official 2026 roster</x:v>
      </x:c>
      <x:c r="D218" t="str">
        <x:v>Providers</x:v>
      </x:c>
      <x:c r="E218" t="str">
        <x:v>source-listed rows</x:v>
      </x:c>
      <x:c r="F218" t="n">
        <x:v>1</x:v>
      </x:c>
      <x:c r="G218" t="n">
        <x:v>2026</x:v>
      </x:c>
      <x:c r="H218" t="n">
        <x:v>2026</x:v>
      </x:c>
      <x:c r="I218" t="str">
        <x:v>231 listed establishments; annual roster presence does not prove current operation.</x:v>
      </x:c>
    </x:row>
    <x:row r="219">
      <x:c r="A219" t="str">
        <x:v>DS-CBY-EXCHANGE-ROSTER-2026-COUNTS</x:v>
      </x:c>
      <x:c r="B219" t="str">
        <x:v>CBY_REMITTANCE_AGENTS_ROSTER_2026_COUNT</x:v>
      </x:c>
      <x:c r="C219" t="str">
        <x:v>Remittance agents listed in official 2026 roster</x:v>
      </x:c>
      <x:c r="D219" t="str">
        <x:v>Providers</x:v>
      </x:c>
      <x:c r="E219" t="str">
        <x:v>source-listed rows</x:v>
      </x:c>
      <x:c r="F219" t="n">
        <x:v>1</x:v>
      </x:c>
      <x:c r="G219" t="n">
        <x:v>2026</x:v>
      </x:c>
      <x:c r="H219" t="n">
        <x:v>2026</x:v>
      </x:c>
      <x:c r="I219" t="str">
        <x:v>111 listed agents; annual roster presence does not prove current operation.</x:v>
      </x:c>
    </x:row>
    <x:row r="220">
      <x:c r="A220" t="str">
        <x:v>DS-CBY-EXCHANGE-ROSTER-2026-COUNTS</x:v>
      </x:c>
      <x:c r="B220" t="str">
        <x:v>CBY_EXCH_REMIT_ROSTER_2026_TOTAL_ROWS</x:v>
      </x:c>
      <x:c r="C220" t="str">
        <x:v>Total rows across three official roster classes</x:v>
      </x:c>
      <x:c r="D220" t="str">
        <x:v>Providers</x:v>
      </x:c>
      <x:c r="E220" t="str">
        <x:v>rows</x:v>
      </x:c>
      <x:c r="F220" t="n">
        <x:v>1</x:v>
      </x:c>
      <x:c r="G220" t="n">
        <x:v>2026</x:v>
      </x:c>
      <x:c r="H220" t="n">
        <x:v>2026</x:v>
      </x:c>
      <x:c r="I220" t="str">
        <x:v>442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page 3; lines 62-66</x:v>
      </x:c>
      <x:c r="L8" s="24" t="str">
        <x:v>17,718</x:v>
      </x:c>
      <x:c r="M8" s="24" t="n">
        <x:v>17718</x:v>
      </x:c>
      <x:c r="N8" s="24" t="str">
        <x:v>DIRECTLY_COMPARABLE</x:v>
      </x:c>
      <x:c r="O8" s="24"/>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page 3; lines 31-35</x:v>
      </x:c>
      <x:c r="L9" s="24" t="str">
        <x:v>31,890</x:v>
      </x:c>
      <x:c r="M9" s="24" t="n">
        <x:v>31890</x:v>
      </x:c>
      <x:c r="N9" s="24" t="str">
        <x:v>DIRECTLY_COMPARABLE</x:v>
      </x:c>
      <x:c r="O9" s="24"/>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page 3; lines 67-71</x:v>
      </x:c>
      <x:c r="L10" s="24" t="str">
        <x:v>31 million YER</x:v>
      </x:c>
      <x:c r="M10" s="24" t="n">
        <x:v>31</x:v>
      </x:c>
      <x:c r="N10" s="24" t="str">
        <x:v>DIRECTLY_COMPARABLE</x:v>
      </x:c>
      <x:c r="O10" s="24"/>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page 3; lines 67-71</x:v>
      </x:c>
      <x:c r="L11" s="24" t="str">
        <x:v>1.642 billion YER</x:v>
      </x:c>
      <x:c r="M11" s="24" t="n">
        <x:v>1642</x:v>
      </x:c>
      <x:c r="N11" s="24" t="str">
        <x:v>DIRECTLY_COMPARABLE</x:v>
      </x:c>
      <x:c r="O11" s="24"/>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page 3; lines 67-71</x:v>
      </x:c>
      <x:c r="L12" s="24" t="str">
        <x:v>1.699 billion YER</x:v>
      </x:c>
      <x:c r="M12" s="24" t="n">
        <x:v>1699</x:v>
      </x:c>
      <x:c r="N12" s="24" t="str">
        <x:v>DIRECTLY_COMPARABLE</x:v>
      </x:c>
      <x:c r="O12" s="24"/>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page 3; lines 24-50</x:v>
      </x:c>
      <x:c r="L13" s="24" t="str">
        <x:v>151</x:v>
      </x:c>
      <x:c r="M13" s="24" t="n">
        <x:v>151</x:v>
      </x:c>
      <x:c r="N13" s="24" t="str">
        <x:v>COMPARABLE_WITH_QUALIFICATION</x:v>
      </x:c>
      <x:c r="O13" s="24" t="str">
        <x:v>Label/value placement in infographic has been text-verified but should receive a visual QA check before public release.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page 4; lines 87-129</x:v>
      </x:c>
      <x:c r="L14" s="24" t="str">
        <x:v>1,100</x:v>
      </x:c>
      <x:c r="M14" s="24" t="n">
        <x:v>1100</x:v>
      </x:c>
      <x:c r="N14" s="24" t="str">
        <x:v>COMPARABLE_WITH_QUALIFICATION</x:v>
      </x:c>
      <x:c r="O14" s="24"/>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page 4; lines 90-129</x:v>
      </x:c>
      <x:c r="L15" s="24" t="str">
        <x:v>92.462 billion YER</x:v>
      </x:c>
      <x:c r="M15" s="24" t="n">
        <x:v>92.462</x:v>
      </x:c>
      <x:c r="N15" s="24" t="str">
        <x:v>DIRECTLY_COMPARABLE</x:v>
      </x:c>
      <x:c r="O15" s="24"/>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page 4; lines 93-129</x:v>
      </x:c>
      <x:c r="L16" s="24" t="str">
        <x:v>25.626 million USD</x:v>
      </x:c>
      <x:c r="M16" s="24" t="n">
        <x:v>25.626</x:v>
      </x:c>
      <x:c r="N16" s="24" t="str">
        <x:v>DIRECTLY_COMPARABLE</x:v>
      </x:c>
      <x:c r="O16" s="24"/>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page 4; lines 96-138</x:v>
      </x:c>
      <x:c r="L17" s="24" t="str">
        <x:v>14.679 million SAR</x:v>
      </x:c>
      <x:c r="M17" s="24" t="n">
        <x:v>14.679</x:v>
      </x:c>
      <x:c r="N17" s="24" t="str">
        <x:v>DIRECTLY_COMPARABLE</x:v>
      </x:c>
      <x:c r="O17" s="24"/>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page 5; lines 147-178</x:v>
      </x:c>
      <x:c r="L18" s="24" t="str">
        <x:v>414631</x:v>
      </x:c>
      <x:c r="M18" s="24" t="n">
        <x:v>414631</x:v>
      </x:c>
      <x:c r="N18" s="24" t="str">
        <x:v>COMPARABLE_WITH_QUALIFICATION</x:v>
      </x:c>
      <x:c r="O18" s="24" t="str">
        <x:v>Subscriber definition/reporting universe requires reconciliation with H1 2025 before treating as one continuous series.</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page 5; lines 147-178</x:v>
      </x:c>
      <x:c r="L19" s="24" t="str">
        <x:v>507585</x:v>
      </x:c>
      <x:c r="M19" s="24" t="n">
        <x:v>507585</x:v>
      </x:c>
      <x:c r="N19" s="24" t="str">
        <x:v>COMPARABLE_WITH_QUALIFICATION</x:v>
      </x:c>
      <x:c r="O19" s="24" t="str">
        <x:v>Subscriber definition/reporting universe requires reconciliation with H1 2025 before treating as one continuous series.</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page 5; lines 147-178</x:v>
      </x:c>
      <x:c r="L20" s="24" t="str">
        <x:v>581075</x:v>
      </x:c>
      <x:c r="M20" s="24" t="n">
        <x:v>581075</x:v>
      </x:c>
      <x:c r="N20" s="24" t="str">
        <x:v>COMPARABLE_WITH_QUALIFICATION</x:v>
      </x:c>
      <x:c r="O20" s="24" t="str">
        <x:v>Subscriber definition/reporting universe requires reconciliation with H1 2025 before treating as one continuous series.</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page 5; lines 150-174</x:v>
      </x:c>
      <x:c r="L21" s="24" t="str">
        <x:v>9.57 billion YER</x:v>
      </x:c>
      <x:c r="M21" s="24" t="n">
        <x:v>9.57</x:v>
      </x:c>
      <x:c r="N21" s="24" t="str">
        <x:v>DIRECTLY_COMPARABLE</x:v>
      </x:c>
      <x:c r="O21" s="24"/>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page 5; lines 150-174</x:v>
      </x:c>
      <x:c r="L22" s="24" t="str">
        <x:v>7.38 billion YER</x:v>
      </x:c>
      <x:c r="M22" s="24" t="n">
        <x:v>7.38</x:v>
      </x:c>
      <x:c r="N22" s="24" t="str">
        <x:v>DIRECTLY_COMPARABLE</x:v>
      </x:c>
      <x:c r="O22" s="24"/>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page 5; lines 150-174</x:v>
      </x:c>
      <x:c r="L23" s="24" t="str">
        <x:v>29.941 billion YER</x:v>
      </x:c>
      <x:c r="M23" s="24" t="n">
        <x:v>29.941</x:v>
      </x:c>
      <x:c r="N23" s="24" t="str">
        <x:v>DIRECTLY_COMPARABLE</x:v>
      </x:c>
      <x:c r="O23" s="24"/>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page 5; lines 140-147</x:v>
      </x:c>
      <x:c r="L24" s="24" t="str">
        <x:v>7 e-wallets</x:v>
      </x:c>
      <x:c r="M24" s="24" t="n">
        <x:v>7</x:v>
      </x:c>
      <x:c r="N24" s="24" t="str">
        <x:v>COMPARABLE_WITH_QUALIFICATION</x:v>
      </x:c>
      <x:c r="O24" s="24"/>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page 6; lines 200-229</x:v>
      </x:c>
      <x:c r="L25" s="24" t="str">
        <x:v>38.003</x:v>
      </x:c>
      <x:c r="M25" s="24" t="n">
        <x:v>38.003</x:v>
      </x:c>
      <x:c r="N25" s="24" t="str">
        <x:v>DIRECTLY_COMPARABLE</x:v>
      </x:c>
      <x:c r="O25" s="24"/>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page 6; lines 200-229</x:v>
      </x:c>
      <x:c r="L26" s="24" t="str">
        <x:v>39.34</x:v>
      </x:c>
      <x:c r="M26" s="24" t="n">
        <x:v>39.34</x:v>
      </x:c>
      <x:c r="N26" s="24" t="str">
        <x:v>DIRECTLY_COMPARABLE</x:v>
      </x:c>
      <x:c r="O26" s="24"/>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page 6; lines 200-229</x:v>
      </x:c>
      <x:c r="L27" s="24" t="str">
        <x:v>53.539</x:v>
      </x:c>
      <x:c r="M27" s="24" t="n">
        <x:v>53.539</x:v>
      </x:c>
      <x:c r="N27" s="24" t="str">
        <x:v>DIRECTLY_COMPARABLE</x:v>
      </x:c>
      <x:c r="O27" s="24"/>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page 6; lines 196-228</x:v>
      </x:c>
      <x:c r="L28" s="24" t="str">
        <x:v>3,092</x:v>
      </x:c>
      <x:c r="M28" s="24" t="n">
        <x:v>3092</x:v>
      </x:c>
      <x:c r="N28" s="24" t="str">
        <x:v>DIRECTLY_COMPARABLE</x:v>
      </x:c>
      <x:c r="O28" s="24"/>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page 7; lines 230-267</x:v>
      </x:c>
      <x:c r="L29" s="24" t="str">
        <x:v>222</x:v>
      </x:c>
      <x:c r="M29" s="24" t="n">
        <x:v>222</x:v>
      </x:c>
      <x:c r="N29" s="24" t="str">
        <x:v>DIRECTLY_COMPARABLE</x:v>
      </x:c>
      <x:c r="O29" s="24"/>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page 7; lines 230-267</x:v>
      </x:c>
      <x:c r="L30" s="24" t="str">
        <x:v>15.72</x:v>
      </x:c>
      <x:c r="M30" s="24" t="n">
        <x:v>15.72</x:v>
      </x:c>
      <x:c r="N30" s="24" t="str">
        <x:v>DIRECTLY_COMPARABLE</x:v>
      </x:c>
      <x:c r="O30" s="24"/>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page 7; lines 230-267</x:v>
      </x:c>
      <x:c r="L31" s="24" t="str">
        <x:v>251</x:v>
      </x:c>
      <x:c r="M31" s="24" t="n">
        <x:v>251</x:v>
      </x:c>
      <x:c r="N31" s="24" t="str">
        <x:v>DIRECTLY_COMPARABLE</x:v>
      </x:c>
      <x:c r="O31" s="24"/>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page 7; lines 230-267</x:v>
      </x:c>
      <x:c r="L32" s="24" t="str">
        <x:v>19.08</x:v>
      </x:c>
      <x:c r="M32" s="24" t="n">
        <x:v>19.08</x:v>
      </x:c>
      <x:c r="N32" s="24" t="str">
        <x:v>DIRECTLY_COMPARABLE</x:v>
      </x:c>
      <x:c r="O32" s="24"/>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page 7; lines 230-267</x:v>
      </x:c>
      <x:c r="L33" s="24" t="str">
        <x:v>356</x:v>
      </x:c>
      <x:c r="M33" s="24" t="n">
        <x:v>356</x:v>
      </x:c>
      <x:c r="N33" s="24" t="str">
        <x:v>DIRECTLY_COMPARABLE</x:v>
      </x:c>
      <x:c r="O33" s="24"/>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page 7; lines 230-267</x:v>
      </x:c>
      <x:c r="L34" s="24" t="str">
        <x:v>30.557</x:v>
      </x:c>
      <x:c r="M34" s="24" t="n">
        <x:v>30.557</x:v>
      </x:c>
      <x:c r="N34" s="24" t="str">
        <x:v>DIRECTLY_COMPARABLE</x:v>
      </x:c>
      <x:c r="O34" s="24"/>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lines 2-86</x:v>
      </x:c>
      <x:c r="L41" s="24" t="str">
        <x:v>5,202,019</x:v>
      </x:c>
      <x:c r="M41" s="24" t="n">
        <x:v>5202019</x:v>
      </x:c>
      <x:c r="N41" s="24" t="str">
        <x:v>UNKNOWN</x:v>
      </x:c>
      <x:c r="O41" s="24" t="str">
        <x:v>Source aggregate; definition/period semantics require methodology note before public use.</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lines 32-83</x:v>
      </x:c>
      <x:c r="L42" s="24" t="str">
        <x:v>81% male</x:v>
      </x:c>
      <x:c r="M42" s="24" t="n">
        <x:v>81</x:v>
      </x:c>
      <x:c r="N42" s="24" t="str">
        <x:v>UNKNOWN</x:v>
      </x:c>
      <x:c r="O42" s="24" t="str">
        <x:v>Composition share as displayed by source; do not interpret as a population financial-inclusion rate.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lines 32-83</x:v>
      </x:c>
      <x:c r="L43" s="24" t="str">
        <x:v>18% female</x:v>
      </x:c>
      <x:c r="M43" s="24" t="n">
        <x:v>18</x:v>
      </x:c>
      <x:c r="N43" s="24" t="str">
        <x:v>UNKNOWN</x:v>
      </x:c>
      <x:c r="O43" s="24" t="str">
        <x:v>Composition share as displayed by source; do not interpret as a population financial-inclusion rate.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lines 32-83</x:v>
      </x:c>
      <x:c r="L44" s="24" t="str">
        <x:v>1% companies</x:v>
      </x:c>
      <x:c r="M44" s="24" t="n">
        <x:v>1</x:v>
      </x:c>
      <x:c r="N44" s="24" t="str">
        <x:v>UNKNOWN</x:v>
      </x:c>
      <x:c r="O44" s="24" t="str">
        <x:v>Composition share as displayed by source; do not interpret as a population financial-inclusion rate.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lines 32-83</x:v>
      </x:c>
      <x:c r="L45" s="24" t="str">
        <x:v>84% male</x:v>
      </x:c>
      <x:c r="M45" s="24" t="n">
        <x:v>84</x:v>
      </x:c>
      <x:c r="N45" s="24" t="str">
        <x:v>UNKNOWN</x:v>
      </x:c>
      <x:c r="O45" s="24" t="str">
        <x:v>Composition share as displayed by source; do not interpret as a population financial-inclusion rate.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lines 32-83</x:v>
      </x:c>
      <x:c r="L46" s="24" t="str">
        <x:v>16% female</x:v>
      </x:c>
      <x:c r="M46" s="24" t="n">
        <x:v>16</x:v>
      </x:c>
      <x:c r="N46" s="24" t="str">
        <x:v>UNKNOWN</x:v>
      </x:c>
      <x:c r="O46" s="24" t="str">
        <x:v>Composition share as displayed by source; do not interpret as a population financial-inclusion rate.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row r="87">
      <x:c r="A87" s="24" t="str">
        <x:v>OBS-00083</x:v>
      </x:c>
      <x:c r="B87" s="24" t="str">
        <x:v>IND-0002</x:v>
      </x:c>
      <x:c r="C87" s="24" t="n">
        <x:v>1502</x:v>
      </x:c>
      <x:c r="D87" s="24" t="str">
        <x:v>count</x:v>
      </x:c>
      <x:c r="E87" s="24"/>
      <x:c r="F87" s="24" t="str">
        <x:v>2026-02</x:v>
      </x:c>
      <x:c r="G87" s="24" t="str">
        <x:v>GEO-YEM-NAT</x:v>
      </x:c>
      <x:c r="H87" s="24" t="str">
        <x:v>CBY POS reporting scope; not automatically equivalent to full-population or person-level coverage.</x:v>
      </x:c>
      <x:c r="I87" s="24" t="str">
        <x:v>CBY POS reporting scope</x:v>
      </x:c>
      <x:c r="J87" s="24" t="str">
        <x:v>SRC-CBY-POS-2026-02</x:v>
      </x:c>
      <x:c r="K87" s="24" t="str">
        <x:v>one-page monthly POS infographic (Arabic payments page, https://cby-ye.com/pages/33); KPI tile</x:v>
      </x:c>
      <x:c r="L87" s="24" t="str">
        <x:v>1,502</x:v>
      </x:c>
      <x:c r="M87" s="24" t="n">
        <x:v>1502</x:v>
      </x:c>
      <x:c r="N87" s="24" t="str">
        <x:v>DIRECTLY_COMPARABLE</x:v>
      </x:c>
      <x:c r="O87" s="24" t="str">
        <x:v>February 2026 displays +1.9% where the totals give about 1.97%: a difference under 0.1 point, recorded, not flagged.</x:v>
      </x:c>
    </x:row>
    <x:row r="88">
      <x:c r="A88" s="24" t="str">
        <x:v>OBS-00084</x:v>
      </x:c>
      <x:c r="B88" s="24" t="str">
        <x:v>IND-0003</x:v>
      </x:c>
      <x:c r="C88" s="24" t="n">
        <x:v>23037</x:v>
      </x:c>
      <x:c r="D88" s="24" t="str">
        <x:v>count</x:v>
      </x:c>
      <x:c r="E88" s="24"/>
      <x:c r="F88" s="24" t="str">
        <x:v>2026-02</x:v>
      </x:c>
      <x:c r="G88" s="24" t="str">
        <x:v>GEO-YEM-NAT</x:v>
      </x:c>
      <x:c r="H88" s="24" t="str">
        <x:v>CBY POS reporting scope; not automatically equivalent to full-population or person-level coverage.</x:v>
      </x:c>
      <x:c r="I88" s="24" t="str">
        <x:v>CBY POS reporting scope</x:v>
      </x:c>
      <x:c r="J88" s="24" t="str">
        <x:v>SRC-CBY-POS-2026-02</x:v>
      </x:c>
      <x:c r="K88" s="24" t="str">
        <x:v>one-page monthly POS infographic (Arabic payments page, https://cby-ye.com/pages/33); KPI tile</x:v>
      </x:c>
      <x:c r="L88" s="24" t="str">
        <x:v>23,037</x:v>
      </x:c>
      <x:c r="M88" s="24" t="n">
        <x:v>23037</x:v>
      </x:c>
      <x:c r="N88" s="24" t="str">
        <x:v>DIRECTLY_COMPARABLE</x:v>
      </x:c>
      <x:c r="O88" s="24"/>
    </x:row>
    <x:row r="89">
      <x:c r="A89" s="24" t="str">
        <x:v>OBS-00085</x:v>
      </x:c>
      <x:c r="B89" s="24" t="str">
        <x:v>IND-0004</x:v>
      </x:c>
      <x:c r="C89" s="24" t="n">
        <x:v>1232</x:v>
      </x:c>
      <x:c r="D89" s="24" t="str">
        <x:v>YER_million</x:v>
      </x:c>
      <x:c r="E89" s="24" t="str">
        <x:v>YER</x:v>
      </x:c>
      <x:c r="F89" s="24" t="str">
        <x:v>2026-02</x:v>
      </x:c>
      <x:c r="G89" s="24" t="str">
        <x:v>GEO-YEM-NAT</x:v>
      </x:c>
      <x:c r="H89" s="24" t="str">
        <x:v>CBY POS reporting scope; not automatically equivalent to full-population or person-level coverage.</x:v>
      </x:c>
      <x:c r="I89" s="24" t="str">
        <x:v>CBY POS reporting scope</x:v>
      </x:c>
      <x:c r="J89" s="24" t="str">
        <x:v>SRC-CBY-POS-2026-02</x:v>
      </x:c>
      <x:c r="K89" s="24" t="str">
        <x:v>one-page monthly POS infographic (Arabic payments page, https://cby-ye.com/pages/33); KPI tile</x:v>
      </x:c>
      <x:c r="L89" s="24" t="str">
        <x:v>1,232 مليار</x:v>
      </x:c>
      <x:c r="M89" s="24" t="n">
        <x:v>1232</x:v>
      </x:c>
      <x:c r="N89" s="24" t="str">
        <x:v>DIRECTLY_COMPARABLE</x:v>
      </x:c>
      <x:c r="O89" s="24" t="str">
        <x:v>Normalized to YER millions. The tile prints 1,232 under «مليار» (billion) with a comma as the decimal mark: 1.232 billion, that is YER 1,232 million, the series unit; the earlier releases print millions the same way (April 2025: 317,639 under million = 317.639 million). Displayed change −2.3%.</x:v>
      </x:c>
    </x:row>
    <x:row r="90">
      <x:c r="A90" s="24" t="str">
        <x:v>OBS-00086</x:v>
      </x:c>
      <x:c r="B90" s="24" t="str">
        <x:v>IND-0002</x:v>
      </x:c>
      <x:c r="C90" s="24" t="n">
        <x:v>1544</x:v>
      </x:c>
      <x:c r="D90" s="24" t="str">
        <x:v>count</x:v>
      </x:c>
      <x:c r="E90" s="24"/>
      <x:c r="F90" s="24" t="str">
        <x:v>2026-03</x:v>
      </x:c>
      <x:c r="G90" s="24" t="str">
        <x:v>GEO-YEM-NAT</x:v>
      </x:c>
      <x:c r="H90" s="24" t="str">
        <x:v>CBY POS reporting scope; not automatically equivalent to full-population or person-level coverage.</x:v>
      </x:c>
      <x:c r="I90" s="24" t="str">
        <x:v>CBY POS reporting scope</x:v>
      </x:c>
      <x:c r="J90" s="24" t="str">
        <x:v>SRC-CBY-POS-2026-03</x:v>
      </x:c>
      <x:c r="K90" s="24" t="str">
        <x:v>one-page monthly POS infographic (Arabic payments page, https://cby-ye.com/pages/33); KPI tile</x:v>
      </x:c>
      <x:c r="L90" s="24" t="str">
        <x:v>1,544</x:v>
      </x:c>
      <x:c r="M90" s="24" t="n">
        <x:v>1544</x:v>
      </x:c>
      <x:c r="N90" s="24" t="str">
        <x:v>DIRECTLY_COMPARABLE</x:v>
      </x:c>
      <x:c r="O90" s="24"/>
    </x:row>
    <x:row r="91">
      <x:c r="A91" s="24" t="str">
        <x:v>OBS-00087</x:v>
      </x:c>
      <x:c r="B91" s="24" t="str">
        <x:v>IND-0003</x:v>
      </x:c>
      <x:c r="C91" s="24" t="n">
        <x:v>25663</x:v>
      </x:c>
      <x:c r="D91" s="24" t="str">
        <x:v>count</x:v>
      </x:c>
      <x:c r="E91" s="24"/>
      <x:c r="F91" s="24" t="str">
        <x:v>2026-03</x:v>
      </x:c>
      <x:c r="G91" s="24" t="str">
        <x:v>GEO-YEM-NAT</x:v>
      </x:c>
      <x:c r="H91" s="24" t="str">
        <x:v>CBY POS reporting scope; not automatically equivalent to full-population or person-level coverage.</x:v>
      </x:c>
      <x:c r="I91" s="24" t="str">
        <x:v>CBY POS reporting scope</x:v>
      </x:c>
      <x:c r="J91" s="24" t="str">
        <x:v>SRC-CBY-POS-2026-03</x:v>
      </x:c>
      <x:c r="K91" s="24" t="str">
        <x:v>one-page monthly POS infographic (Arabic payments page, https://cby-ye.com/pages/33); KPI tile</x:v>
      </x:c>
      <x:c r="L91" s="24" t="str">
        <x:v>25,663</x:v>
      </x:c>
      <x:c r="M91" s="24" t="n">
        <x:v>25663</x:v>
      </x:c>
      <x:c r="N91" s="24" t="str">
        <x:v>DIRECTLY_COMPARABLE</x:v>
      </x:c>
      <x:c r="O91" s="24"/>
    </x:row>
    <x:row r="92">
      <x:c r="A92" s="24" t="str">
        <x:v>OBS-00088</x:v>
      </x:c>
      <x:c r="B92" s="24" t="str">
        <x:v>IND-0004</x:v>
      </x:c>
      <x:c r="C92" s="24" t="n">
        <x:v>1124</x:v>
      </x:c>
      <x:c r="D92" s="24" t="str">
        <x:v>YER_million</x:v>
      </x:c>
      <x:c r="E92" s="24" t="str">
        <x:v>YER</x:v>
      </x:c>
      <x:c r="F92" s="24" t="str">
        <x:v>2026-03</x:v>
      </x:c>
      <x:c r="G92" s="24" t="str">
        <x:v>GEO-YEM-NAT</x:v>
      </x:c>
      <x:c r="H92" s="24" t="str">
        <x:v>CBY POS reporting scope; not automatically equivalent to full-population or person-level coverage.</x:v>
      </x:c>
      <x:c r="I92" s="24" t="str">
        <x:v>CBY POS reporting scope</x:v>
      </x:c>
      <x:c r="J92" s="24" t="str">
        <x:v>SRC-CBY-POS-2026-03</x:v>
      </x:c>
      <x:c r="K92" s="24" t="str">
        <x:v>one-page monthly POS infographic (Arabic payments page, https://cby-ye.com/pages/33); KPI tile</x:v>
      </x:c>
      <x:c r="L92" s="24" t="str">
        <x:v>1,124 مليار</x:v>
      </x:c>
      <x:c r="M92" s="24" t="n">
        <x:v>1124</x:v>
      </x:c>
      <x:c r="N92" s="24" t="str">
        <x:v>DIRECTLY_COMPARABLE</x:v>
      </x:c>
      <x:c r="O92" s="24" t="str">
        <x:v>Normalized to YER millions. The tile prints 1,124 under «مليار» (billion) with a comma as the decimal mark: 1.124 billion, that is YER 1,124 million, the series unit; the earlier releases print millions the same way (April 2025: 317,639 under million = 317.639 million). Displayed change −8.8%.</x:v>
      </x:c>
    </x:row>
    <x:row r="93">
      <x:c r="A93" s="24" t="str">
        <x:v>OBS-00089</x:v>
      </x:c>
      <x:c r="B93" s="24" t="str">
        <x:v>IND-0002</x:v>
      </x:c>
      <x:c r="C93" s="24" t="n">
        <x:v>1583</x:v>
      </x:c>
      <x:c r="D93" s="24" t="str">
        <x:v>count</x:v>
      </x:c>
      <x:c r="E93" s="24"/>
      <x:c r="F93" s="24" t="str">
        <x:v>2026-04</x:v>
      </x:c>
      <x:c r="G93" s="24" t="str">
        <x:v>GEO-YEM-NAT</x:v>
      </x:c>
      <x:c r="H93" s="24" t="str">
        <x:v>CBY POS reporting scope; not automatically equivalent to full-population or person-level coverage.</x:v>
      </x:c>
      <x:c r="I93" s="24" t="str">
        <x:v>CBY POS reporting scope</x:v>
      </x:c>
      <x:c r="J93" s="24" t="str">
        <x:v>SRC-CBY-POS-2026-04</x:v>
      </x:c>
      <x:c r="K93" s="24" t="str">
        <x:v>one-page monthly POS infographic (Arabic payments page, https://cby-ye.com/pages/33); KPI tile</x:v>
      </x:c>
      <x:c r="L93" s="24" t="str">
        <x:v>1,583</x:v>
      </x:c>
      <x:c r="M93" s="24" t="n">
        <x:v>1583</x:v>
      </x:c>
      <x:c r="N93" s="24" t="str">
        <x:v>DIRECTLY_COMPARABLE</x:v>
      </x:c>
      <x:c r="O93" s="24"/>
    </x:row>
    <x:row r="94">
      <x:c r="A94" s="24" t="str">
        <x:v>OBS-00090</x:v>
      </x:c>
      <x:c r="B94" s="24" t="str">
        <x:v>IND-0003</x:v>
      </x:c>
      <x:c r="C94" s="24" t="n">
        <x:v>30559</x:v>
      </x:c>
      <x:c r="D94" s="24" t="str">
        <x:v>count</x:v>
      </x:c>
      <x:c r="E94" s="24"/>
      <x:c r="F94" s="24" t="str">
        <x:v>2026-04</x:v>
      </x:c>
      <x:c r="G94" s="24" t="str">
        <x:v>GEO-YEM-NAT</x:v>
      </x:c>
      <x:c r="H94" s="24" t="str">
        <x:v>CBY POS reporting scope; not automatically equivalent to full-population or person-level coverage.</x:v>
      </x:c>
      <x:c r="I94" s="24" t="str">
        <x:v>CBY POS reporting scope</x:v>
      </x:c>
      <x:c r="J94" s="24" t="str">
        <x:v>SRC-CBY-POS-2026-04</x:v>
      </x:c>
      <x:c r="K94" s="24" t="str">
        <x:v>one-page monthly POS infographic (Arabic payments page, https://cby-ye.com/pages/33); KPI tile</x:v>
      </x:c>
      <x:c r="L94" s="24" t="str">
        <x:v>30,559</x:v>
      </x:c>
      <x:c r="M94" s="24" t="n">
        <x:v>30559</x:v>
      </x:c>
      <x:c r="N94" s="24" t="str">
        <x:v>DIRECTLY_COMPARABLE</x:v>
      </x:c>
      <x:c r="O94" s="24"/>
    </x:row>
    <x:row r="95">
      <x:c r="A95" s="24" t="str">
        <x:v>OBS-00091</x:v>
      </x:c>
      <x:c r="B95" s="24" t="str">
        <x:v>IND-0004</x:v>
      </x:c>
      <x:c r="C95" s="24" t="n">
        <x:v>1244</x:v>
      </x:c>
      <x:c r="D95" s="24" t="str">
        <x:v>YER_million</x:v>
      </x:c>
      <x:c r="E95" s="24" t="str">
        <x:v>YER</x:v>
      </x:c>
      <x:c r="F95" s="24" t="str">
        <x:v>2026-04</x:v>
      </x:c>
      <x:c r="G95" s="24" t="str">
        <x:v>GEO-YEM-NAT</x:v>
      </x:c>
      <x:c r="H95" s="24" t="str">
        <x:v>CBY POS reporting scope; not automatically equivalent to full-population or person-level coverage.</x:v>
      </x:c>
      <x:c r="I95" s="24" t="str">
        <x:v>CBY POS reporting scope</x:v>
      </x:c>
      <x:c r="J95" s="24" t="str">
        <x:v>SRC-CBY-POS-2026-04</x:v>
      </x:c>
      <x:c r="K95" s="24" t="str">
        <x:v>one-page monthly POS infographic (Arabic payments page, https://cby-ye.com/pages/33); KPI tile</x:v>
      </x:c>
      <x:c r="L95" s="24" t="str">
        <x:v>1,244 مليار</x:v>
      </x:c>
      <x:c r="M95" s="24" t="n">
        <x:v>1244</x:v>
      </x:c>
      <x:c r="N95" s="24" t="str">
        <x:v>DIRECTLY_COMPARABLE</x:v>
      </x:c>
      <x:c r="O95" s="24" t="str">
        <x:v>Normalized to YER millions. The tile prints 1,244 under «مليار» (billion) with a comma as the decimal mark: 1.244 billion, that is YER 1,244 million, the series unit; the earlier releases print millions the same way (April 2025: 317,639 under million = 317.639 million). Displayed change +10.7%.</x:v>
      </x:c>
    </x:row>
    <x:row r="96">
      <x:c r="A96" s="24" t="str">
        <x:v>OBS-00092</x:v>
      </x:c>
      <x:c r="B96" s="24" t="str">
        <x:v>IND-0002</x:v>
      </x:c>
      <x:c r="C96" s="24" t="n">
        <x:v>1636</x:v>
      </x:c>
      <x:c r="D96" s="24" t="str">
        <x:v>count</x:v>
      </x:c>
      <x:c r="E96" s="24"/>
      <x:c r="F96" s="24" t="str">
        <x:v>2026-05</x:v>
      </x:c>
      <x:c r="G96" s="24" t="str">
        <x:v>GEO-YEM-NAT</x:v>
      </x:c>
      <x:c r="H96" s="24" t="str">
        <x:v>CBY POS reporting scope; not automatically equivalent to full-population or person-level coverage.</x:v>
      </x:c>
      <x:c r="I96" s="24" t="str">
        <x:v>CBY POS reporting scope</x:v>
      </x:c>
      <x:c r="J96" s="24" t="str">
        <x:v>SRC-CBY-POS-2026-05</x:v>
      </x:c>
      <x:c r="K96" s="24" t="str">
        <x:v>one-page monthly POS infographic (Arabic payments page, https://cby-ye.com/pages/33); KPI tile</x:v>
      </x:c>
      <x:c r="L96" s="24" t="str">
        <x:v>1,636</x:v>
      </x:c>
      <x:c r="M96" s="24" t="n">
        <x:v>1636</x:v>
      </x:c>
      <x:c r="N96" s="24" t="str">
        <x:v>DIRECTLY_COMPARABLE_WITH_SOURCE_INTERNAL_PERCENT_CONTRADICTION</x:v>
      </x:c>
      <x:c r="O96" s="24" t="str">
        <x:v>May 2026 source-displayed +2.4% POS change does not reconcile to the published April 1,583 and May 1,636; retain raw totals and control the contradiction; no change is derived for this month because the source contradicts itself (owner note, 3 October 2026).</x:v>
      </x:c>
    </x:row>
    <x:row r="97">
      <x:c r="A97" s="24" t="str">
        <x:v>OBS-00093</x:v>
      </x:c>
      <x:c r="B97" s="24" t="str">
        <x:v>IND-0003</x:v>
      </x:c>
      <x:c r="C97" s="24" t="n">
        <x:v>36201</x:v>
      </x:c>
      <x:c r="D97" s="24" t="str">
        <x:v>count</x:v>
      </x:c>
      <x:c r="E97" s="24"/>
      <x:c r="F97" s="24" t="str">
        <x:v>2026-05</x:v>
      </x:c>
      <x:c r="G97" s="24" t="str">
        <x:v>GEO-YEM-NAT</x:v>
      </x:c>
      <x:c r="H97" s="24" t="str">
        <x:v>CBY POS reporting scope; not automatically equivalent to full-population or person-level coverage.</x:v>
      </x:c>
      <x:c r="I97" s="24" t="str">
        <x:v>CBY POS reporting scope</x:v>
      </x:c>
      <x:c r="J97" s="24" t="str">
        <x:v>SRC-CBY-POS-2026-05</x:v>
      </x:c>
      <x:c r="K97" s="24" t="str">
        <x:v>one-page monthly POS infographic (Arabic payments page, https://cby-ye.com/pages/33); KPI tile</x:v>
      </x:c>
      <x:c r="L97" s="24" t="str">
        <x:v>36,201</x:v>
      </x:c>
      <x:c r="M97" s="24" t="n">
        <x:v>36201</x:v>
      </x:c>
      <x:c r="N97" s="24" t="str">
        <x:v>DIRECTLY_COMPARABLE_WITH_SOURCE_INTERNAL_PERCENT_CONTRADICTION</x:v>
      </x:c>
      <x:c r="O97" s="24" t="str">
        <x:v>May 2026 source-displayed +9.9% transaction-count change does not reconcile to the published April 30,559 and May 36,201; retain raw totals and control the contradiction; no change is derived for this month because the source contradicts itself (owner note, 3 October 2026).</x:v>
      </x:c>
    </x:row>
    <x:row r="98">
      <x:c r="A98" s="24" t="str">
        <x:v>OBS-00094</x:v>
      </x:c>
      <x:c r="B98" s="24" t="str">
        <x:v>IND-0004</x:v>
      </x:c>
      <x:c r="C98" s="24" t="n">
        <x:v>1579</x:v>
      </x:c>
      <x:c r="D98" s="24" t="str">
        <x:v>YER_million</x:v>
      </x:c>
      <x:c r="E98" s="24" t="str">
        <x:v>YER</x:v>
      </x:c>
      <x:c r="F98" s="24" t="str">
        <x:v>2026-05</x:v>
      </x:c>
      <x:c r="G98" s="24" t="str">
        <x:v>GEO-YEM-NAT</x:v>
      </x:c>
      <x:c r="H98" s="24" t="str">
        <x:v>CBY POS reporting scope; not automatically equivalent to full-population or person-level coverage.</x:v>
      </x:c>
      <x:c r="I98" s="24" t="str">
        <x:v>CBY POS reporting scope</x:v>
      </x:c>
      <x:c r="J98" s="24" t="str">
        <x:v>SRC-CBY-POS-2026-05</x:v>
      </x:c>
      <x:c r="K98" s="24" t="str">
        <x:v>one-page monthly POS infographic (Arabic payments page, https://cby-ye.com/pages/33); KPI tile</x:v>
      </x:c>
      <x:c r="L98" s="24" t="str">
        <x:v>1,579 مليار</x:v>
      </x:c>
      <x:c r="M98" s="24" t="n">
        <x:v>1579</x:v>
      </x:c>
      <x:c r="N98" s="24" t="str">
        <x:v>DIRECTLY_COMPARABLE</x:v>
      </x:c>
      <x:c r="O98" s="24" t="str">
        <x:v>Normalized to YER millions. The tile prints 1,579 under «مليار» (billion) with a comma as the decimal mark: 1.579 billion, that is YER 1,579 million, the series unit; the earlier releases print millions the same way (April 2025: 317,639 under million = 317.639 million). Displayed change +26.9%.</x:v>
      </x:c>
    </x:row>
    <x:row r="99">
      <x:c r="A99" s="24" t="str">
        <x:v>OBS-00095</x:v>
      </x:c>
      <x:c r="B99" s="24" t="str">
        <x:v>IND-0002</x:v>
      </x:c>
      <x:c r="C99" s="24" t="n">
        <x:v>1651</x:v>
      </x:c>
      <x:c r="D99" s="24" t="str">
        <x:v>count</x:v>
      </x:c>
      <x:c r="E99" s="24"/>
      <x:c r="F99" s="24" t="str">
        <x:v>2026-06</x:v>
      </x:c>
      <x:c r="G99" s="24" t="str">
        <x:v>GEO-YEM-NAT</x:v>
      </x:c>
      <x:c r="H99" s="24" t="str">
        <x:v>CBY POS reporting scope; not automatically equivalent to full-population or person-level coverage.</x:v>
      </x:c>
      <x:c r="I99" s="24" t="str">
        <x:v>CBY POS reporting scope</x:v>
      </x:c>
      <x:c r="J99" s="24" t="str">
        <x:v>SRC-CBY-POS-2026-06</x:v>
      </x:c>
      <x:c r="K99" s="24" t="str">
        <x:v>one-page monthly POS infographic (Arabic payments page, https://cby-ye.com/pages/33); KPI tile</x:v>
      </x:c>
      <x:c r="L99" s="24" t="str">
        <x:v>1,651</x:v>
      </x:c>
      <x:c r="M99" s="24" t="n">
        <x:v>1651</x:v>
      </x:c>
      <x:c r="N99" s="24" t="str">
        <x:v>DIRECTLY_COMPARABLE</x:v>
      </x:c>
      <x:c r="O99" s="24"/>
    </x:row>
    <x:row r="100">
      <x:c r="A100" s="24" t="str">
        <x:v>OBS-00096</x:v>
      </x:c>
      <x:c r="B100" s="24" t="str">
        <x:v>IND-0003</x:v>
      </x:c>
      <x:c r="C100" s="24" t="n">
        <x:v>27504</x:v>
      </x:c>
      <x:c r="D100" s="24" t="str">
        <x:v>count</x:v>
      </x:c>
      <x:c r="E100" s="24"/>
      <x:c r="F100" s="24" t="str">
        <x:v>2026-06</x:v>
      </x:c>
      <x:c r="G100" s="24" t="str">
        <x:v>GEO-YEM-NAT</x:v>
      </x:c>
      <x:c r="H100" s="24" t="str">
        <x:v>CBY POS reporting scope; not automatically equivalent to full-population or person-level coverage.</x:v>
      </x:c>
      <x:c r="I100" s="24" t="str">
        <x:v>CBY POS reporting scope</x:v>
      </x:c>
      <x:c r="J100" s="24" t="str">
        <x:v>SRC-CBY-POS-2026-06</x:v>
      </x:c>
      <x:c r="K100" s="24" t="str">
        <x:v>one-page monthly POS infographic (Arabic payments page, https://cby-ye.com/pages/33); KPI tile</x:v>
      </x:c>
      <x:c r="L100" s="24" t="str">
        <x:v>27,504</x:v>
      </x:c>
      <x:c r="M100" s="24" t="n">
        <x:v>27504</x:v>
      </x:c>
      <x:c r="N100" s="24" t="str">
        <x:v>DIRECTLY_COMPARABLE</x:v>
      </x:c>
      <x:c r="O100" s="24"/>
    </x:row>
    <x:row r="101">
      <x:c r="A101" s="24" t="str">
        <x:v>OBS-00097</x:v>
      </x:c>
      <x:c r="B101" s="24" t="str">
        <x:v>IND-0004</x:v>
      </x:c>
      <x:c r="C101" s="24" t="n">
        <x:v>1045</x:v>
      </x:c>
      <x:c r="D101" s="24" t="str">
        <x:v>YER_million</x:v>
      </x:c>
      <x:c r="E101" s="24" t="str">
        <x:v>YER</x:v>
      </x:c>
      <x:c r="F101" s="24" t="str">
        <x:v>2026-06</x:v>
      </x:c>
      <x:c r="G101" s="24" t="str">
        <x:v>GEO-YEM-NAT</x:v>
      </x:c>
      <x:c r="H101" s="24" t="str">
        <x:v>CBY POS reporting scope; not automatically equivalent to full-population or person-level coverage.</x:v>
      </x:c>
      <x:c r="I101" s="24" t="str">
        <x:v>CBY POS reporting scope</x:v>
      </x:c>
      <x:c r="J101" s="24" t="str">
        <x:v>SRC-CBY-POS-2026-06</x:v>
      </x:c>
      <x:c r="K101" s="24" t="str">
        <x:v>one-page monthly POS infographic (Arabic payments page, https://cby-ye.com/pages/33); KPI tile</x:v>
      </x:c>
      <x:c r="L101" s="24" t="str">
        <x:v>1,045 مليار</x:v>
      </x:c>
      <x:c r="M101" s="24" t="n">
        <x:v>1045</x:v>
      </x:c>
      <x:c r="N101" s="24" t="str">
        <x:v>DIRECTLY_COMPARABLE</x:v>
      </x:c>
      <x:c r="O101" s="24" t="str">
        <x:v>Normalized to YER millions. The tile prints 1,045 under «مليار» (billion) with a comma as the decimal mark: 1.045 billion, that is YER 1,045 million, the series unit; the earlier releases print millions the same way (April 2025: 317,639 under million = 317.639 million). Displayed change −33.8%.</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https://web.archive.org/web/20240619144721/https://sfd.sfd-yemen.org/uploads/issues/SFD_Nwesletter_en-62-2%20NEW2-20140312-132450.pdf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https://sfd-yemen.org/uploads/issues/Newsletter-Quarter-2-2014.pdf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https://sfd-yemen.org/uploads/issues/Newsletter-Quarter-4-2017.pdf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https://sfd-yemen.org/uploads/issues/Newsletter-Quarter-1-2019.pdf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https://sfd-yemen.org/uploads/issues/Newsletter-Quarter-4-2020.pdf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https://web.archive.org/web/20241112185856/https://smed.sfd-yemen.org/index.php/en/blog-4/aaflp1/477-nov-2023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https://web.archive.org/web/20241006192210/https://sfd-yemen.org/uploads/issues/Microfinance%20Islamic%20Products%20Study(TOR)-20130109-132034.pdf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https://web.archive.org/web/20250213094943/https://sfd-yemen.org/uploads/issues/Newsletter-12-ENGLISH%20-20120718-113859.pdf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https://web.archive.org/web/20241006192210/https://sfd-yemen.org/uploads/issues/Microfinance%20Islamic%20Products%20Study(TOR)-20130109-132034.pdf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https://sfd-yemen.org/uploads/issues/Newsletter-Quarter-1-2012.pdf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https://web.archive.org/web/20240619144721/https://sfd.sfd-yemen.org/uploads/issues/SFD_Nwesletter_en-62-2%20NEW2-20140312-132450.pdf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https://sfd-yemen.org/uploads/issues/Newsletter-Quarter-2-2014.pdf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https://sfd-yemen.org/uploads/issues/Newsletter-Quarter-4-2017.pdf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https://sfd-yemen.org/uploads/issues/Newsletter-Quarter-1-2019.pdf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https://sfd-yemen.org/uploads/issues/Newsletter-Quarter-4-2020.pdf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2026-10-03</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2026-10-03</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2026-10-03</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2026-10-03</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2026-10-03</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2026-10-03</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2026-10-03</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2026-10-03</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2026-10-03</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2026-10-03</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2026-10-03</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2026-10-03</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2026-10-03</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2026-10-03</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2026-10-03</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2026-10-03</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2026-10-03</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2026-10-03</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2026-10-03</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2026-10-03</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2026-10-03</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2026-10-03</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2026-10-03</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2026-10-03</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2026-10-03</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2026-10-03</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1" s="24" t="str">
        <x:v>Names are non-public lineage at every corroboration tier (owner decisions of 3 October 2026, 09:05, point 1).</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2" s="24" t="str">
        <x:v>Names are non-public lineage at every corroboration tier (owner decisions of 3 October 2026, 09:05, point 1).</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3" s="24" t="str">
        <x:v>Names are non-public lineage at every corroboration tier (owner decisions of 3 October 2026, 09:05, point 1).</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4" s="24" t="str">
        <x:v>Names are non-public lineage at every corroboration tier (owner decisions of 3 October 2026, 09:05, point 1).</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5" s="24" t="str">
        <x:v>Names are non-public lineage at every corroboration tier (owner decisions of 3 October 2026, 09:05, point 1).</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6" s="24" t="str">
        <x:v>Names are non-public lineage at every corroboration tier (owner decisions of 3 October 2026, 09:05, point 1).</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7" s="24" t="str">
        <x:v>Names are non-public lineage at every corroboration tier (owner decisions of 3 October 2026, 09:05, point 1).</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8" s="24" t="str">
        <x:v>Names are non-public lineage at every corroboration tier (owner decisions of 3 October 2026, 09:05, point 1).</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9" s="24" t="str">
        <x:v>Names are non-public lineage at every corroboration tier (owner decisions of 3 October 2026, 09:05, point 1).</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0" s="24" t="str">
        <x:v>Names are non-public lineage at every corroboration tier (owner decisions of 3 October 2026, 09:05, point 1).</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1" s="24" t="str">
        <x:v>Names are non-public lineage at every corroboration tier (owner decisions of 3 October 2026, 09:05, point 1).</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2" s="24" t="str">
        <x:v>Names are non-public lineage at every corroboration tier (owner decisions of 3 October 2026, 09:05, point 1).</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3" s="24" t="str">
        <x:v>Names are non-public lineage at every corroboration tier (owner decisions of 3 October 2026, 09:05, point 1).</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4" s="24" t="str">
        <x:v>Names are non-public lineage at every corroboration tier (owner decisions of 3 October 2026, 09:05, point 1).</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5" s="24" t="str">
        <x:v>Names are non-public lineage at every corroboration tier (owner decisions of 3 October 2026, 09:05, point 1).</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6" s="24" t="str">
        <x:v>Names are non-public lineage at every corroboration tier (owner decisions of 3 October 2026, 09:05, point 1).</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7" s="24" t="str">
        <x:v>Names are non-public lineage at every corroboration tier (owner decisions of 3 October 2026, 09:05, point 1).</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8" s="24" t="str">
        <x:v>Names are non-public lineage at every corroboration tier (owner decisions of 3 October 2026, 09:05, point 1).</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9" s="24" t="str">
        <x:v>Names are non-public lineage at every corroboration tier (owner decisions of 3 October 2026, 09:05, point 1).</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0" s="24" t="str">
        <x:v>Names are non-public lineage at every corroboration tier (owner decisions of 3 October 2026, 09:05, point 1).</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1" s="24" t="str">
        <x:v>Names are non-public lineage at every corroboration tier (owner decisions of 3 October 2026, 09:05, point 1).</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2" s="24" t="str">
        <x:v>Names are non-public lineage at every corroboration tier (owner decisions of 3 October 2026, 09:05, point 1).</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3" s="24" t="str">
        <x:v>Names are non-public lineage at every corroboration tier (owner decisions of 3 October 2026, 09:05, point 1).</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4" s="24" t="str">
        <x:v>Names are non-public lineage at every corroboration tier (owner decisions of 3 October 2026, 09:05, point 1).</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5" s="24" t="str">
        <x:v>Names are non-public lineage at every corroboration tier (owner decisions of 3 October 2026, 09:05, point 1).</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6" s="24" t="str">
        <x:v>Names are non-public lineage at every corroboration tier (owner decisions of 3 October 2026, 09:05, point 1).</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7" s="24" t="str">
        <x:v>Names are non-public lineage at every corroboration tier (owner decisions of 3 October 2026, 09:05, point 1).</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8" s="24" t="str">
        <x:v>Names are non-public lineage at every corroboration tier (owner decisions of 3 October 2026, 09:05, point 1).</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9" s="24" t="str">
        <x:v>Names are non-public lineage at every corroboration tier (owner decisions of 3 October 2026, 09:05, point 1).</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NON-PUBLIC LINEAGE ONLY (owner decisions of 3 October 2026, 09:05, point 1): the name is printed on no page, table, search record or social image. The public record shows the dated event, decision number, class and action only.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1">
      <x:c r="A61" t="str">
        <x:v>PRV-EXCH-E023</x:v>
      </x:c>
      <x:c r="B61" t="str">
        <x:v>Saddam Express Exchange and Transfers Company (English rendering by this resource; the decision names it in Arabic only)</x:v>
      </x:c>
      <x:c r="C61" t="str">
        <x:v>شركة صدام اكسبرس للصرافة والتحويلات</x:v>
      </x:c>
      <x:c r="D61" t="str">
        <x:v>EXCHANGE_COMPANY</x:v>
      </x:c>
      <x:c r="E61" t="str">
        <x:v>CBY_ADEN_EXCHANGE_REMITTANCE_SUPERVISION</x:v>
      </x:c>
      <x:c r="F61" t="str">
        <x:v>STATUS_EVENT_CONFIRMED__BASE_ROSTER_MEMBERSHIP_NOT_YET_RECONCILED</x:v>
      </x:c>
      <x:c r="G61" t="str">
        <x:v>DO_NOT_INFER_BEYOND_EVENT</x:v>
      </x:c>
      <x:c r="H61" t="str">
        <x:v>2026-09-24</x:v>
      </x:c>
      <x:c r="I61" t="str">
        <x:v>SRC-CBY-ENF-18-2026</x:v>
      </x:c>
      <x:c r="J61" t="str">
        <x:v>Decision No. 18 of 2026 (Ref. 599/CBY/2026, 24 September 2026), signed scan https://www.cby-ye.com/files/6ab52faa3604f.pdf; entity 1 of 4</x:v>
      </x:c>
      <x:c r="K61" t="str">
        <x:v>event-specific</x:v>
      </x:c>
      <x:c r="N61" t="str">
        <x:v>NON-PUBLIC LINEAGE ONLY (owner note, 3 October 2026, point 1): the name is printed on no page, table, search record or social image. The public record shows the dated event, decision number, class and action only.</x:v>
      </x:c>
      <x:c r="O61" t="str">
        <x:v>Transcribed Arabic first from the signed decision on 3 October 2026. Base 2026 roster membership is not reconciled at row level.</x:v>
      </x:c>
      <x:c r="P61" t="str">
        <x:v>CBY_ADEN</x:v>
      </x:c>
    </x:row>
    <x:row r="62">
      <x:c r="A62" t="str">
        <x:v>PRV-EXCH-E024</x:v>
      </x:c>
      <x:c r="B62" t="str">
        <x:v>Khalid Al-Asawani Exchange Establishment (English rendering by this resource; the decision names it in Arabic only)</x:v>
      </x:c>
      <x:c r="C62" t="str">
        <x:v>منشأة خالد العصواني للصرافة</x:v>
      </x:c>
      <x:c r="D62" t="str">
        <x:v>EXCHANGE_ESTABLISHMENT</x:v>
      </x:c>
      <x:c r="E62" t="str">
        <x:v>CBY_ADEN_EXCHANGE_REMITTANCE_SUPERVISION</x:v>
      </x:c>
      <x:c r="F62" t="str">
        <x:v>STATUS_EVENT_CONFIRMED__BASE_ROSTER_MEMBERSHIP_NOT_YET_RECONCILED</x:v>
      </x:c>
      <x:c r="G62" t="str">
        <x:v>DO_NOT_INFER_BEYOND_EVENT</x:v>
      </x:c>
      <x:c r="H62" t="str">
        <x:v>2026-09-24</x:v>
      </x:c>
      <x:c r="I62" t="str">
        <x:v>SRC-CBY-ENF-18-2026</x:v>
      </x:c>
      <x:c r="J62" t="str">
        <x:v>Decision No. 18 of 2026 (Ref. 599/CBY/2026, 24 September 2026), signed scan https://www.cby-ye.com/files/6ab52faa3604f.pdf; entity 2 of 4</x:v>
      </x:c>
      <x:c r="K62" t="str">
        <x:v>event-specific</x:v>
      </x:c>
      <x:c r="N62" t="str">
        <x:v>NON-PUBLIC LINEAGE ONLY (owner note, 3 October 2026, point 1): the name is printed on no page, table, search record or social image. The public record shows the dated event, decision number, class and action only.</x:v>
      </x:c>
      <x:c r="O62" t="str">
        <x:v>Transcribed Arabic first from the signed decision on 3 October 2026. Base 2026 roster membership is not reconciled at row level.</x:v>
      </x:c>
      <x:c r="P62" t="str">
        <x:v>CBY_ADEN</x:v>
      </x:c>
    </x:row>
    <x:row r="63">
      <x:c r="A63" t="str">
        <x:v>PRV-EXCH-E025</x:v>
      </x:c>
      <x:c r="B63" t="str">
        <x:v>Marta' Exchange and Transfers Establishment (English rendering by this resource; the decision names it in Arabic only)</x:v>
      </x:c>
      <x:c r="C63" t="str">
        <x:v>منشأة مرتع للصرافة والتحويلات</x:v>
      </x:c>
      <x:c r="D63" t="str">
        <x:v>EXCHANGE_ESTABLISHMENT</x:v>
      </x:c>
      <x:c r="E63" t="str">
        <x:v>CBY_ADEN_EXCHANGE_REMITTANCE_SUPERVISION</x:v>
      </x:c>
      <x:c r="F63" t="str">
        <x:v>STATUS_EVENT_CONFIRMED__BASE_ROSTER_MEMBERSHIP_NOT_YET_RECONCILED</x:v>
      </x:c>
      <x:c r="G63" t="str">
        <x:v>DO_NOT_INFER_BEYOND_EVENT</x:v>
      </x:c>
      <x:c r="H63" t="str">
        <x:v>2026-09-24</x:v>
      </x:c>
      <x:c r="I63" t="str">
        <x:v>SRC-CBY-ENF-18-2026</x:v>
      </x:c>
      <x:c r="J63" t="str">
        <x:v>Decision No. 18 of 2026 (Ref. 599/CBY/2026, 24 September 2026), signed scan https://www.cby-ye.com/files/6ab52faa3604f.pdf; entity 3 of 4</x:v>
      </x:c>
      <x:c r="K63" t="str">
        <x:v>event-specific</x:v>
      </x:c>
      <x:c r="N63" t="str">
        <x:v>NON-PUBLIC LINEAGE ONLY (owner note, 3 October 2026, point 1): the name is printed on no page, table, search record or social image. The public record shows the dated event, decision number, class and action only.</x:v>
      </x:c>
      <x:c r="O63" t="str">
        <x:v>Transcribed Arabic first from the signed decision on 3 October 2026. Base 2026 roster membership is not reconciled at row level.</x:v>
      </x:c>
      <x:c r="P63" t="str">
        <x:v>CBY_ADEN</x:v>
      </x:c>
    </x:row>
    <x:row r="64">
      <x:c r="A64" t="str">
        <x:v>PRV-REM-E006</x:v>
      </x:c>
      <x:c r="B64" t="str">
        <x:v>Bin Omar — remittance agent (English rendering by this resource; the decision names it in Arabic only)</x:v>
      </x:c>
      <x:c r="C64" t="str">
        <x:v>بن عمر وكيل حوالة</x:v>
      </x:c>
      <x:c r="D64" t="str">
        <x:v>REMITTANCE_AGENT</x:v>
      </x:c>
      <x:c r="E64" t="str">
        <x:v>CBY_ADEN_EXCHANGE_REMITTANCE_SUPERVISION</x:v>
      </x:c>
      <x:c r="F64" t="str">
        <x:v>STATUS_EVENT_CONFIRMED__BASE_ROSTER_MEMBERSHIP_NOT_YET_RECONCILED</x:v>
      </x:c>
      <x:c r="G64" t="str">
        <x:v>DO_NOT_INFER_BEYOND_EVENT</x:v>
      </x:c>
      <x:c r="H64" t="str">
        <x:v>2026-09-24</x:v>
      </x:c>
      <x:c r="I64" t="str">
        <x:v>SRC-CBY-ENF-18-2026</x:v>
      </x:c>
      <x:c r="J64" t="str">
        <x:v>Decision No. 18 of 2026 (Ref. 599/CBY/2026, 24 September 2026), signed scan https://www.cby-ye.com/files/6ab52faa3604f.pdf; entity 4 of 4</x:v>
      </x:c>
      <x:c r="K64" t="str">
        <x:v>event-specific</x:v>
      </x:c>
      <x:c r="N64" t="str">
        <x:v>NON-PUBLIC LINEAGE ONLY (owner note, 3 October 2026, point 1): the name is printed on no page, table, search record or social image. The public record shows the dated event, decision number, class and action only.</x:v>
      </x:c>
      <x:c r="O64" t="str">
        <x:v>Transcribed Arabic first from the signed decision on 3 October 2026. Base 2026 roster membership is not reconciled at row level.</x:v>
      </x:c>
      <x:c r="P64" t="str">
        <x:v>CBY_ADEN</x:v>
      </x:c>
    </x:row>
    <x:row r="67">
      <x:c r="A67" s="53" t="str">
        <x:v>Provider universe</x:v>
      </x:c>
      <x:c r="B67" s="53"/>
      <x:c r="C67" s="53"/>
      <x:c r="D67" s="53"/>
      <x:c r="E67" s="53"/>
      <x:c r="F67" s="53"/>
      <x:c r="G67" s="53"/>
      <x:c r="H67" s="53"/>
      <x:c r="I67" s="53"/>
      <x:c r="J67" s="53"/>
      <x:c r="K67" s="53"/>
    </x:row>
    <x:row r="68">
      <x:c r="A68" s="51" t="str">
        <x:v>universe_id</x:v>
      </x:c>
      <x:c r="B68" s="51" t="str">
        <x:v>provider_class</x:v>
      </x:c>
      <x:c r="C68" s="51" t="str">
        <x:v>reference_state</x:v>
      </x:c>
      <x:c r="D68" s="51" t="str">
        <x:v>authoritative_source_id</x:v>
      </x:c>
      <x:c r="E68" s="51" t="str">
        <x:v>universe_count</x:v>
      </x:c>
      <x:c r="F68" s="51" t="str">
        <x:v>count_state</x:v>
      </x:c>
      <x:c r="G68" s="51" t="str">
        <x:v>named_universe_state</x:v>
      </x:c>
      <x:c r="H68" s="51" t="str">
        <x:v>custody_state</x:v>
      </x:c>
      <x:c r="I68" s="51" t="str">
        <x:v>event_overlay_state</x:v>
      </x:c>
      <x:c r="J68" s="51" t="str">
        <x:v>rc0_state</x:v>
      </x:c>
      <x:c r="K68" s="51" t="str">
        <x:v>critical_limit</x:v>
      </x:c>
      <x:c r="L68" t="str">
        <x:v>reference_state_ar</x:v>
      </x:c>
    </x:row>
    <x:row r="69">
      <x:c r="A69" s="24" t="str">
        <x:v>PUC-BANK-2026-01</x:v>
      </x:c>
      <x:c r="B69" s="24" t="str">
        <x:v>BANKS_ALL_TYPES</x:v>
      </x:c>
      <x:c r="C69" s="24" t="str">
        <x:v>2026-10-03</x:v>
      </x:c>
      <x:c r="D69" s="24" t="str">
        <x:v>SRC-CBY-BANKLIST-AR-2026-001</x:v>
      </x:c>
      <x:c r="E69" s="24" t="n">
        <x:v>26</x:v>
      </x:c>
      <x:c r="F69" s="24" t="str">
        <x:v>PRIMARY_CURRENT_LIST_VERIFIED</x:v>
      </x:c>
      <x:c r="G69" s="24" t="str">
        <x:v>COMPLETE_FOR_SOURCE_LIST</x:v>
      </x:c>
      <x:c r="H69" s="24" t="str">
        <x:v>WEB_PDF_VISUALLY_VERIFIED__RAW_NOT_MIRRORED</x:v>
      </x:c>
      <x:c r="I69" s="24" t="str">
        <x:v>NO_BANK_STATUS_EVENT_OVERLAY_APPLIED_IN_THIS_UNIT</x:v>
      </x:c>
      <x:c r="J69" s="24" t="str">
        <x:v>SATISFIES_CURRENT_BANK_ROSTER_MINIMUM</x:v>
      </x:c>
      <x:c r="K69" s="24" t="str">
        <x:v>List presence proves licensing/listing only; operation is not inferred.</x:v>
      </x:c>
    </x:row>
    <x:row r="70">
      <x:c r="A70" s="24" t="str">
        <x:v>PUC-EXCH-2026-01</x:v>
      </x:c>
      <x:c r="B70" s="24" t="str">
        <x:v>EXCHANGE_COMPANIES_ESTABLISHMENTS_AND_REMITTANCE_AGENTS</x:v>
      </x:c>
      <x:c r="C70" s="24" t="str">
        <x:v>Official 2026 annual roster; later 2026 status events separate</x:v>
      </x:c>
      <x:c r="D70" s="24" t="str">
        <x:v>SRC-CBY-EXCH-LIST-2026-001</x:v>
      </x:c>
      <x:c r="E70" s="24" t="n">
        <x:v>442</x:v>
      </x:c>
      <x:c r="F70" s="24" t="str">
        <x:v>SOURCE_LISTED_ROWS__100_COMPANIES__231_ESTABLISHMENTS__111_REMITTANCE_AGENTS</x:v>
      </x:c>
      <x:c r="G70" s="24" t="str">
        <x:v>COMPLETE_CATEGORY_COUNTS__ROW_LEVEL_NAMES_NOT_YET_NORMALIZED_IN_PROVIDER_MASTER</x:v>
      </x:c>
      <x:c r="H70" s="24" t="str">
        <x:v>OFFICIAL_20_PAGE_PDF_VISUALLY_VERIFIED__FILE_OF_2026-09-22</x:v>
      </x:c>
      <x:c r="I70" s="24" t="str">
        <x:v>SELECTED_2026_STATUS_OVERLAY__LATER_SUSPENSION_CLOSURE_EVENTS_MUST_NOT_BE_SUBTRACTED_MECHANICALLY</x:v>
      </x:c>
      <x:c r="J70" s="24" t="str">
        <x:v>ROSTER_COUNTS_RESOLVED__CURRENT_OPERATION_REMAINS_ENTITY_STATUS_QUESTION</x:v>
      </x:c>
      <x:c r="K70" s="24" t="str">
        <x:v>442 is the arithmetic sum of source-listed rows across three classes, not a deduplicated unique-provider or currently operating-provider count.</x:v>
      </x:c>
    </x:row>
    <x:row r="71">
      <x:c r="A71" s="24" t="str">
        <x:v>PUC-WALLET-2025-01</x:v>
      </x:c>
      <x:c r="B71" s="24" t="str">
        <x:v>E_WALLETS_OR_E_MONEY_SERVICES_AS_CBY_REPORTED</x:v>
      </x:c>
      <x:c r="C71" s="24" t="str">
        <x:v>2024 Q3 / 2025 H1 / 2025-09-10 / 2026 event states</x:v>
      </x:c>
      <x:c r="D71" s="24" t="str">
        <x:v>MULTI_SOURCE</x:v>
      </x:c>
      <x:c r="E71" s="24"/>
      <x:c r="F71" s="24" t="str">
        <x:v>MULTIPLE_PRIMARY_DATED_COUNTS_WITH_DIFFERENT_WORDING</x:v>
      </x:c>
      <x:c r="G71" s="24" t="str">
        <x:v>POSITIVE_NAMES_NOT_CONTROLLED</x:v>
      </x:c>
      <x:c r="H71" s="24" t="str">
        <x:v>OFFICIAL_REPORTS_AND_EVENT_PAGES</x:v>
      </x:c>
      <x:c r="I71" s="24" t="str">
        <x:v>2024_NEGATIVE_AUTHORITY + 72_WALLET_COUNT_RECON__NO_POSITIVE_CURRENT_STATUS_LEDGER</x:v>
      </x:c>
      <x:c r="J71" s="24" t="str">
        <x:v>COUNT_ONLY_AND_SEMANTIC_COMPARE__NOT_NAMED_PROVIDER_MASTER</x:v>
      </x:c>
      <x:c r="K71" s="24" t="str">
        <x:v>Official objects report 7 e-wallets (2024 Q3), 9 e-wallets (2025 H1), 8 licensed e-wallets (2025-09-10), and &gt;9 event participants (2026-01-22). Preserve separately; named positive current wallet/PSP universe remains open.</x:v>
      </x:c>
    </x:row>
    <x:row r="72">
      <x:c r="A72" s="24" t="str">
        <x:v>PUC-MFI-2026-01</x:v>
      </x:c>
      <x:c r="B72" s="24" t="str">
        <x:v>NON_BANK_MICROFINANCE_INSTITUTIONS_AND_PROGRAMMES</x:v>
      </x:c>
      <x:c r="C72" s="24" t="str">
        <x:v>observed 2026-09-07</x:v>
      </x:c>
      <x:c r="D72" s="24" t="str">
        <x:v>SRC-YMN-MEMBERS-2026-001</x:v>
      </x:c>
      <x:c r="E72" s="24"/>
      <x:c r="F72" s="24" t="str">
        <x:v>MEMBERSHIP_PAGES_ONLY</x:v>
      </x:c>
      <x:c r="G72" s="24" t="str">
        <x:v>PARTIAL_NETWORK_MEMBERSHIP_NOT_REGULATORY_UNIVERSE</x:v>
      </x:c>
      <x:c r="H72" s="24" t="str">
        <x:v>WEB_VERIFIED</x:v>
      </x:c>
      <x:c r="I72" s="24" t="str">
        <x:v>NONE</x:v>
      </x:c>
      <x:c r="J72" s="24" t="str">
        <x:v>CONTEXT_ONLY__NOT_NATIONAL_PROVIDER_CENSUS</x:v>
      </x:c>
      <x:c r="K72" s="24" t="str">
        <x:v>YMN membership presence is not licence or operation verification and is not a complete national universe.</x:v>
      </x:c>
      <x:c r="L72" t="str">
        <x:v>رُصد في 7 سبتمبر 2026</x:v>
      </x:c>
    </x:row>
    <x:row r="75">
      <x:c r="A75" s="53" t="str">
        <x:v>Provider status events</x:v>
      </x:c>
      <x:c r="B75" s="53"/>
      <x:c r="C75" s="53"/>
      <x:c r="D75" s="53"/>
      <x:c r="E75" s="53"/>
      <x:c r="F75" s="53"/>
      <x:c r="G75" s="53"/>
      <x:c r="H75" s="53"/>
      <x:c r="I75" s="53"/>
      <x:c r="J75" s="53"/>
      <x:c r="K75" s="53"/>
      <x:c r="L75" s="53"/>
    </x:row>
    <x:row r="76">
      <x:c r="A76" s="51" t="str">
        <x:v>status_event_id</x:v>
      </x:c>
      <x:c r="B76" s="51" t="str">
        <x:v>event_date</x:v>
      </x:c>
      <x:c r="C76" s="51" t="str">
        <x:v>source_id</x:v>
      </x:c>
      <x:c r="D76" s="51" t="str">
        <x:v>authority</x:v>
      </x:c>
      <x:c r="E76" s="51" t="str">
        <x:v>event_scope</x:v>
      </x:c>
      <x:c r="F76" s="51" t="str">
        <x:v>affected_class</x:v>
      </x:c>
      <x:c r="G76" s="51" t="str">
        <x:v>event_state</x:v>
      </x:c>
      <x:c r="H76" s="51" t="str">
        <x:v>normalized_event</x:v>
      </x:c>
      <x:c r="I76" s="51" t="str">
        <x:v>entity_subject_state</x:v>
      </x:c>
      <x:c r="J76" s="51" t="str">
        <x:v>public_use</x:v>
      </x:c>
      <x:c r="K76" s="51" t="str">
        <x:v>not_proven</x:v>
      </x:c>
      <x:c r="L76" s="51" t="str">
        <x:v>source_url</x:v>
      </x:c>
    </x:row>
    <x:row r="77">
      <x:c r="A77" s="24" t="str">
        <x:v>PSE-001</x:v>
      </x:c>
      <x:c r="B77" s="24" t="str">
        <x:v>2024-06-26</x:v>
      </x:c>
      <x:c r="C77" s="24" t="str">
        <x:v>SRC-CBY-UNLICENSED-EWALLET-2024-001</x:v>
      </x:c>
      <x:c r="D77" s="24" t="str">
        <x:v>Central Bank of Yemen — Aden</x:v>
      </x:c>
      <x:c r="E77" s="24" t="str">
        <x:v>12 named wallets/entities/services + any other unlicensed electronic financial service</x:v>
      </x:c>
      <x:c r="F77" s="24" t="str">
        <x:v>E_WALLET_OR_ELECTRONIC_PAYMENT_SERVICE</x:v>
      </x:c>
      <x:c r="G77" s="24" t="str">
        <x:v>PROHIBITED_DEALING__UNLICENSED_AS_SOURCE_DATED</x:v>
      </x:c>
      <x:c r="H77" s="24" t="str">
        <x:v>CBY directs banks and exchange businesses not to deal directly or indirectly with the listed unlicensed electronic-payment entities/services.</x:v>
      </x:c>
      <x:c r="I77" s="24" t="str">
        <x:v>NAMED_NEGATIVE_AUTHORITY_LIST_IN_67</x:v>
      </x:c>
      <x:c r="J77" s="24" t="str">
        <x:v>May show the dated list's source, date and count (12 wallets, entities or services). The names are non-public lineage and are not printed (owner decisions of 3 October 2026, 09:05, point 2).</x:v>
      </x:c>
      <x:c r="K77" s="24" t="str">
        <x:v>Does not identify the positive licensed universe; does not establish 2026 current status.</x:v>
      </x:c>
      <x:c r="L77" s="24" t="str">
        <x:v>https://cby-ye.com/files/667c32dabd223.pdf</x:v>
      </x:c>
    </x:row>
    <x:row r="78">
      <x:c r="A78" s="24" t="str">
        <x:v>PSE-002</x:v>
      </x:c>
      <x:c r="B78" s="24" t="str">
        <x:v>2026-01-01</x:v>
      </x:c>
      <x:c r="C78" s="24" t="str">
        <x:v>SRC-CBY-ENF-01-2026</x:v>
      </x:c>
      <x:c r="D78" s="24" t="str">
        <x:v>Central Bank of Yemen — Aden</x:v>
      </x:c>
      <x:c r="E78" s="24" t="str">
        <x:v>multiple event subjects captured in Provider Master</x:v>
      </x:c>
      <x:c r="F78" s="24" t="str">
        <x:v>EXCHANGE_COMPANY_OR_ESTABLISHMENT</x:v>
      </x:c>
      <x:c r="G78" s="24" t="str">
        <x:v>LICENCE_SUSPENSION_AND_CLOSURE_EVENT</x:v>
      </x:c>
      <x:c r="H78" s="24" t="str">
        <x:v>Governor Decision No. 1 of 2026 suspends licences of a number of non-compliant exchange companies/establishments and closes their premises based on Banking Supervision field-inspection reporting.</x:v>
      </x:c>
      <x:c r="I78" s="24" t="str">
        <x:v>PRIMARY_EVENT_SUBJECTS_PRESENT_IN_15_PROVIDER_MASTER</x:v>
      </x:c>
      <x:c r="J78" s="24" t="str">
        <x:v>May show the dated event, decision number, class and action. The entity names are non-public lineage and are not printed (owner note of 3 October 2026, 03:10, point 1; owner decisions of 3 October 2026, 09:05, point 1).</x:v>
      </x:c>
      <x:c r="K78" s="24" t="str">
        <x:v>Does not establish the complete roster or current operation of unaffected providers.</x:v>
      </x:c>
      <x:c r="L78" s="24" t="str">
        <x:v>https://cby-ye.com/news/907</x:v>
      </x:c>
    </x:row>
    <x:row r="79">
      <x:c r="A79" s="24" t="str">
        <x:v>PSE-003</x:v>
      </x:c>
      <x:c r="B79" s="24" t="str">
        <x:v>2026-08-05</x:v>
      </x:c>
      <x:c r="C79" s="24" t="str">
        <x:v>SRC-CBY-ENF-13-2026</x:v>
      </x:c>
      <x:c r="D79" s="24" t="str">
        <x:v>Central Bank of Yemen — Aden</x:v>
      </x:c>
      <x:c r="E79" s="24" t="str">
        <x:v>event subjects partially normalized in Provider Master</x:v>
      </x:c>
      <x:c r="F79" s="24" t="str">
        <x:v>EXCHANGE_ESTABLISHMENT_AND_REMITTANCE_AGENT</x:v>
      </x:c>
      <x:c r="G79" s="24" t="str">
        <x:v>LICENCE_SUSPENSION_AND_CLOSURE_EVENT</x:v>
      </x:c>
      <x:c r="H79" s="24" t="str">
        <x:v>Governor Decision No. 13 of 2026 suspends licences of a number of exchange establishments and a remittance agent and closes premises, based on Banking Supervision field-inspection reporting.</x:v>
      </x:c>
      <x:c r="I79" s="24" t="str">
        <x:v>OFFICIAL_EVENT_VERIFIED__SOME_NAMES_SECONDARY_CORROBORATION</x:v>
      </x:c>
      <x:c r="J79" s="24" t="str">
        <x:v>May show the dated event, decision number, class and action. The entity names are non-public lineage and are not printed (owner note of 3 October 2026, 03:10, point 1; owner decisions of 3 October 2026, 09:05, point 1).</x:v>
      </x:c>
      <x:c r="K79" s="24" t="str">
        <x:v>Does not establish the complete 2026 provider universe.</x:v>
      </x:c>
      <x:c r="L79" s="24" t="str">
        <x:v>https://cby-ye.com/news/964</x:v>
      </x:c>
    </x:row>
    <x:row r="80">
      <x:c r="A80" s="24" t="str">
        <x:v>PSE-004</x:v>
      </x:c>
      <x:c r="B80" s="24" t="str">
        <x:v>2026-08-19</x:v>
      </x:c>
      <x:c r="C80" s="24" t="str">
        <x:v>SRC-CBY-ENF-14-2026</x:v>
      </x:c>
      <x:c r="D80" s="24" t="str">
        <x:v>Central Bank of Yemen — Aden</x:v>
      </x:c>
      <x:c r="E80" s="24" t="str">
        <x:v>event subjects partially normalized in Provider Master</x:v>
      </x:c>
      <x:c r="F80" s="24" t="str">
        <x:v>EXCHANGE_COMPANY_OR_ESTABLISHMENT</x:v>
      </x:c>
      <x:c r="G80" s="24" t="str">
        <x:v>LICENCE_SUSPENSION_AND_CLOSURE_EVENT</x:v>
      </x:c>
      <x:c r="H80" s="24" t="str">
        <x:v>Governor Decision No. 14 of 2026 suspends licences of a number of exchange companies/establishment(s) and closes premises based on Banking Supervision field-inspection reporting.</x:v>
      </x:c>
      <x:c r="I80" s="24" t="str">
        <x:v>OFFICIAL_EVENT_VERIFIED__SOME_NAMES_CORROBORATED</x:v>
      </x:c>
      <x:c r="J80" s="24" t="str">
        <x:v>May show the dated event, decision number, class and action. The entity names are non-public lineage and are not printed (owner note of 3 October 2026, 03:10, point 1; owner decisions of 3 October 2026, 09:05, point 1).</x:v>
      </x:c>
      <x:c r="K80" s="24" t="str">
        <x:v>Does not establish complete provider universe or market activity.</x:v>
      </x:c>
      <x:c r="L80" s="24" t="str">
        <x:v>https://cby-ye.com/news/968</x:v>
      </x:c>
    </x:row>
    <x:row r="81">
      <x:c r="A81" s="24" t="str">
        <x:v>PSE-005</x:v>
      </x:c>
      <x:c r="B81" s="24" t="str">
        <x:v>2026-08-27</x:v>
      </x:c>
      <x:c r="C81" s="24" t="str">
        <x:v>SRC-CBY-ENF-15-2026</x:v>
      </x:c>
      <x:c r="D81" s="24" t="str">
        <x:v>Central Bank of Yemen — Aden</x:v>
      </x:c>
      <x:c r="E81" s="24" t="str">
        <x:v>event subjects partially normalized in Provider Master</x:v>
      </x:c>
      <x:c r="F81" s="24" t="str">
        <x:v>EXCHANGE_COMPANY_ESTABLISHMENT_AND_REMITTANCE_AGENTS</x:v>
      </x:c>
      <x:c r="G81" s="24" t="str">
        <x:v>LICENCE_SUSPENSION_AND_CLOSURE_EVENT</x:v>
      </x:c>
      <x:c r="H81" s="24" t="str">
        <x:v>Governor Decision No. 15 of 2026 suspends licences of an exchange company, establishment and a number of remittance agents and closes premises based on Banking Supervision field-inspection reporting.</x:v>
      </x:c>
      <x:c r="I81" s="24" t="str">
        <x:v>OFFICIAL_EVENT_VERIFIED__SOME_NAMES_SECONDARY_ONLY</x:v>
      </x:c>
      <x:c r="J81" s="24" t="str">
        <x:v>May show the dated event, decision number, class and action. The entity names are non-public lineage and are not printed (owner note of 3 October 2026, 03:10, point 1; owner decisions of 3 October 2026, 09:05, point 1).</x:v>
      </x:c>
      <x:c r="K81" s="24" t="str">
        <x:v>Does not establish complete provider universe or current operation of other entities.</x:v>
      </x:c>
      <x:c r="L81" s="24" t="str">
        <x:v>https://cby-ye.com/news/969</x:v>
      </x:c>
    </x:row>
    <x:row r="82">
      <x:c r="A82" s="24" t="str">
        <x:v>PSE-006</x:v>
      </x:c>
      <x:c r="B82" s="24" t="str">
        <x:v>2026-01-01</x:v>
      </x:c>
      <x:c r="C82" s="24" t="str">
        <x:v>SRC-CBY-ENF-02-2026</x:v>
      </x:c>
      <x:c r="D82" s="24" t="str">
        <x:v>Central Bank of Yemen — Aden</x:v>
      </x:c>
      <x:c r="E82" s="24" t="str">
        <x:v>One exchange-company branch (PRV-EXCH-B004A; the name is non-public lineage)</x:v>
      </x:c>
      <x:c r="F82" s="24" t="str">
        <x:v>EXCHANGE_BRANCH</x:v>
      </x:c>
      <x:c r="G82" s="24" t="str">
        <x:v>LICENCE_WITHDRAWAL_EVENT</x:v>
      </x:c>
      <x:c r="H82" s="24" t="str">
        <x:v>Governor Decision No. 2 of 2026 withdraws the licence of a non-compliant exchange-company branch (PRV-EXCH-B004A) based on Banking Supervision field-inspection reporting.</x:v>
      </x:c>
      <x:c r="I82" s="24" t="str">
        <x:v>PRIMARY_BRANCH_SUBJECT_PRESENT_IN_15_PROVIDER_MASTER</x:v>
      </x:c>
      <x:c r="J82" s="24" t="str">
        <x:v>May show the dated branch-level event, decision number, class and action. The entity names are non-public lineage and are not printed (owner note of 3 October 2026, 03:10, point 1; owner decisions of 3 October 2026, 09:05, point 1).</x:v>
      </x:c>
      <x:c r="K82" s="24" t="str">
        <x:v>Does not establish parent-company operation, all branches, or complete provider universe.</x:v>
      </x:c>
      <x:c r="L82" s="24" t="str">
        <x:v>https://cby-ye.com/news/908</x:v>
      </x:c>
    </x:row>
    <x:row r="83">
      <x:c r="A83" s="24" t="str">
        <x:v>PSE-007</x:v>
      </x:c>
      <x:c r="B83" s="24" t="str">
        <x:v>2026-01-08</x:v>
      </x:c>
      <x:c r="C83" s="24" t="str">
        <x:v>SRC-CBY-ENF-03-2026</x:v>
      </x:c>
      <x:c r="D83" s="24" t="str">
        <x:v>Central Bank of Yemen — Aden</x:v>
      </x:c>
      <x:c r="E83" s="24" t="str">
        <x:v>One exchange-company branch (PRV-EXCH-B005A; the name is non-public lineage)</x:v>
      </x:c>
      <x:c r="F83" s="24" t="str">
        <x:v>EXCHANGE_BRANCH</x:v>
      </x:c>
      <x:c r="G83" s="24" t="str">
        <x:v>LICENCE_WITHDRAWAL_EVENT</x:v>
      </x:c>
      <x:c r="H83" s="24" t="str">
        <x:v>Governor Decision No. 3 of 2026 withdraws the licence of an exchange-company branch (PRV-EXCH-B005A) based on Banking Supervision field-inspection reporting.</x:v>
      </x:c>
      <x:c r="I83" s="24" t="str">
        <x:v>PRIMARY_BRANCH_SUBJECT_PRESENT_IN_15_PROVIDER_MASTER</x:v>
      </x:c>
      <x:c r="J83" s="24" t="str">
        <x:v>May show the dated branch-level event, decision number, class and action. The entity names are non-public lineage and are not printed (owner note of 3 October 2026, 03:10, point 1; owner decisions of 3 October 2026, 09:05, point 1).</x:v>
      </x:c>
      <x:c r="K83" s="24" t="str">
        <x:v>Does not establish parent-company operation, all branches, or complete provider universe.</x:v>
      </x:c>
      <x:c r="L83" s="24" t="str">
        <x:v>https://cby-ye.com/news/910</x:v>
      </x:c>
    </x:row>
    <x:row r="84">
      <x:c r="A84" s="24" t="str">
        <x:v>PSE-008</x:v>
      </x:c>
      <x:c r="B84" s="24" t="str">
        <x:v>2026-01-08</x:v>
      </x:c>
      <x:c r="C84" s="24" t="str">
        <x:v>SRC-CBY-ENF-04-2026</x:v>
      </x:c>
      <x:c r="D84" s="24" t="str">
        <x:v>Central Bank of Yemen — Aden</x:v>
      </x:c>
      <x:c r="E84" s="24" t="str">
        <x:v>multiple event subjects captured in Provider Master</x:v>
      </x:c>
      <x:c r="F84" s="24" t="str">
        <x:v>EXCHANGE_ESTABLISHMENT</x:v>
      </x:c>
      <x:c r="G84" s="24" t="str">
        <x:v>LICENCE_SUSPENSION_AND_CLOSURE_EVENT</x:v>
      </x:c>
      <x:c r="H84" s="24" t="str">
        <x:v>Governor Decision No. 4 of 2026 suspends licences of a number of non-compliant exchange establishments and closes premises based on Banking Supervision field-inspection reporting.</x:v>
      </x:c>
      <x:c r="I84" s="24" t="str">
        <x:v>PRIMARY_EVENT_SUBJECTS_PRESENT_IN_15_PROVIDER_MASTER</x:v>
      </x:c>
      <x:c r="J84" s="24" t="str">
        <x:v>May show the dated event, decision number, class and action. The entity names are non-public lineage and are not printed (owner note of 3 October 2026, 03:10, point 1; owner decisions of 3 October 2026, 09:05, point 1).</x:v>
      </x:c>
      <x:c r="K84" s="24" t="str">
        <x:v>Does not establish complete provider universe or current operation of unaffected providers.</x:v>
      </x:c>
      <x:c r="L84" s="24" t="str">
        <x:v>https://cby-ye.com/news/911</x:v>
      </x:c>
    </x:row>
    <x:row r="85">
      <x:c r="A85" s="24" t="str">
        <x:v>PSE-009</x:v>
      </x:c>
      <x:c r="B85" s="24" t="str">
        <x:v>2026-01-13</x:v>
      </x:c>
      <x:c r="C85" s="24" t="str">
        <x:v>SRC-CBY-ENF-05-2026</x:v>
      </x:c>
      <x:c r="D85" s="24" t="str">
        <x:v>Central Bank of Yemen — Aden</x:v>
      </x:c>
      <x:c r="E85" s="24" t="str">
        <x:v>multiple event subjects captured in Provider Master</x:v>
      </x:c>
      <x:c r="F85" s="24" t="str">
        <x:v>EXCHANGE_ESTABLISHMENT</x:v>
      </x:c>
      <x:c r="G85" s="24" t="str">
        <x:v>LICENCE_SUSPENSION_AND_CLOSURE_EVENT</x:v>
      </x:c>
      <x:c r="H85" s="24" t="str">
        <x:v>Governor Decision No. 5 of 2026 suspends licences of a number of non-compliant exchange establishments and closes premises based on Banking Supervision field-inspection reporting.</x:v>
      </x:c>
      <x:c r="I85" s="24" t="str">
        <x:v>PRIMARY_EVENT_SUBJECTS_PRESENT_IN_15_PROVIDER_MASTER</x:v>
      </x:c>
      <x:c r="J85" s="24" t="str">
        <x:v>May show the dated event, decision number, class and action. The entity names are non-public lineage and are not printed (owner note of 3 October 2026, 03:10, point 1; owner decisions of 3 October 2026, 09:05, point 1).</x:v>
      </x:c>
      <x:c r="K85" s="24" t="str">
        <x:v>Does not establish complete provider universe or current operation of unaffected providers.</x:v>
      </x:c>
      <x:c r="L85" s="24" t="str">
        <x:v>https://cby-ye.com/news/912</x:v>
      </x:c>
    </x:row>
    <x:row r="86">
      <x:c r="A86" s="24" t="str">
        <x:v>PSE-010</x:v>
      </x:c>
      <x:c r="B86" s="24" t="str">
        <x:v>2026-01-13</x:v>
      </x:c>
      <x:c r="C86" s="24" t="str">
        <x:v>SRC-CBY-ENF-06-2026</x:v>
      </x:c>
      <x:c r="D86" s="24" t="str">
        <x:v>Central Bank of Yemen — Aden</x:v>
      </x:c>
      <x:c r="E86" s="24" t="str">
        <x:v>One exchange-company branch — Al-Mahra (PRV-EXCH-B014A; the name is non-public lineage)</x:v>
      </x:c>
      <x:c r="F86" s="24" t="str">
        <x:v>EXCHANGE_BRANCH</x:v>
      </x:c>
      <x:c r="G86" s="24" t="str">
        <x:v>LICENCE_SUSPENSION_AND_CLOSURE_EVENT</x:v>
      </x:c>
      <x:c r="H86" s="24" t="str">
        <x:v>Governor Decision No. 6 of 2026 suspends the licence of an exchange-company branch in Al-Mahra (PRV-EXCH-B014A) and closes its premises.</x:v>
      </x:c>
      <x:c r="I86" s="24" t="str">
        <x:v>PRIMARY_BRANCH_SUBJECT_PRESENT_IN_15_PROVIDER_MASTER</x:v>
      </x:c>
      <x:c r="J86" s="24" t="str">
        <x:v>May show the dated branch-level event, decision number, class and action. The entity names are non-public lineage and are not printed (owner note of 3 October 2026, 03:10, point 1; owner decisions of 3 October 2026, 09:05, point 1).</x:v>
      </x:c>
      <x:c r="K86" s="24" t="str">
        <x:v>Does not establish parent-company operation, all branches, or complete provider universe.</x:v>
      </x:c>
      <x:c r="L86" s="24" t="str">
        <x:v>https://cby-ye.com/news/913</x:v>
      </x:c>
    </x:row>
    <x:row r="87">
      <x:c r="A87" s="24" t="str">
        <x:v>PSE-011</x:v>
      </x:c>
      <x:c r="B87" s="24" t="str">
        <x:v>2026-05-21</x:v>
      </x:c>
      <x:c r="C87" s="24" t="str">
        <x:v>SRC-CBY-ENF-09-2026</x:v>
      </x:c>
      <x:c r="D87" s="24" t="str">
        <x:v>Central Bank of Yemen — Aden</x:v>
      </x:c>
      <x:c r="E87" s="24" t="str">
        <x:v>One remittance agent (an individual named in the decision) — Lahj/Tuban</x:v>
      </x:c>
      <x:c r="F87" s="24" t="str">
        <x:v>REMITTANCE_AGENT</x:v>
      </x:c>
      <x:c r="G87" s="24" t="str">
        <x:v>LICENCE_SUSPENSION_AND_CLOSURE_EVENT</x:v>
      </x:c>
      <x:c r="H87" s="24" t="str">
        <x:v>Governor Decision No. 9 of 2026 suspends the licence of a remittance agent in Lahj/Tuban and closes the premises; the agent is an individual and is not named in this resource.</x:v>
      </x:c>
      <x:c r="I87" s="24" t="str">
        <x:v>PRIMARY_OFFICIAL_EVENT_AND_SUBJECT_VERIFIED</x:v>
      </x:c>
      <x:c r="J87" s="24" t="str">
        <x:v>May show the dated event, decision number, class, action and the district the decision names; the subject is an individual and is not named.</x:v>
      </x:c>
      <x:c r="K87" s="24" t="str">
        <x:v>Does not establish complete current remittance-agent universe or later status without further evidence.</x:v>
      </x:c>
      <x:c r="L87" s="24" t="str">
        <x:v>https://cby-ye.com/news/943</x:v>
      </x:c>
    </x:row>
    <x:row r="88">
      <x:c r="A88" s="24" t="str">
        <x:v>PSE-012</x:v>
      </x:c>
      <x:c r="B88" s="24" t="str">
        <x:v>2026-06-08</x:v>
      </x:c>
      <x:c r="C88" s="24" t="str">
        <x:v>SRC-CBY-ENF-10-2026</x:v>
      </x:c>
      <x:c r="D88" s="24" t="str">
        <x:v>Central Bank of Yemen — Aden</x:v>
      </x:c>
      <x:c r="E88" s="24" t="str">
        <x:v>One remittance agent — Shabwa/Habban (PRV-REM-E002; the name is non-public lineage)</x:v>
      </x:c>
      <x:c r="F88" s="24" t="str">
        <x:v>REMITTANCE_AGENT</x:v>
      </x:c>
      <x:c r="G88" s="24" t="str">
        <x:v>LICENCE_SUSPENSION_AND_CLOSURE_EVENT</x:v>
      </x:c>
      <x:c r="H88" s="24" t="str">
        <x:v>Governor Decision No. 10 of 2026 suspends the licence of a remittance agent in Shabwa/Habban (PRV-REM-E002) and closes the premises.</x:v>
      </x:c>
      <x:c r="I88" s="24" t="str">
        <x:v>PRIMARY_OFFICIAL_EVENT_VERIFIED__SIGNED_DECISION_READ</x:v>
      </x:c>
      <x:c r="J88" s="24" t="str">
        <x:v>May show the exact dated event. The date is the signed decision's (Ref. 345/CBY/2026, 8 June 2026; scan https://www.cby-ye.com/files/6a27bc7883b9c.pdf); the news page that announced it is dated 9 June 2026. The entity names are non-public lineage and are not printed (owner note of 3 October 2026, 03:10, point 1; owner decisions of 3 October 2026, 09:05, point 1).</x:v>
      </x:c>
      <x:c r="K88" s="24" t="str">
        <x:v>Does not establish complete current remittance-agent universe or later status.</x:v>
      </x:c>
      <x:c r="L88" s="24" t="str">
        <x:v>https://cby-ye.com/news/944</x:v>
      </x:c>
    </x:row>
    <x:row r="89">
      <x:c r="A89" s="24" t="str">
        <x:v>PSE-013</x:v>
      </x:c>
      <x:c r="B89" s="24" t="str">
        <x:v>2026-06-10</x:v>
      </x:c>
      <x:c r="C89" s="24" t="str">
        <x:v>SRC-CBY-ENF-11-2026</x:v>
      </x:c>
      <x:c r="D89" s="24" t="str">
        <x:v>Central Bank of Yemen — Aden</x:v>
      </x:c>
      <x:c r="E89" s="24" t="str">
        <x:v>One remittance agent — Lahj/Yafa Al-Hadd (PRV-REM-E003; the name is non-public lineage)</x:v>
      </x:c>
      <x:c r="F89" s="24" t="str">
        <x:v>REMITTANCE_AGENT</x:v>
      </x:c>
      <x:c r="G89" s="24" t="str">
        <x:v>LICENCE_SUSPENSION_AND_CLOSURE_EVENT</x:v>
      </x:c>
      <x:c r="H89" s="24" t="str">
        <x:v>Governor Decision No. 11 of 2026 suspends the licence of a remittance agent in Lahj/Yafa Al-Hadd (PRV-REM-E003) and closes the premises.</x:v>
      </x:c>
      <x:c r="I89" s="24" t="str">
        <x:v>PRIMARY_OFFICIAL_EVENT_AND_SUBJECT_VERIFIED</x:v>
      </x:c>
      <x:c r="J89" s="24" t="str">
        <x:v>May show the dated event, decision number, class and action. The entity names are non-public lineage and are not printed (owner note of 3 October 2026, 03:10, point 1; owner decisions of 3 October 2026, 09:05, point 1).</x:v>
      </x:c>
      <x:c r="K89" s="24" t="str">
        <x:v>Does not establish complete current remittance-agent universe or later status without further evidence.</x:v>
      </x:c>
      <x:c r="L89" s="24" t="str">
        <x:v>https://www.cby-ye.com/news/945</x:v>
      </x:c>
    </x:row>
    <x:row r="90">
      <x:c r="A90" t="str">
        <x:v>PSE-014</x:v>
      </x:c>
      <x:c r="B90" t="str">
        <x:v>2026-09-17</x:v>
      </x:c>
      <x:c r="C90" t="str">
        <x:v>SRC-CBY-ENF-17-2026</x:v>
      </x:c>
      <x:c r="D90" t="str">
        <x:v>Central Bank of Yemen — Aden</x:v>
      </x:c>
      <x:c r="E90" t="str">
        <x:v>One exchange and transfers company (PRV-EXCH-E022; the name is non-public lineage)</x:v>
      </x:c>
      <x:c r="F90" t="str">
        <x:v>EXCHANGE_COMPANY</x:v>
      </x:c>
      <x:c r="G90" t="str">
        <x:v>LICENCE_SUSPENSION_AND_CLOSURE_EVENT</x:v>
      </x:c>
      <x:c r="H90" t="str">
        <x:v>Governor Decision No. 17 of 2026 suspends the licence granted to an exchange and transfers company (PRV-EXCH-E022) and closes its premises, based on violations recorded in a field-inspection report from Banking Supervision.</x:v>
      </x:c>
      <x:c r="I90" t="str">
        <x:v>PRIMARY_OFFICIAL_EVENT_AND_SUBJECT_VERIFIED</x:v>
      </x:c>
      <x:c r="J90" t="str">
        <x:v>May show the dated event, decision number, class and action. The entity names are non-public lineage and are not printed (owner note of 3 October 2026, 03:10, point 1; owner decisions of 3 October 2026, 09:05, point 1).</x:v>
      </x:c>
      <x:c r="K90" t="str">
        <x:v>Does not establish the complete 2026 provider universe, the status of other entities, or a later status for this company beyond the source date; do not subtract the event mechanically from the annual roster.</x:v>
      </x:c>
      <x:c r="L90" t="str">
        <x:v>https://cby-ye.com/news/973</x:v>
      </x:c>
      <x:c r="M90"/>
      <x:c r="N90"/>
      <x:c r="O90"/>
    </x:row>
    <x:row r="91">
      <x:c r="A91" t="str">
        <x:v>PSE-015</x:v>
      </x:c>
      <x:c r="B91" t="str">
        <x:v>2026-09-24</x:v>
      </x:c>
      <x:c r="C91" t="str">
        <x:v>SRC-CBY-ENF-18-2026</x:v>
      </x:c>
      <x:c r="D91" t="str">
        <x:v>Central Bank of Yemen — Aden</x:v>
      </x:c>
      <x:c r="E91" t="str">
        <x:v>one exchange company, two exchange establishments and one remittance agent (PRV-EXCH-E023 to PRV-EXCH-E025 and PRV-REM-E006; names are non-public lineage)</x:v>
      </x:c>
      <x:c r="F91" t="str">
        <x:v>EXCHANGE_COMPANY_ESTABLISHMENTS_AND_REMITTANCE_AGENT</x:v>
      </x:c>
      <x:c r="G91" t="str">
        <x:v>LICENCE_SUSPENSION_AND_CLOSURE_EVENT</x:v>
      </x:c>
      <x:c r="H91" t="str">
        <x:v>Governor Decision No. 18 of 2026 suspends the licences of one exchange company, two exchange establishments and one remittance agent and closes their premises.</x:v>
      </x:c>
      <x:c r="I91" t="str">
        <x:v>PRIMARY_OFFICIAL_EVENT_AND_SUBJECTS_TRANSCRIBED__NAMES_NON_PUBLIC</x:v>
      </x:c>
      <x:c r="J91" t="str">
        <x:v>May show the dated event, decision number, class and action. The entity names, transcribed from the signed decision (Ref. 599/CBY/2026; scan https://www.cby-ye.com/files/6ab52faa3604f.pdf), are non-public lineage and are not printed (owner note, 3 October 2026, point 1).</x:v>
      </x:c>
      <x:c r="K91" t="str">
        <x:v>a licence suspension or closure is a dated regulatory action and does not establish permanent cessation; it says nothing about the current operation of other entities and does not change the 2026 roster count</x:v>
      </x:c>
      <x:c r="L91" t="str">
        <x:v>https://cby-ye.com/news/975</x:v>
      </x:c>
    </x:row>
    <x:row r="93">
      <x:c r="A93" s="53" t="str">
        <x:v>Provider negative-authority evidence</x:v>
      </x:c>
      <x:c r="B93" s="53"/>
      <x:c r="C93" s="53"/>
      <x:c r="D93" s="53"/>
      <x:c r="E93" s="53"/>
      <x:c r="F93" s="53"/>
      <x:c r="G93" s="53"/>
      <x:c r="H93" s="53"/>
      <x:c r="I93" s="53"/>
      <x:c r="J93" s="53"/>
      <x:c r="K93" s="53"/>
    </x:row>
    <x:row r="94">
      <x:c r="A94" s="51" t="str">
        <x:v>negative_authority_id</x:v>
      </x:c>
      <x:c r="B94" s="51" t="str">
        <x:v>source_id</x:v>
      </x:c>
      <x:c r="C94" s="51" t="str">
        <x:v>authority</x:v>
      </x:c>
      <x:c r="D94" s="51" t="str">
        <x:v>source_date</x:v>
      </x:c>
      <x:c r="E94" s="51" t="str">
        <x:v>source_label_ar</x:v>
      </x:c>
      <x:c r="F94" s="51" t="str">
        <x:v>normalized_search_label_en</x:v>
      </x:c>
      <x:c r="G94" s="51" t="str">
        <x:v>authority_state</x:v>
      </x:c>
      <x:c r="H94" s="51" t="str">
        <x:v>scope</x:v>
      </x:c>
      <x:c r="I94" s="51" t="str">
        <x:v>current_status_inference</x:v>
      </x:c>
      <x:c r="J94" s="51" t="str">
        <x:v>positive_universe_inference</x:v>
      </x:c>
      <x:c r="K94" s="51" t="str">
        <x:v>source_url</x:v>
      </x:c>
    </x:row>
    <x:row r="95">
      <x:c r="A95" s="24" t="str">
        <x:v>NEG-EW-001</x:v>
      </x:c>
      <x:c r="B95" s="24" t="str">
        <x:v>SRC-CBY-UNLICENSED-EWALLET-2024-001</x:v>
      </x:c>
      <x:c r="C95" s="24" t="str">
        <x:v>Central Bank of Yemen — Aden</x:v>
      </x:c>
      <x:c r="D95" s="24" t="str">
        <x:v>2024-06-26</x:v>
      </x:c>
      <x:c r="E95" s="24" t="str">
        <x:v>محفظة كاش</x:v>
      </x:c>
      <x:c r="F95" s="24" t="str">
        <x:v>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NEG-EW-002</x:v>
      </x:c>
      <x:c r="B96" s="24" t="str">
        <x:v>SRC-CBY-UNLICENSED-EWALLET-2024-001</x:v>
      </x:c>
      <x:c r="C96" s="24" t="str">
        <x:v>Central Bank of Yemen — Aden</x:v>
      </x:c>
      <x:c r="D96" s="24" t="str">
        <x:v>2024-06-26</x:v>
      </x:c>
      <x:c r="E96" s="24" t="str">
        <x:v>محفظة الدولي موني</x:v>
      </x:c>
      <x:c r="F96" s="24" t="str">
        <x:v>Al-Dawli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NEG-EW-003</x:v>
      </x:c>
      <x:c r="B97" s="24" t="str">
        <x:v>SRC-CBY-UNLICENSED-EWALLET-2024-001</x:v>
      </x:c>
      <x:c r="C97" s="24" t="str">
        <x:v>Central Bank of Yemen — Aden</x:v>
      </x:c>
      <x:c r="D97" s="24" t="str">
        <x:v>2024-06-26</x:v>
      </x:c>
      <x:c r="E97" s="24" t="str">
        <x:v>محفظة جوالي</x:v>
      </x:c>
      <x:c r="F97" s="24" t="str">
        <x:v>Jawali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NEG-EW-004</x:v>
      </x:c>
      <x:c r="B98" s="24" t="str">
        <x:v>SRC-CBY-UNLICENSED-EWALLET-2024-001</x:v>
      </x:c>
      <x:c r="C98" s="24" t="str">
        <x:v>Central Bank of Yemen — Aden</x:v>
      </x:c>
      <x:c r="D98" s="24" t="str">
        <x:v>2024-06-26</x:v>
      </x:c>
      <x:c r="E98" s="24" t="str">
        <x:v>محفظة فلوسك</x:v>
      </x:c>
      <x:c r="F98" s="24" t="str">
        <x:v>Floosak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NEG-EW-005</x:v>
      </x:c>
      <x:c r="B99" s="24" t="str">
        <x:v>SRC-CBY-UNLICENSED-EWALLET-2024-001</x:v>
      </x:c>
      <x:c r="C99" s="24" t="str">
        <x:v>Central Bank of Yemen — Aden</x:v>
      </x:c>
      <x:c r="D99" s="24" t="str">
        <x:v>2024-06-26</x:v>
      </x:c>
      <x:c r="E99" s="24" t="str">
        <x:v>محفظة سبا كاش</x:v>
      </x:c>
      <x:c r="F99" s="24" t="str">
        <x:v>Saba Cash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NEG-EW-006</x:v>
      </x:c>
      <x:c r="B100" s="24" t="str">
        <x:v>SRC-CBY-UNLICENSED-EWALLET-2024-001</x:v>
      </x:c>
      <x:c r="C100" s="24" t="str">
        <x:v>Central Bank of Yemen — Aden</x:v>
      </x:c>
      <x:c r="D100" s="24" t="str">
        <x:v>2024-06-26</x:v>
      </x:c>
      <x:c r="E100" s="24" t="str">
        <x:v>محفظة موبايل موني</x:v>
      </x:c>
      <x:c r="F100" s="24" t="str">
        <x:v>Mobile Money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NEG-EW-007</x:v>
      </x:c>
      <x:c r="B101" s="24" t="str">
        <x:v>SRC-CBY-UNLICENSED-EWALLET-2024-001</x:v>
      </x:c>
      <x:c r="C101" s="24" t="str">
        <x:v>Central Bank of Yemen — Aden</x:v>
      </x:c>
      <x:c r="D101" s="24" t="str">
        <x:v>2024-06-26</x:v>
      </x:c>
      <x:c r="E101" s="24" t="str">
        <x:v>محفظة يمن والت</x:v>
      </x:c>
      <x:c r="F101" s="24" t="str">
        <x:v>Yemen Wallet</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NEG-EW-008</x:v>
      </x:c>
      <x:c r="B102" s="24" t="str">
        <x:v>SRC-CBY-UNLICENSED-EWALLET-2024-001</x:v>
      </x:c>
      <x:c r="C102" s="24" t="str">
        <x:v>Central Bank of Yemen — Aden</x:v>
      </x:c>
      <x:c r="D102" s="24" t="str">
        <x:v>2024-06-26</x:v>
      </x:c>
      <x:c r="E102" s="24" t="str">
        <x:v>محفظة الريال الالكتروني</x:v>
      </x:c>
      <x:c r="F102" s="24" t="str">
        <x:v>Electronic Riyal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3">
      <x:c r="A103" s="24" t="str">
        <x:v>NEG-EW-009</x:v>
      </x:c>
      <x:c r="B103" s="24" t="str">
        <x:v>SRC-CBY-UNLICENSED-EWALLET-2024-001</x:v>
      </x:c>
      <x:c r="C103" s="24" t="str">
        <x:v>Central Bank of Yemen — Aden</x:v>
      </x:c>
      <x:c r="D103" s="24" t="str">
        <x:v>2024-06-26</x:v>
      </x:c>
      <x:c r="E103" s="24" t="str">
        <x:v>محفظة ريال موبايل</x:v>
      </x:c>
      <x:c r="F103" s="24" t="str">
        <x:v>Rial Mobile wallet</x:v>
      </x:c>
      <x:c r="G103" s="24" t="str">
        <x:v>UNLICENSED_AS_NAMED_IN_SOURCE_ON_SOURCE_DATE</x:v>
      </x:c>
      <x:c r="H103" s="24" t="str">
        <x:v>CBY circular prohibiting direct/indirect dealing</x:v>
      </x:c>
      <x:c r="I103" s="24" t="str">
        <x:v>NONE__DO_NOT_CARRY_FORWARD_TO_2026_WITHOUT_NEW_STATUS_EVIDENCE</x:v>
      </x:c>
      <x:c r="J103" s="24" t="str">
        <x:v>NONE__NEGATIVE_LIST_DOES_NOT_DEFINE_LICENSED_UNIVERSE</x:v>
      </x:c>
      <x:c r="K103" s="24" t="str">
        <x:v>https://cby-ye.com/files/667c32dabd223.pdf</x:v>
      </x:c>
    </x:row>
    <x:row r="104">
      <x:c r="A104" s="24" t="str">
        <x:v>NEG-EW-010</x:v>
      </x:c>
      <x:c r="B104" s="24" t="str">
        <x:v>SRC-CBY-UNLICENSED-EWALLET-2024-001</x:v>
      </x:c>
      <x:c r="C104" s="24" t="str">
        <x:v>Central Bank of Yemen — Aden</x:v>
      </x:c>
      <x:c r="D104" s="24" t="str">
        <x:v>2024-06-26</x:v>
      </x:c>
      <x:c r="E104" s="24" t="str">
        <x:v>محفظة جيب Jaib</x:v>
      </x:c>
      <x:c r="F104" s="24" t="str">
        <x:v>Jaib wallet</x:v>
      </x:c>
      <x:c r="G104" s="24" t="str">
        <x:v>UNLICENSED_AS_NAMED_IN_SOURCE_ON_SOURCE_DATE</x:v>
      </x:c>
      <x:c r="H104" s="24" t="str">
        <x:v>CBY circular prohibiting direct/indirect dealing</x:v>
      </x:c>
      <x:c r="I104" s="24" t="str">
        <x:v>NONE__DO_NOT_CARRY_FORWARD_TO_2026_WITHOUT_NEW_STATUS_EVIDENCE</x:v>
      </x:c>
      <x:c r="J104" s="24" t="str">
        <x:v>NONE__NEGATIVE_LIST_DOES_NOT_DEFINE_LICENSED_UNIVERSE</x:v>
      </x:c>
      <x:c r="K104" s="24" t="str">
        <x:v>https://cby-ye.com/files/667c32dabd223.pdf</x:v>
      </x:c>
    </x:row>
    <x:row r="105">
      <x:c r="A105" s="24" t="str">
        <x:v>NEG-EW-011</x:v>
      </x:c>
      <x:c r="B105" s="24" t="str">
        <x:v>SRC-CBY-UNLICENSED-EWALLET-2024-001</x:v>
      </x:c>
      <x:c r="C105" s="24" t="str">
        <x:v>Central Bank of Yemen — Aden</x:v>
      </x:c>
      <x:c r="D105" s="24" t="str">
        <x:v>2024-06-26</x:v>
      </x:c>
      <x:c r="E105" s="24" t="str">
        <x:v>محفظة وي كاش لخدمات وأنظمة الدفع الالكتروني</x:v>
      </x:c>
      <x:c r="F105" s="24" t="str">
        <x:v>We Cash electronic payment services</x:v>
      </x:c>
      <x:c r="G105" s="24" t="str">
        <x:v>UNLICENSED_AS_NAMED_IN_SOURCE_ON_SOURCE_DATE</x:v>
      </x:c>
      <x:c r="H105" s="24" t="str">
        <x:v>CBY circular prohibiting direct/indirect dealing</x:v>
      </x:c>
      <x:c r="I105" s="24" t="str">
        <x:v>NONE__DO_NOT_CARRY_FORWARD_TO_2026_WITHOUT_NEW_STATUS_EVIDENCE</x:v>
      </x:c>
      <x:c r="J105" s="24" t="str">
        <x:v>NONE__NEGATIVE_LIST_DOES_NOT_DEFINE_LICENSED_UNIVERSE</x:v>
      </x:c>
      <x:c r="K105" s="24" t="str">
        <x:v>https://cby-ye.com/files/667c32dabd223.pdf</x:v>
      </x:c>
    </x:row>
    <x:row r="106">
      <x:c r="A106" s="24" t="str">
        <x:v>NEG-EW-012</x:v>
      </x:c>
      <x:c r="B106" s="24" t="str">
        <x:v>SRC-CBY-UNLICENSED-EWALLET-2024-001</x:v>
      </x:c>
      <x:c r="C106" s="24" t="str">
        <x:v>Central Bank of Yemen — Aden</x:v>
      </x:c>
      <x:c r="D106" s="24" t="str">
        <x:v>2024-06-26</x:v>
      </x:c>
      <x:c r="E106" s="24" t="str">
        <x:v>محفظة المتكاملة</x:v>
      </x:c>
      <x:c r="F106" s="24" t="str">
        <x:v>Al-Mutakamila wallet</x:v>
      </x:c>
      <x:c r="G106" s="24" t="str">
        <x:v>UNLICENSED_AS_NAMED_IN_SOURCE_ON_SOURCE_DATE</x:v>
      </x:c>
      <x:c r="H106" s="24" t="str">
        <x:v>CBY circular prohibiting direct/indirect dealing</x:v>
      </x:c>
      <x:c r="I106" s="24" t="str">
        <x:v>NONE__DO_NOT_CARRY_FORWARD_TO_2026_WITHOUT_NEW_STATUS_EVIDENCE</x:v>
      </x:c>
      <x:c r="J106" s="24" t="str">
        <x:v>NONE__NEGATIVE_LIST_DOES_NOT_DEFINE_LICENSED_UNIVERSE</x:v>
      </x:c>
      <x:c r="K106" s="24" t="str">
        <x:v>https://cby-ye.com/files/667c32dabd223.pdf</x:v>
      </x:c>
    </x:row>
    <x:row r="109">
      <x:c r="A109" s="53" t="str">
        <x:v>Provider baseline</x:v>
      </x:c>
      <x:c r="B109" s="53"/>
      <x:c r="C109" s="53"/>
      <x:c r="D109" s="53"/>
      <x:c r="E109" s="53"/>
      <x:c r="F109" s="53"/>
      <x:c r="G109" s="53"/>
      <x:c r="H109" s="53"/>
      <x:c r="I109" s="53"/>
      <x:c r="J109" s="53"/>
      <x:c r="K109" s="53"/>
    </x:row>
    <x:row r="110">
      <x:c r="A110" s="51" t="str">
        <x:v>baseline_id</x:v>
      </x:c>
      <x:c r="B110" s="51" t="str">
        <x:v>source_id</x:v>
      </x:c>
      <x:c r="C110" s="51" t="str">
        <x:v>reference_year</x:v>
      </x:c>
      <x:c r="D110" s="51" t="str">
        <x:v>provider_class</x:v>
      </x:c>
      <x:c r="E110" s="51" t="str">
        <x:v>verified_count</x:v>
      </x:c>
      <x:c r="F110" s="51" t="str">
        <x:v>count_basis</x:v>
      </x:c>
      <x:c r="G110" s="51" t="str">
        <x:v>evidence_state</x:v>
      </x:c>
      <x:c r="H110" s="51" t="str">
        <x:v>what_it_supports</x:v>
      </x:c>
      <x:c r="I110" s="51" t="str">
        <x:v>what_it_does_not_support</x:v>
      </x:c>
      <x:c r="J110" s="51" t="str">
        <x:v>source_url</x:v>
      </x:c>
      <x:c r="K110" s="51" t="str">
        <x:v>critical_control</x:v>
      </x:c>
    </x:row>
    <x:row r="111">
      <x:c r="A111" s="24" t="str">
        <x:v>PBL-2025-001</x:v>
      </x:c>
      <x:c r="B111" s="24" t="str">
        <x:v>SRC-CBY-EXCH-LIST-2025-001</x:v>
      </x:c>
      <x:c r="C111" s="24" t="n">
        <x:v>2025</x:v>
      </x:c>
      <x:c r="D111" s="24" t="str">
        <x:v>EXCHANGE_COMPANIES</x:v>
      </x:c>
      <x:c r="E111" s="24" t="n">
        <x:v>79</x:v>
      </x:c>
      <x:c r="F111" s="24" t="str">
        <x:v>Section numbering ends at 79 in the official roster.</x:v>
      </x:c>
      <x:c r="G111" s="24" t="str">
        <x:v>PRIMARY_OFFICIAL_ROSTER_VISUALLY_VERIFIED</x:v>
      </x:c>
      <x:c r="H111" s="24" t="str">
        <x:v>A dated 2025 predecessor count and historical universe structure.</x:v>
      </x:c>
      <x:c r="I111" s="24" t="str">
        <x:v>Any 2026 count, current membership, operation or status.</x:v>
      </x:c>
      <x:c r="J111" s="24" t="str">
        <x:v>https://cby-ye.com/files/69561aafe8942.pdf</x:v>
      </x:c>
      <x:c r="K111" s="24" t="str">
        <x:v>Historical predecessor only; never carry forward membership to 2026.</x:v>
      </x:c>
    </x:row>
    <x:row r="112">
      <x:c r="A112" s="24" t="str">
        <x:v>PBL-2025-002</x:v>
      </x:c>
      <x:c r="B112" s="24" t="str">
        <x:v>SRC-CBY-EXCH-LIST-2025-001</x:v>
      </x:c>
      <x:c r="C112" s="24" t="n">
        <x:v>2025</x:v>
      </x:c>
      <x:c r="D112" s="24" t="str">
        <x:v>EXCHANGE_ESTABLISHMENTS</x:v>
      </x:c>
      <x:c r="E112" s="24" t="n">
        <x:v>195</x:v>
      </x:c>
      <x:c r="F112" s="24" t="str">
        <x:v>Section numbering ends at 195 in the official roster.</x:v>
      </x:c>
      <x:c r="G112" s="24" t="str">
        <x:v>PRIMARY_OFFICIAL_ROSTER_VISUALLY_VERIFIED</x:v>
      </x:c>
      <x:c r="H112" s="24" t="str">
        <x:v>A dated 2025 predecessor count and historical universe structure.</x:v>
      </x:c>
      <x:c r="I112" s="24" t="str">
        <x:v>Any 2026 count, current membership, operation or status.</x:v>
      </x:c>
      <x:c r="J112" s="24" t="str">
        <x:v>https://cby-ye.com/files/69561aafe8942.pdf</x:v>
      </x:c>
      <x:c r="K112" s="24" t="str">
        <x:v>Historical predecessor only; never carry forward membership to 2026.</x:v>
      </x:c>
    </x:row>
    <x:row r="113">
      <x:c r="A113" s="24" t="str">
        <x:v>PBL-2025-003</x:v>
      </x:c>
      <x:c r="B113" s="24" t="str">
        <x:v>SRC-CBY-EXCH-LIST-2025-001</x:v>
      </x:c>
      <x:c r="C113" s="24" t="n">
        <x:v>2025</x:v>
      </x:c>
      <x:c r="D113" s="24" t="str">
        <x:v>REMITTANCE_AGENTS</x:v>
      </x:c>
      <x:c r="E113" s="24" t="n">
        <x:v>108</x:v>
      </x:c>
      <x:c r="F113" s="24" t="str">
        <x:v>Official PDF text/page sequence reaches row 108 in the third section.</x:v>
      </x:c>
      <x:c r="G113" s="24" t="str">
        <x:v>PRIMARY_OFFICIAL_ROSTER_VISUALLY_VERIFIED</x:v>
      </x:c>
      <x:c r="H113" s="24" t="str">
        <x:v>A dated 2025 predecessor count and historical universe structure.</x:v>
      </x:c>
      <x:c r="I113" s="24" t="str">
        <x:v>Any 2026 count, current membership, operation or status.</x:v>
      </x:c>
      <x:c r="J113" s="24" t="str">
        <x:v>https://cby-ye.com/files/69561aafe8942.pdf</x:v>
      </x:c>
      <x:c r="K113" s="24" t="str">
        <x:v>Historical predecessor only; never carry forward membership to 2026.</x:v>
      </x:c>
    </x:row>
    <x:row r="114">
      <x:c r="A114" s="24" t="str">
        <x:v>PBL-2025-004</x:v>
      </x:c>
      <x:c r="B114" s="24" t="str">
        <x:v>SRC-CBY-EXCH-LIST-2025-001</x:v>
      </x:c>
      <x:c r="C114" s="24" t="n">
        <x:v>2025</x:v>
      </x:c>
      <x:c r="D114" s="24" t="str">
        <x:v>TOTAL_ROSTER_ENTRIES</x:v>
      </x:c>
      <x:c r="E114" s="24" t="n">
        <x:v>382</x:v>
      </x:c>
      <x:c r="F114" s="24" t="str">
        <x:v>79 companies + 195 establishments + 108 remittance agents.</x:v>
      </x:c>
      <x:c r="G114" s="24" t="str">
        <x:v>DERIVED_FROM_PRIMARY_SECTION_COUNTS</x:v>
      </x:c>
      <x:c r="H114" s="24" t="str">
        <x:v>A bounded historical headline about the size/structure of the 2025 roster.</x:v>
      </x:c>
      <x:c r="I114" s="24" t="str">
        <x:v>Unique legal entities across categories, 2026 size, active operation, branch network or market share.</x:v>
      </x:c>
      <x:c r="J114" s="24" t="str">
        <x:v>https://cby-ye.com/files/69561aafe8942.pdf</x:v>
      </x:c>
      <x:c r="K114" s="24" t="str">
        <x:v>This is a category-entry total, not a current provider census and not necessarily unique economic actors.</x:v>
      </x:c>
    </x:row>
    <x:row r="117">
      <x:c r="A117" s="53" t="str">
        <x:v>Wallet count reconciliation</x:v>
      </x:c>
      <x:c r="B117" s="53"/>
      <x:c r="C117" s="53"/>
      <x:c r="D117" s="53"/>
      <x:c r="E117" s="53"/>
      <x:c r="F117" s="53"/>
      <x:c r="G117" s="53"/>
      <x:c r="H117" s="53"/>
      <x:c r="I117" s="53"/>
      <x:c r="J117" s="53"/>
      <x:c r="K117" s="53"/>
    </x:row>
    <x:row r="118">
      <x:c r="A118" s="51" t="str">
        <x:v>wallet_count_object_id</x:v>
      </x:c>
      <x:c r="B118" s="51" t="str">
        <x:v>source_id</x:v>
      </x:c>
      <x:c r="C118" s="51" t="str">
        <x:v>reference_period</x:v>
      </x:c>
      <x:c r="D118" s="51" t="str">
        <x:v>source_wording_or_metric</x:v>
      </x:c>
      <x:c r="E118" s="51" t="str">
        <x:v>reported_value</x:v>
      </x:c>
      <x:c r="F118" s="51" t="str">
        <x:v>unit</x:v>
      </x:c>
      <x:c r="G118" s="51" t="str">
        <x:v>semantic_state</x:v>
      </x:c>
      <x:c r="H118" s="51" t="str">
        <x:v>possible_relation_to_other_counts</x:v>
      </x:c>
      <x:c r="I118" s="51" t="str">
        <x:v>admitted_use</x:v>
      </x:c>
      <x:c r="J118" s="51" t="str">
        <x:v>prohibited_inference</x:v>
      </x:c>
      <x:c r="K118" s="51" t="str">
        <x:v>source_url</x:v>
      </x:c>
      <x:c r="L118" t="str">
        <x:v>reference_period_ar</x:v>
      </x:c>
    </x:row>
    <x:row r="119">
      <x:c r="A119" s="24" t="str">
        <x:v>WCR-001</x:v>
      </x:c>
      <x:c r="B119" s="24" t="str">
        <x:v>SRC-CBY-PAYREPORT-Q3-2024</x:v>
      </x:c>
      <x:c r="C119" s="24" t="str">
        <x:v>2024 Q3</x:v>
      </x:c>
      <x:c r="D119" s="24" t="str">
        <x:v>Number of e-wallets</x:v>
      </x:c>
      <x:c r="E119" s="24" t="n">
        <x:v>7</x:v>
      </x:c>
      <x:c r="F119" s="24" t="str">
        <x:v>e-wallets</x:v>
      </x:c>
      <x:c r="G119" s="24" t="str">
        <x:v>PRIMARY_ADMINISTRATIVE_COUNT</x:v>
      </x:c>
      <x:c r="H119" s="24" t="str">
        <x:v>Could be reporting-universe count at Q3 2024; exact licensing/active/reporting semantics not proven identical to later objects.</x:v>
      </x:c>
      <x:c r="I119" s="24" t="str">
        <x:v>Display as a dated source-reported count only.</x:v>
      </x:c>
      <x:c r="J119" s="24" t="str">
        <x:v>Do not trend mechanically to 9 or 8 and do not infer entry/exit.</x:v>
      </x:c>
      <x:c r="K119" s="24" t="str">
        <x:v>https://www.cby-ye.com/files/677c2e75a4d8c.pdf</x:v>
      </x:c>
      <x:c r="L119" t="str">
        <x:v>الربع الثالث 2024</x:v>
      </x:c>
    </x:row>
    <x:row r="120">
      <x:c r="A120" s="24" t="str">
        <x:v>WCR-002</x:v>
      </x:c>
      <x:c r="B120" s="24" t="str">
        <x:v>SRC-CBY-PAYREPORT-H1-2025</x:v>
      </x:c>
      <x:c r="C120" s="24" t="str">
        <x:v>2025 H1</x:v>
      </x:c>
      <x:c r="D120" s="24" t="str">
        <x:v>Number of e-wallets</x:v>
      </x:c>
      <x:c r="E120" s="24" t="n">
        <x:v>9</x:v>
      </x:c>
      <x:c r="F120" s="24" t="str">
        <x:v>e-wallets</x:v>
      </x:c>
      <x:c r="G120" s="24" t="str">
        <x:v>PRIMARY_ADMINISTRATIVE_COUNT</x:v>
      </x:c>
      <x:c r="H120" s="24" t="str">
        <x:v>Administrative reporting count; may differ from legal licensed-universe wording or reference date.</x:v>
      </x:c>
      <x:c r="I120" s="24" t="str">
        <x:v>Display with H1 report context and subscribers/activity metrics.</x:v>
      </x:c>
      <x:c r="J120" s="24" t="str">
        <x:v>Do not equate automatically to licensed providers or unique wallet products.</x:v>
      </x:c>
      <x:c r="K120" s="24" t="str">
        <x:v>https://www.cby-ye.com/files/693a7845e7f26.pdf</x:v>
      </x:c>
      <x:c r="L120" t="str">
        <x:v>النصف الأول 2025</x:v>
      </x:c>
    </x:row>
    <x:row r="121">
      <x:c r="A121" s="24" t="str">
        <x:v>WCR-003</x:v>
      </x:c>
      <x:c r="B121" s="24" t="str">
        <x:v>SRC-CBY-FMIIP-WORKSHOP-2025</x:v>
      </x:c>
      <x:c r="C121" s="24" t="str">
        <x:v>2025-09-10</x:v>
      </x:c>
      <x:c r="D121" s="24" t="str">
        <x:v>Governor states CBY licensed eight electronic wallets</x:v>
      </x:c>
      <x:c r="E121" s="24" t="n">
        <x:v>8</x:v>
      </x:c>
      <x:c r="F121" s="24" t="str">
        <x:v>licensed e-wallets</x:v>
      </x:c>
      <x:c r="G121" s="24" t="str">
        <x:v>PRIMARY_OFFICIAL_DATED_LICENSING_STATEMENT</x:v>
      </x:c>
      <x:c r="H121" s="24" t="str">
        <x:v>Legal/authority wording differs from H1 payment-report count; named universe not supplied.</x:v>
      </x:c>
      <x:c r="I121" s="24" t="str">
        <x:v>Display as a dated licensing statement with attribution.</x:v>
      </x:c>
      <x:c r="J121" s="24" t="str">
        <x:v>Do not infer one provider exited between H1 and September without direct status evidence.</x:v>
      </x:c>
      <x:c r="K121" s="24" t="str">
        <x:v>https://cby-ye.com/news/876</x:v>
      </x:c>
    </x:row>
    <x:row r="122">
      <x:c r="A122" s="24" t="str">
        <x:v>WCR-004</x:v>
      </x:c>
      <x:c r="B122" s="24" t="str">
        <x:v>SRC-CBY-DIGITAL-EXPO-2026-001</x:v>
      </x:c>
      <x:c r="C122" s="24" t="str">
        <x:v>2026-01-22 event</x:v>
      </x:c>
      <x:c r="D122" s="24" t="str">
        <x:v>More than 9 e-wallets participated in the digital-payment exhibition</x:v>
      </x:c>
      <x:c r="E122" s="24" t="str">
        <x:v>&gt;9</x:v>
      </x:c>
      <x:c r="F122" s="24" t="str">
        <x:v>event participants</x:v>
      </x:c>
      <x:c r="G122" s="24" t="str">
        <x:v>PRIMARY_OFFICIAL_EVENT_PARTICIPATION</x:v>
      </x:c>
      <x:c r="H122" s="24" t="str">
        <x:v>Participation count is neither a licensing count nor a complete current universe.</x:v>
      </x:c>
      <x:c r="I122" s="24" t="str">
        <x:v>Use as event participation/activity evidence only.</x:v>
      </x:c>
      <x:c r="J122" s="24" t="str">
        <x:v>Do not call it the licensed wallet count or use it to close the named universe.</x:v>
      </x:c>
      <x:c r="K122" s="24" t="str">
        <x:v>https://cby-ye.com/news/915</x:v>
      </x:c>
      <x:c r="L122" t="str">
        <x:v>فعالية 22 يناير 2026</x:v>
      </x:c>
    </x:row>
    <x:row r="123">
      <x:c r="A123" s="24" t="str">
        <x:v>WCR-005</x:v>
      </x:c>
      <x:c r="B123" s="24" t="str">
        <x:v>MULTI_SOURCE</x:v>
      </x:c>
      <x:c r="C123" s="24" t="str">
        <x:v>2024-2026</x:v>
      </x:c>
      <x:c r="D123" s="24" t="str">
        <x:v>7 → 9 → 8 → &gt;9 are not a valid time series without semantic reconciliation</x:v>
      </x:c>
      <x:c r="E123" s="24"/>
      <x:c r="F123" s="24" t="str">
        <x:v>N/A</x:v>
      </x:c>
      <x:c r="G123" s="24" t="str">
        <x:v>CONTROLLED_SEMANTIC_CONTRADICTION</x:v>
      </x:c>
      <x:c r="H123" s="24" t="str">
        <x:v>Different dates, source contexts and likely universes/definitions may explain the values; no explanation is assumed.</x:v>
      </x:c>
      <x:c r="I123" s="24" t="str">
        <x:v>Power Source Comparison Lab and provider-observability badges.</x:v>
      </x:c>
      <x:c r="J123" s="24" t="str">
        <x:v>Do not manufacture wallet growth/churn, net entry, current 2026 count or named roster.</x:v>
      </x:c>
      <x:c r="K123" s="24" t="str">
        <x:v>Internal synthesis governed by source objects</x:v>
      </x:c>
    </x:row>
    <x:row r="126">
      <x:c r="A126" s="53" t="str">
        <x:v>Payment currentness</x:v>
      </x:c>
      <x:c r="B126" s="53"/>
      <x:c r="C126" s="53"/>
      <x:c r="D126" s="53"/>
      <x:c r="E126" s="53"/>
      <x:c r="F126" s="53"/>
      <x:c r="G126" s="53"/>
      <x:c r="H126" s="53"/>
      <x:c r="I126" s="53"/>
    </x:row>
    <x:row r="127">
      <x:c r="A127" s="51" t="str">
        <x:v>payment_control_id</x:v>
      </x:c>
      <x:c r="B127" s="51" t="str">
        <x:v>object_family</x:v>
      </x:c>
      <x:c r="C127" s="51" t="str">
        <x:v>latest_primary_state</x:v>
      </x:c>
      <x:c r="D127" s="51" t="str">
        <x:v>latest_period_or_date</x:v>
      </x:c>
      <x:c r="E127" s="51" t="str">
        <x:v>normalization_state</x:v>
      </x:c>
      <x:c r="F127" s="51" t="str">
        <x:v>what_is_currently_safe</x:v>
      </x:c>
      <x:c r="G127" s="51" t="str">
        <x:v>remaining_gap</x:v>
      </x:c>
      <x:c r="H127" s="51" t="str">
        <x:v>source_url</x:v>
      </x:c>
      <x:c r="I127" s="51" t="str">
        <x:v>release_state</x:v>
      </x:c>
    </x:row>
    <x:row r="128">
      <x:c r="A128" s="24" t="str">
        <x:v>PAYCUR-001</x:v>
      </x:c>
      <x:c r="B128" s="24" t="str">
        <x:v>Monthly POS operations</x:v>
      </x:c>
      <x:c r="C128" s="24" t="str">
        <x:v>CBY current payments pages rechecked on 2026-10-03; the Arabic page lists monthly POS objects March 2025 through June 2026; the English page still lists them only through January 2026</x:v>
      </x:c>
      <x:c r="D128" s="24" t="str">
        <x:v>2026-06</x:v>
      </x:c>
      <x:c r="E128" s="24" t="str">
        <x:v>NORMALIZED_IN_11_CBY_PAYMENTS__CURRENTNESS_RECHECKED_2026-10-03</x:v>
      </x:c>
      <x:c r="F128" s="24" t="str">
        <x:v>Use the controlled monthly POS sequence only through June 2026, with source-specific values/units and missingness preserved.</x:v>
      </x:c>
      <x:c r="G128" s="24" t="str">
        <x:v>No later monthly POS object was exposed on the official Arabic payments page when rechecked on 2026-10-03; do not extrapolate July onward. The English payments page still ends at January 2026.</x:v>
      </x:c>
      <x:c r="H128" s="24" t="str">
        <x:v>https://cby-ye.com/pages/33 ; https://english.cby-ye.com/pages/27</x:v>
      </x:c>
      <x:c r="I128" s="24" t="str">
        <x:v>PUBLIC_CONDITIONAL</x:v>
      </x:c>
    </x:row>
    <x:row r="129">
      <x:c r="A129" s="24" t="str">
        <x:v>PAYCUR-002</x:v>
      </x:c>
      <x:c r="B129" s="24" t="str">
        <x:v>H1 payment-system snapshot</x:v>
      </x:c>
      <x:c r="C129" s="24" t="str">
        <x:v>Cards, ATMs, POS, accounts, e-wallet count and subscribers reported in official H1 2025 payment report</x:v>
      </x:c>
      <x:c r="D129" s="24" t="str">
        <x:v>2025 H1</x:v>
      </x:c>
      <x:c r="E129" s="24" t="str">
        <x:v>NORMALIZED_IN_11_CBY_PAYMENTS</x:v>
      </x:c>
      <x:c r="F129" s="24" t="str">
        <x:v>Use as a bounded administrative snapshot with metric definitions and non-person caveats.</x:v>
      </x:c>
      <x:c r="G129" s="24" t="str">
        <x:v>Not a 2026 snapshot and not proof of unique active users.</x:v>
      </x:c>
      <x:c r="H129" s="24" t="str">
        <x:v>https://www.cby-ye.com/files/693a7845e7f26.pdf</x:v>
      </x:c>
      <x:c r="I129" s="24" t="str">
        <x:v>PUBLIC_CONDITIONAL</x:v>
      </x:c>
    </x:row>
    <x:row r="130">
      <x:c r="A130" s="24" t="str">
        <x:v>PAYCUR-003</x:v>
      </x:c>
      <x:c r="B130" s="24" t="str">
        <x:v>Digital-finance infrastructure project</x:v>
      </x:c>
      <x:c r="C130" s="24" t="str">
        <x:v>CBY/World Bank/UNDP workshop states FPS/RTGS/interoperability programme and reports 15 banks connected to national card switch plus 8 licensed electronic wallets</x:v>
      </x:c>
      <x:c r="D130" s="24" t="str">
        <x:v>2025-09-10</x:v>
      </x:c>
      <x:c r="E130" s="24" t="str">
        <x:v>PRIMARY_EVENT_NORMALIZED</x:v>
      </x:c>
      <x:c r="F130" s="24" t="str">
        <x:v>Use as project/regulatory/infrastructure state, not outcome.</x:v>
      </x:c>
      <x:c r="G130" s="24" t="str">
        <x:v>Named wallet universe and independent go-live/coverage/use metrics remain open.</x:v>
      </x:c>
      <x:c r="H130" s="24" t="str">
        <x:v>https://cby-ye.com/news/876</x:v>
      </x:c>
      <x:c r="I130" s="24" t="str">
        <x:v>PUBLIC_CONDITIONAL</x:v>
      </x:c>
    </x:row>
    <x:row r="131">
      <x:c r="A131" s="24" t="str">
        <x:v>PAYCUR-004</x:v>
      </x:c>
      <x:c r="B131" s="24" t="str">
        <x:v>Unified-network integration</x:v>
      </x:c>
      <x:c r="C131" s="24" t="str">
        <x:v>CBY June 2026 meeting discusses implementation of unified network as main channel and completion of integration among banks and financial-service providers</x:v>
      </x:c>
      <x:c r="D131" s="24" t="str">
        <x:v>2026-06-17</x:v>
      </x:c>
      <x:c r="E131" s="24" t="str">
        <x:v>PRIMARY_EVENT_NORMALIZED</x:v>
      </x:c>
      <x:c r="F131" s="24" t="str">
        <x:v>Use as implementation/integration-state evidence.</x:v>
      </x:c>
      <x:c r="G131" s="24" t="str">
        <x:v>Do not infer every participant is technically live or all transfers use the network.</x:v>
      </x:c>
      <x:c r="H131" s="24" t="str">
        <x:v>https://cby-ye.com/news/946</x:v>
      </x:c>
      <x:c r="I131" s="24" t="str">
        <x:v>PUBLIC_CONDITIONAL</x:v>
      </x:c>
    </x:row>
    <x:row r="132">
      <x:c r="A132" s="24" t="str">
        <x:v>PAYCUR-005</x:v>
      </x:c>
      <x:c r="B132" s="24" t="str">
        <x:v>Unified Money Network company</x:v>
      </x:c>
      <x:c r="C132" s="24" t="str">
        <x:v>CBY reports restructuring/capital increase and expansion of shareholder base with banks joining the company</x:v>
      </x:c>
      <x:c r="D132" s="24" t="str">
        <x:v>2026-07-27</x:v>
      </x:c>
      <x:c r="E132" s="24" t="str">
        <x:v>PRIMARY_EVENT_NORMALIZED</x:v>
      </x:c>
      <x:c r="F132" s="24" t="str">
        <x:v>Use as institutionalization/governance evidence in payment infrastructure timeline.</x:v>
      </x:c>
      <x:c r="G132" s="24" t="str">
        <x:v>No inference on transaction coverage, unique users or inclusion outcomes.</x:v>
      </x:c>
      <x:c r="H132" s="24" t="str">
        <x:v>https://cby-ye.com/news/957</x:v>
      </x:c>
      <x:c r="I132" s="24" t="str">
        <x:v>PUBLIC_CONDITIONAL</x:v>
      </x:c>
    </x:row>
    <x:row r="133">
      <x:c r="A133" s="24" t="str">
        <x:v>PAYCUR-006</x:v>
      </x:c>
      <x:c r="B133" s="24" t="str">
        <x:v>Yemeni Payments and Clearing Company</x:v>
      </x:c>
      <x:c r="C133" s="24" t="str">
        <x:v>Founding assembly held 2026-08-03 and first board meeting held 2026-08-04</x:v>
      </x:c>
      <x:c r="D133" s="24" t="str">
        <x:v>2026-08-03/04</x:v>
      </x:c>
      <x:c r="E133" s="24" t="str">
        <x:v>PRIMARY_EVENT_NORMALIZED</x:v>
      </x:c>
      <x:c r="F133" s="24" t="str">
        <x:v>Use as institutional-establishment state for national payments infrastructure.</x:v>
      </x:c>
      <x:c r="G133" s="24" t="str">
        <x:v>Company establishment ≠ system go-live, usage or outcome.</x:v>
      </x:c>
      <x:c r="H133" s="24" t="str">
        <x:v>https://cby-ye.com/news/961 | https://cby-ye.com/news/962</x:v>
      </x:c>
      <x:c r="I133" s="24" t="str">
        <x:v>PUBLIC_CONDITIONAL</x:v>
      </x:c>
    </x:row>
    <x:row r="141">
      <x:c r="A141" s="160" t="str">
        <x:v>Official CBY 2026 exchange/remittance roster — category counts / أعداد فئات قائمة الصرافة والحوالات الرسمية 2026</x:v>
      </x:c>
      <x:c r="B141" s="160"/>
      <x:c r="C141" s="160"/>
      <x:c r="D141" s="160"/>
      <x:c r="E141" s="160"/>
      <x:c r="F141" s="160"/>
      <x:c r="G141" s="160"/>
      <x:c r="H141" s="160"/>
    </x:row>
    <x:row r="142">
      <x:c r="A142" s="163" t="str">
        <x:v>roster_metric_id</x:v>
      </x:c>
      <x:c r="B142" s="163" t="str">
        <x:v>provider_class_en</x:v>
      </x:c>
      <x:c r="C142" s="163" t="str">
        <x:v>provider_class_ar</x:v>
      </x:c>
      <x:c r="D142" s="163" t="str">
        <x:v>count</x:v>
      </x:c>
      <x:c r="E142" s="163" t="str">
        <x:v>unit</x:v>
      </x:c>
      <x:c r="F142" s="163" t="str">
        <x:v>period</x:v>
      </x:c>
      <x:c r="G142" s="163" t="str">
        <x:v>source_id</x:v>
      </x:c>
      <x:c r="H142" s="163" t="str">
        <x:v>interpretation</x:v>
      </x:c>
    </x:row>
    <x:row r="143">
      <x:c r="A143" s="24" t="str">
        <x:v>CBY-ROSTER-2026-COMP</x:v>
      </x:c>
      <x:c r="B143" s="24" t="str">
        <x:v>Exchange companies</x:v>
      </x:c>
      <x:c r="C143" s="28" t="str">
        <x:v>شركات الصرافة</x:v>
      </x:c>
      <x:c r="D143" s="24" t="n">
        <x:v>100</x:v>
      </x:c>
      <x:c r="E143" s="24" t="str">
        <x:v>source-listed rows</x:v>
      </x:c>
      <x:c r="F143" s="24" t="str">
        <x:v>2026</x:v>
      </x:c>
      <x:c r="G143" s="24" t="str">
        <x:v>SRC-CBY-EXCH-LIST-2026-001</x:v>
      </x:c>
      <x:c r="H143" s="24" t="str">
        <x:v>Annual roster count; not proof of current operation.</x:v>
      </x:c>
    </x:row>
    <x:row r="144">
      <x:c r="A144" s="24" t="str">
        <x:v>CBY-ROSTER-2026-EST</x:v>
      </x:c>
      <x:c r="B144" s="24" t="str">
        <x:v>Individual exchange establishments</x:v>
      </x:c>
      <x:c r="C144" s="28" t="str">
        <x:v>منشآت الصرافة الفردية</x:v>
      </x:c>
      <x:c r="D144" s="24" t="n">
        <x:v>231</x:v>
      </x:c>
      <x:c r="E144" s="24" t="str">
        <x:v>source-listed rows</x:v>
      </x:c>
      <x:c r="F144" s="24" t="str">
        <x:v>2026</x:v>
      </x:c>
      <x:c r="G144" s="24" t="str">
        <x:v>SRC-CBY-EXCH-LIST-2026-001</x:v>
      </x:c>
      <x:c r="H144" s="24" t="str">
        <x:v>Annual roster count; not proof of current operation.</x:v>
      </x:c>
    </x:row>
    <x:row r="145">
      <x:c r="A145" s="24" t="str">
        <x:v>CBY-ROSTER-2026-AGT</x:v>
      </x:c>
      <x:c r="B145" s="24" t="str">
        <x:v>Remittance agents</x:v>
      </x:c>
      <x:c r="C145" s="28" t="str">
        <x:v>وكلاء الحوالات</x:v>
      </x:c>
      <x:c r="D145" s="24" t="n">
        <x:v>111</x:v>
      </x:c>
      <x:c r="E145" s="24" t="str">
        <x:v>source-listed rows</x:v>
      </x:c>
      <x:c r="F145" s="24" t="str">
        <x:v>2026</x:v>
      </x:c>
      <x:c r="G145" s="24" t="str">
        <x:v>SRC-CBY-EXCH-LIST-2026-001</x:v>
      </x:c>
      <x:c r="H145" s="24" t="str">
        <x:v>Annual roster count; not proof of current operation.</x:v>
      </x:c>
    </x:row>
    <x:row r="146">
      <x:c r="A146" s="24" t="str">
        <x:v>CBY-ROSTER-2026-ROWS</x:v>
      </x:c>
      <x:c r="B146" s="24" t="str">
        <x:v>All listed rows across the three classes</x:v>
      </x:c>
      <x:c r="C146" s="28" t="str">
        <x:v>إجمالي الصفوف المدرجة عبر الفئات الثلاث</x:v>
      </x:c>
      <x:c r="D146" s="24" t="n">
        <x:v>442</x:v>
      </x:c>
      <x:c r="E146" s="24" t="str">
        <x:v>rows</x:v>
      </x:c>
      <x:c r="F146" s="24" t="str">
        <x:v>2026</x:v>
      </x:c>
      <x:c r="G146" s="24" t="str">
        <x:v>SRC-CBY-EXCH-LIST-2026-001</x:v>
      </x:c>
      <x:c r="H146" s="24" t="str">
        <x:v>Arithmetic sum only; not a deduplicated unique-provider count.</x:v>
      </x:c>
    </x:row>
  </x:sheetData>
  <x:mergeCells>
    <x:mergeCell ref="A1:O1"/>
    <x:mergeCell ref="A2:O2"/>
    <x:mergeCell ref="A67:K67"/>
    <x:mergeCell ref="A75:L75"/>
    <x:mergeCell ref="A93:K93"/>
    <x:mergeCell ref="A109:K109"/>
    <x:mergeCell ref="A117:K117"/>
    <x:mergeCell ref="A126:I126"/>
    <x:mergeCell ref="A141:H141"/>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Yemen</x:v>
      </x:c>
      <x:c r="F5" s="24" t="str">
        <x:v>2018</x:v>
      </x:c>
      <x:c r="G5" s="24" t="str">
        <x:v>HISTORICAL_REPORTED</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x:v>
      </x:c>
      <x:c r="S5" s="24" t="str">
        <x:v>SOURCE_REPORTED__IMF_STAFF_CALCULATIONS</x:v>
      </x:c>
      <x:c r="T5" s="24" t="str">
        <x:v>MACRO_SERIES_SAME_VINTAGE</x:v>
      </x:c>
      <x:c r="U5" s="24" t="str">
        <x:v>Macro external-sector remittance series; not payment-system settlement throughput and not a directly measured hawala volume.</x:v>
      </x:c>
      <x:c r="V5" s="28" t="str">
        <x:v>سلسلة كلية ضمن القطاع الخارجي؛ ولا تمثل حجم التسويات عبر أنظمة الدفع ولا قياساً مباشراً لحجم الحوالات غير الرسمية.</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Yemen</x:v>
      </x:c>
      <x:c r="F6" s="24" t="str">
        <x:v>2019</x:v>
      </x:c>
      <x:c r="G6" s="24" t="str">
        <x:v>HISTORICAL_REPORTED</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x:v>
      </x:c>
      <x:c r="S6" s="24" t="str">
        <x:v>SOURCE_REPORTED__IMF_STAFF_CALCULATIONS</x:v>
      </x:c>
      <x:c r="T6" s="24" t="str">
        <x:v>MACRO_SERIES_SAME_VINTAGE</x:v>
      </x:c>
      <x:c r="U6" s="24" t="str">
        <x:v>Macro external-sector remittance series; not payment-system settlement throughput and not a directly measured hawala volume.</x:v>
      </x:c>
      <x:c r="V6" s="28" t="str">
        <x:v>سلسلة كلية ضمن القطاع الخارجي؛ ولا تمثل حجم التسويات عبر أنظمة الدفع ولا قياساً مباشراً لحجم الحوالات غير الرسمية.</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Yemen</x:v>
      </x:c>
      <x:c r="F7" s="24" t="str">
        <x:v>2020</x:v>
      </x:c>
      <x:c r="G7" s="24" t="str">
        <x:v>HISTORICAL_REPORTED</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x:v>
      </x:c>
      <x:c r="S7" s="24" t="str">
        <x:v>SOURCE_REPORTED__IMF_STAFF_CALCULATIONS</x:v>
      </x:c>
      <x:c r="T7" s="24" t="str">
        <x:v>MACRO_SERIES_SAME_VINTAGE</x:v>
      </x:c>
      <x:c r="U7" s="24" t="str">
        <x:v>Macro external-sector remittance series; not payment-system settlement throughput and not a directly measured hawala volume.</x:v>
      </x:c>
      <x:c r="V7" s="28" t="str">
        <x:v>سلسلة كلية ضمن القطاع الخارجي؛ ولا تمثل حجم التسويات عبر أنظمة الدفع ولا قياساً مباشراً لحجم الحوالات غير الرسمية.</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Yemen</x:v>
      </x:c>
      <x:c r="F8" s="24" t="str">
        <x:v>2021</x:v>
      </x:c>
      <x:c r="G8" s="24" t="str">
        <x:v>HISTORICAL_REPORTED</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x:v>
      </x:c>
      <x:c r="S8" s="24" t="str">
        <x:v>SOURCE_REPORTED__IMF_STAFF_CALCULATIONS</x:v>
      </x:c>
      <x:c r="T8" s="24" t="str">
        <x:v>MACRO_SERIES_SAME_VINTAGE</x:v>
      </x:c>
      <x:c r="U8" s="24" t="str">
        <x:v>Macro external-sector remittance series; not payment-system settlement throughput and not a directly measured hawala volume.</x:v>
      </x:c>
      <x:c r="V8" s="28" t="str">
        <x:v>سلسلة كلية ضمن القطاع الخارجي؛ ولا تمثل حجم التسويات عبر أنظمة الدفع ولا قياساً مباشراً لحجم الحوالات غير الرسمية.</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Yemen</x:v>
      </x:c>
      <x:c r="F9" s="24" t="str">
        <x:v>2022</x:v>
      </x:c>
      <x:c r="G9" s="24" t="str">
        <x:v>HISTORICAL_REPORTED</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x:v>
      </x:c>
      <x:c r="S9" s="24" t="str">
        <x:v>SOURCE_REPORTED__IMF_STAFF_CALCULATIONS</x:v>
      </x:c>
      <x:c r="T9" s="24" t="str">
        <x:v>MACRO_SERIES_SAME_VINTAGE</x:v>
      </x:c>
      <x:c r="U9" s="24" t="str">
        <x:v>Macro external-sector remittance series; not payment-system settlement throughput and not a directly measured hawala volume.</x:v>
      </x:c>
      <x:c r="V9" s="28" t="str">
        <x:v>سلسلة كلية ضمن القطاع الخارجي؛ ولا تمثل حجم التسويات عبر أنظمة الدفع ولا قياساً مباشراً لحجم الحوالات غير الرسمية.</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Yemen</x:v>
      </x:c>
      <x:c r="F10" s="24" t="str">
        <x:v>2023</x:v>
      </x:c>
      <x:c r="G10" s="24" t="str">
        <x:v>HISTORICAL_REPORTED</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x:v>
      </x:c>
      <x:c r="S10" s="24" t="str">
        <x:v>SOURCE_REPORTED__IMF_STAFF_CALCULATIONS</x:v>
      </x:c>
      <x:c r="T10" s="24" t="str">
        <x:v>MACRO_SERIES_SAME_VINTAGE</x:v>
      </x:c>
      <x:c r="U10" s="24" t="str">
        <x:v>Macro external-sector remittance series; not payment-system settlement throughput and not a directly measured hawala volume.</x:v>
      </x:c>
      <x:c r="V10" s="28" t="str">
        <x:v>سلسلة كلية ضمن القطاع الخارجي؛ ولا تمثل حجم التسويات عبر أنظمة الدفع ولا قياساً مباشراً لحجم الحوالات غير الرسمية.</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Yemen</x:v>
      </x:c>
      <x:c r="F11" s="24" t="str">
        <x:v>2024</x:v>
      </x:c>
      <x:c r="G11" s="24" t="str">
        <x:v>HISTORICAL_REPORTED</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x:v>
      </x:c>
      <x:c r="S11" s="24" t="str">
        <x:v>SOURCE_REPORTED__IMF_STAFF_CALCULATIONS</x:v>
      </x:c>
      <x:c r="T11" s="24" t="str">
        <x:v>MACRO_SERIES_SAME_VINTAGE</x:v>
      </x:c>
      <x:c r="U11" s="24" t="str">
        <x:v>Macro external-sector remittance series; not payment-system settlement throughput and not a directly measured hawala volume.</x:v>
      </x:c>
      <x:c r="V11" s="28" t="str">
        <x:v>سلسلة كلية ضمن القطاع الخارجي؛ ولا تمثل حجم التسويات عبر أنظمة الدفع ولا قياساً مباشراً لحجم الحوالات غير الرسمية.</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Yemen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Yemen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Yemen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Yemen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Yemen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Yemen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x:v>
      </x:c>
    </x:row>
    <x:row r="6">
      <x:c r="A6" s="24" t="str">
        <x:v>WB-FINDEX-OBS-2022-002</x:v>
      </x:c>
      <x:c r="B6" s="24" t="str">
        <x:v>FX.OWN.TOTL.FE.ZS</x:v>
      </x:c>
      <x:c r="C6" s="24" t="str">
        <x:v>Account ownership</x:v>
      </x:c>
      <x:c r="D6" s="24" t="str">
        <x:v>female</x:v>
      </x:c>
      <x:c r="E6" s="24" t="str">
        <x:v>2022</x:v>
      </x:c>
      <x:c r="F6" s="24" t="n">
        <x:v>5.4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7.0</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24" t="str">
        <x:v>WB-FINDEX-CTX-2021-LIC</x:v>
      </x:c>
      <x:c r="B14" s="24" t="str">
        <x:v>account_t_d</x:v>
      </x:c>
      <x:c r="C14" s="24" t="str">
        <x:v>Account ownership (same definition as FX.OWN.TOTL.ZS)</x:v>
      </x:c>
      <x:c r="D14" s="24" t="str">
        <x:v>low-income economies (19 economies with a 2021-wave observation, Yemen included)</x:v>
      </x:c>
      <x:c r="E14" s="24" t="str">
        <x:v>2021 wave</x:v>
      </x:c>
      <x:c r="F14" s="24" t="n">
        <x:v>35.2</x:v>
      </x:c>
      <x:c r="G14" s="24" t="str">
        <x:v>percent of population ages 15+</x:v>
      </x:c>
      <x:c r="H14" s="24" t="str">
        <x:v>World Bank Global Findex</x:v>
      </x:c>
      <x:c r="I14" s="24" t="str">
        <x:v>https://thedocs.worldbank.org/en/doc/be6615202d1f08a25855c8ac2d615122-0050012025/related/GlobalFindexDatabase2025.csv</x:v>
      </x:c>
      <x:c r="J14" s="24" t="str">
        <x:v>PUBLIC_PRIMARY_AGGREGATE_CONTEXT</x:v>
      </x:c>
      <x:c r="K14" s="24" t="str">
        <x:v>World Bank aggregate 0.351821646573129 (Global Findex Database 2025, row Low income, 2021, all); reproduced as the adult-population-weighted mean of the 19 economies the file classes Low income with a 2021-wave observation, Yemen's 2022 observation included. Context only: not a benchmark, target or ranking.</x:v>
      </x:c>
    </x:row>
    <x:row r="15">
      <x:c r="A15" s="142" t="str">
        <x:v>WB-FINDEX-CURRENTNESS-2025-001</x:v>
      </x:c>
      <x:c r="B15" s="142" t="str">
        <x:v>FINDEX_EDITION</x:v>
      </x:c>
      <x:c r="C15" s="142" t="str">
        <x:v>Current Global Findex edition and Yemen observation coverage</x:v>
      </x:c>
      <x:c r="D15" s="142" t="str">
        <x:v>Yemen</x:v>
      </x:c>
      <x:c r="E15" s="142" t="str">
        <x:v>2025 publication / latest Yemen observation 2022</x:v>
      </x:c>
      <x:c r="F15" s="142"/>
      <x:c r="G15" s="142" t="str">
        <x:v>coverage / currentness</x:v>
      </x:c>
      <x:c r="H15" s="142" t="str">
        <x:v>World Bank Global Findex</x:v>
      </x:c>
      <x:c r="I15" s="142" t="str">
        <x:v>https://www.worldbank.org/en/publication/globalfindex/download-data</x:v>
      </x:c>
      <x:c r="J15" s="142" t="str">
        <x:v>METHOD_CURRENTNESS</x:v>
      </x:c>
      <x:c r="K15" s="142" t="str">
        <x:v>The 2025 edition includes 2024 observations for many economies, but the World Bank indicator still reports Yemen's most recent account-ownership observation as 2022 (11.90%). Do not impute, interpolate or relabel a 2024 Yemen value.</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CONTROLLED_MICRODATA_WEIGHTED_COMPUTE_REQUIRED</x:v>
      </x:c>
      <x:c r="H9" s="24" t="str">
        <x:v>NO_PUBLISHED_SYSTEM_ANCHOR</x:v>
      </x:c>
      <x:c r="I9" s="24" t="str">
        <x:v>Use wgt; disclose unweighted base n; preserve exact missing/conditional universe; same-wave only; no browser-side derivation.</x:v>
      </x:c>
      <x:c r="J9" s="24" t="str">
        <x:v>Workforce status; weighted microdata required</x:v>
      </x:c>
      <x:c r="K9" s="24" t="str">
        <x:v>Contract only; no public subgroup value yet.</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HOLD__MICRODATA_PLUS_RURALITY_METHOD_REVIEW</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until exact variable semantics and coverage are reviewed.</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CONTROLLED_MICRODATA_WEIGHTED_COMPUTE_REQUIRED</x:v>
      </x:c>
      <x:c r="H11" s="24" t="str">
        <x:v>NO_PUBLISHED_SYSTEM_ANCHOR</x:v>
      </x:c>
      <x:c r="I11" s="24" t="str">
        <x:v>Use wgt; disclose unweighted base n; preserve exact missing/conditional universe; same-wave only; no browser-side derivation.</x:v>
      </x:c>
      <x:c r="J11" s="24" t="str">
        <x:v>Female vs male / same-wave only</x:v>
      </x:c>
      <x:c r="K11" s="24" t="str">
        <x:v>Contract only; no public subgroup value yet.</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CONTROLLED_MICRODATA_WEIGHTED_COMPUTE_REQUIRED</x:v>
      </x:c>
      <x:c r="H12" s="24" t="str">
        <x:v>NO_PUBLISHED_SYSTEM_ANCHOR</x:v>
      </x:c>
      <x:c r="I12" s="24" t="str">
        <x:v>Use wgt; disclose unweighted base n; preserve exact missing/conditional universe; same-wave only; no browser-side derivation.</x:v>
      </x:c>
      <x:c r="J12" s="24" t="str">
        <x:v>Age groups; exact grouping rule must be frozen before computation</x:v>
      </x:c>
      <x:c r="K12" s="24" t="str">
        <x:v>Contract only; no public subgroup value yet.</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CONTROLLED_MICRODATA_WEIGHTED_COMPUTE_REQUIRED</x:v>
      </x:c>
      <x:c r="H13" s="24" t="str">
        <x:v>NO_PUBLISHED_SYSTEM_ANCHOR</x:v>
      </x:c>
      <x:c r="I13" s="24" t="str">
        <x:v>Use wgt; disclose unweighted base n; preserve exact missing/conditional universe; same-wave only; no browser-side derivation.</x:v>
      </x:c>
      <x:c r="J13" s="24" t="str">
        <x:v>Education categories; harmonized labels required</x:v>
      </x:c>
      <x:c r="K13" s="24" t="str">
        <x:v>Contract only; no public subgroup value yet.</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CONTROLLED_MICRODATA_WEIGHTED_COMPUTE_REQUIRED</x:v>
      </x:c>
      <x:c r="H14" s="24" t="str">
        <x:v>NO_PUBLISHED_SYSTEM_ANCHOR</x:v>
      </x:c>
      <x:c r="I14" s="24" t="str">
        <x:v>Use wgt; disclose unweighted base n; preserve exact missing/conditional universe; same-wave only; no browser-side derivation.</x:v>
      </x:c>
      <x:c r="J14" s="24" t="str">
        <x:v>Within-economy income groups; do not compare as absolute income levels</x:v>
      </x:c>
      <x:c r="K14" s="24" t="str">
        <x:v>Contract only; no public subgroup value yet.</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CONTROLLED_MICRODATA_WEIGHTED_COMPUTE_REQUIRED</x:v>
      </x:c>
      <x:c r="H15" s="24" t="str">
        <x:v>NO_PUBLISHED_SYSTEM_ANCHOR</x:v>
      </x:c>
      <x:c r="I15" s="24" t="str">
        <x:v>Use wgt; disclose unweighted base n; preserve exact missing/conditional universe; same-wave only; no browser-side derivation.</x:v>
      </x:c>
      <x:c r="J15" s="24" t="str">
        <x:v>Workforce status; weighted microdata required</x:v>
      </x:c>
      <x:c r="K15" s="24" t="str">
        <x:v>Contract only; no public subgroup value yet.</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HOLD__MICRODATA_PLUS_RURALITY_METHOD_REVIEW</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until exact variable semantics and coverage are reviewed.</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no public subgroup value yet.</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no public subgroup value yet.</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no public subgroup value yet.</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no public subgroup value yet.</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no public subgroup value yet.</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HOLD__MICRODATA_PLUS_RURALITY_METHOD_REVIEW</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until exact variable semantics and coverage are reviewed.</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no public subgroup value yet.</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no public subgroup value yet.</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no public subgroup value yet.</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no public subgroup value yet.</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no public subgroup value yet.</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HOLD__MICRODATA_PLUS_RURALITY_METHOD_REVIEW</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until exact variable semantics and coverage are reviewed.</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no public subgroup value yet.</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no public subgroup value yet.</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no public subgroup value yet.</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no public subgroup value yet.</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no public subgroup value yet.</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HOLD__MICRODATA_PLUS_RURALITY_METHOD_REVIEW</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until exact variable semantics and coverage are reviewed.</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no public subgroup value yet.</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no public subgroup value yet.</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no public subgroup value yet.</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no public subgroup value yet.</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no public subgroup value yet.</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HOLD__MICRODATA_PLUS_RURALITY_METHOD_REVIEW</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until exact variable semantics and coverage are reviewed.</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no public subgroup value yet.</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no public subgroup value yet.</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no public subgroup value yet.</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no public subgroup value yet.</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no public subgroup value yet.</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HOLD__MICRODATA_PLUS_RURALITY_METHOD_REVIEW</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until exact variable semantics and coverage are reviewed.</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no public subgroup value yet.</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no public subgroup value yet.</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no public subgroup value yet.</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no public subgroup value yet.</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no public subgroup value yet.</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HOLD__MICRODATA_PLUS_RURALITY_METHOD_REVIEW</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until exact variable semantics and coverage are reviewed.</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no public subgroup value yet.</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no public subgroup value yet.</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no public subgroup value yet.</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no public subgroup value yet.</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no public subgroup value yet.</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HOLD__MICRODATA_PLUS_RURALITY_METHOD_REVIEW</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until exact variable semantics and coverage are reviewed.</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CONTROLLED_MICRODATA_WEIGHTED_COMPUTE_REQUIRED</x:v>
      </x:c>
      <x:c r="H59" s="24" t="str">
        <x:v>NO_PUBLISHED_SYSTEM_ANCHOR</x:v>
      </x:c>
      <x:c r="I59" s="24" t="str">
        <x:v>Use wgt; disclose unweighted base n; preserve exact missing/conditional universe; same-wave only; no browser-side derivation.</x:v>
      </x:c>
      <x:c r="J59" s="24" t="str">
        <x:v>Female vs male / same-wave only</x:v>
      </x:c>
      <x:c r="K59" s="24" t="str">
        <x:v>Contract only; no public subgroup value yet.</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CONTROLLED_MICRODATA_WEIGHTED_COMPUTE_REQUIRED</x:v>
      </x:c>
      <x:c r="H60" s="24" t="str">
        <x:v>NO_PUBLISHED_SYSTEM_ANCHOR</x:v>
      </x:c>
      <x:c r="I60" s="24" t="str">
        <x:v>Use wgt; disclose unweighted base n; preserve exact missing/conditional universe; same-wave only; no browser-side derivation.</x:v>
      </x:c>
      <x:c r="J60" s="24" t="str">
        <x:v>Age groups; exact grouping rule must be frozen before computation</x:v>
      </x:c>
      <x:c r="K60" s="24" t="str">
        <x:v>Contract only; no public subgroup value yet.</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CONTROLLED_MICRODATA_WEIGHTED_COMPUTE_REQUIRED</x:v>
      </x:c>
      <x:c r="H61" s="24" t="str">
        <x:v>NO_PUBLISHED_SYSTEM_ANCHOR</x:v>
      </x:c>
      <x:c r="I61" s="24" t="str">
        <x:v>Use wgt; disclose unweighted base n; preserve exact missing/conditional universe; same-wave only; no browser-side derivation.</x:v>
      </x:c>
      <x:c r="J61" s="24" t="str">
        <x:v>Education categories; harmonized labels required</x:v>
      </x:c>
      <x:c r="K61" s="24" t="str">
        <x:v>Contract only; no public subgroup value yet.</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CONTROLLED_MICRODATA_WEIGHTED_COMPUTE_REQUIRED</x:v>
      </x:c>
      <x:c r="H62" s="24" t="str">
        <x:v>NO_PUBLISHED_SYSTEM_ANCHOR</x:v>
      </x:c>
      <x:c r="I62" s="24" t="str">
        <x:v>Use wgt; disclose unweighted base n; preserve exact missing/conditional universe; same-wave only; no browser-side derivation.</x:v>
      </x:c>
      <x:c r="J62" s="24" t="str">
        <x:v>Within-economy income groups; do not compare as absolute income levels</x:v>
      </x:c>
      <x:c r="K62" s="24" t="str">
        <x:v>Contract only; no public subgroup value yet.</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CONTROLLED_MICRODATA_WEIGHTED_COMPUTE_REQUIRED</x:v>
      </x:c>
      <x:c r="H63" s="24" t="str">
        <x:v>NO_PUBLISHED_SYSTEM_ANCHOR</x:v>
      </x:c>
      <x:c r="I63" s="24" t="str">
        <x:v>Use wgt; disclose unweighted base n; preserve exact missing/conditional universe; same-wave only; no browser-side derivation.</x:v>
      </x:c>
      <x:c r="J63" s="24" t="str">
        <x:v>Workforce status; weighted microdata required</x:v>
      </x:c>
      <x:c r="K63" s="24" t="str">
        <x:v>Contract only; no public subgroup value yet.</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HOLD__MICRODATA_PLUS_RURALITY_METHOD_REVIEW</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until exact variable semantics and coverage are reviewed.</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no public subgroup value yet.</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no public subgroup value yet.</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no public subgroup value yet.</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no public subgroup value yet.</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no public subgroup value yet.</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HOLD__MICRODATA_PLUS_RURALITY_METHOD_REVIEW</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until exact variable semantics and coverage are reviewed.</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CONTROLLED_MICRODATA_WEIGHTED_COMPUTE_REQUIRED</x:v>
      </x:c>
      <x:c r="H71" s="24" t="str">
        <x:v>NO_PUBLISHED_SYSTEM_ANCHOR</x:v>
      </x:c>
      <x:c r="I71" s="24" t="str">
        <x:v>Use wgt; disclose unweighted base n; preserve exact missing/conditional universe; same-wave only; no browser-side derivation.</x:v>
      </x:c>
      <x:c r="J71" s="24" t="str">
        <x:v>Female vs male / same-wave only</x:v>
      </x:c>
      <x:c r="K71" s="24" t="str">
        <x:v>Contract only; no public subgroup value yet.</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CONTROLLED_MICRODATA_WEIGHTED_COMPUTE_REQUIRED</x:v>
      </x:c>
      <x:c r="H72" s="24" t="str">
        <x:v>NO_PUBLISHED_SYSTEM_ANCHOR</x:v>
      </x:c>
      <x:c r="I72" s="24" t="str">
        <x:v>Use wgt; disclose unweighted base n; preserve exact missing/conditional universe; same-wave only; no browser-side derivation.</x:v>
      </x:c>
      <x:c r="J72" s="24" t="str">
        <x:v>Age groups; exact grouping rule must be frozen before computation</x:v>
      </x:c>
      <x:c r="K72" s="24" t="str">
        <x:v>Contract only; no public subgroup value yet.</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CONTROLLED_MICRODATA_WEIGHTED_COMPUTE_REQUIRED</x:v>
      </x:c>
      <x:c r="H73" s="24" t="str">
        <x:v>NO_PUBLISHED_SYSTEM_ANCHOR</x:v>
      </x:c>
      <x:c r="I73" s="24" t="str">
        <x:v>Use wgt; disclose unweighted base n; preserve exact missing/conditional universe; same-wave only; no browser-side derivation.</x:v>
      </x:c>
      <x:c r="J73" s="24" t="str">
        <x:v>Education categories; harmonized labels required</x:v>
      </x:c>
      <x:c r="K73" s="24" t="str">
        <x:v>Contract only; no public subgroup value yet.</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CONTROLLED_MICRODATA_WEIGHTED_COMPUTE_REQUIRED</x:v>
      </x:c>
      <x:c r="H74" s="24" t="str">
        <x:v>NO_PUBLISHED_SYSTEM_ANCHOR</x:v>
      </x:c>
      <x:c r="I74" s="24" t="str">
        <x:v>Use wgt; disclose unweighted base n; preserve exact missing/conditional universe; same-wave only; no browser-side derivation.</x:v>
      </x:c>
      <x:c r="J74" s="24" t="str">
        <x:v>Within-economy income groups; do not compare as absolute income levels</x:v>
      </x:c>
      <x:c r="K74" s="24" t="str">
        <x:v>Contract only; no public subgroup value yet.</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CONTROLLED_MICRODATA_WEIGHTED_COMPUTE_REQUIRED</x:v>
      </x:c>
      <x:c r="H75" s="24" t="str">
        <x:v>NO_PUBLISHED_SYSTEM_ANCHOR</x:v>
      </x:c>
      <x:c r="I75" s="24" t="str">
        <x:v>Use wgt; disclose unweighted base n; preserve exact missing/conditional universe; same-wave only; no browser-side derivation.</x:v>
      </x:c>
      <x:c r="J75" s="24" t="str">
        <x:v>Workforce status; weighted microdata required</x:v>
      </x:c>
      <x:c r="K75" s="24" t="str">
        <x:v>Contract only; no public subgroup value yet.</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HOLD__MICRODATA_PLUS_RURALITY_METHOD_REVIEW</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until exact variable semantics and coverage are reviewed.</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no public subgroup value yet.</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no public subgroup value yet.</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no public subgroup value yet.</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no public subgroup value yet.</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no public subgroup value yet.</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HOLD__MICRODATA_PLUS_RURALITY_METHOD_REVIEW</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until exact variable semantics and coverage are reviewed.</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CONTROLLED_MICRODATA_WEIGHTED_COMPUTE_REQUIRED</x:v>
      </x:c>
      <x:c r="H83" s="24" t="str">
        <x:v>NO_PUBLISHED_SYSTEM_ANCHOR</x:v>
      </x:c>
      <x:c r="I83" s="24" t="str">
        <x:v>Use wgt; disclose unweighted base n; preserve exact missing/conditional universe; same-wave only; no browser-side derivation.</x:v>
      </x:c>
      <x:c r="J83" s="24" t="str">
        <x:v>Female vs male / same-wave only</x:v>
      </x:c>
      <x:c r="K83" s="24" t="str">
        <x:v>Contract only; no public subgroup value yet.</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CONTROLLED_MICRODATA_WEIGHTED_COMPUTE_REQUIRED</x:v>
      </x:c>
      <x:c r="H84" s="24" t="str">
        <x:v>NO_PUBLISHED_SYSTEM_ANCHOR</x:v>
      </x:c>
      <x:c r="I84" s="24" t="str">
        <x:v>Use wgt; disclose unweighted base n; preserve exact missing/conditional universe; same-wave only; no browser-side derivation.</x:v>
      </x:c>
      <x:c r="J84" s="24" t="str">
        <x:v>Age groups; exact grouping rule must be frozen before computation</x:v>
      </x:c>
      <x:c r="K84" s="24" t="str">
        <x:v>Contract only; no public subgroup value yet.</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CONTROLLED_MICRODATA_WEIGHTED_COMPUTE_REQUIRED</x:v>
      </x:c>
      <x:c r="H85" s="24" t="str">
        <x:v>NO_PUBLISHED_SYSTEM_ANCHOR</x:v>
      </x:c>
      <x:c r="I85" s="24" t="str">
        <x:v>Use wgt; disclose unweighted base n; preserve exact missing/conditional universe; same-wave only; no browser-side derivation.</x:v>
      </x:c>
      <x:c r="J85" s="24" t="str">
        <x:v>Education categories; harmonized labels required</x:v>
      </x:c>
      <x:c r="K85" s="24" t="str">
        <x:v>Contract only; no public subgroup value yet.</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CONTROLLED_MICRODATA_WEIGHTED_COMPUTE_REQUIRED</x:v>
      </x:c>
      <x:c r="H86" s="24" t="str">
        <x:v>NO_PUBLISHED_SYSTEM_ANCHOR</x:v>
      </x:c>
      <x:c r="I86" s="24" t="str">
        <x:v>Use wgt; disclose unweighted base n; preserve exact missing/conditional universe; same-wave only; no browser-side derivation.</x:v>
      </x:c>
      <x:c r="J86" s="24" t="str">
        <x:v>Within-economy income groups; do not compare as absolute income levels</x:v>
      </x:c>
      <x:c r="K86" s="24" t="str">
        <x:v>Contract only; no public subgroup value yet.</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CONTROLLED_MICRODATA_WEIGHTED_COMPUTE_REQUIRED</x:v>
      </x:c>
      <x:c r="H87" s="24" t="str">
        <x:v>NO_PUBLISHED_SYSTEM_ANCHOR</x:v>
      </x:c>
      <x:c r="I87" s="24" t="str">
        <x:v>Use wgt; disclose unweighted base n; preserve exact missing/conditional universe; same-wave only; no browser-side derivation.</x:v>
      </x:c>
      <x:c r="J87" s="24" t="str">
        <x:v>Workforce status; weighted microdata required</x:v>
      </x:c>
      <x:c r="K87" s="24" t="str">
        <x:v>Contract only; no public subgroup value yet.</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HOLD__MICRODATA_PLUS_RURALITY_METHOD_REVIEW</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until exact variable semantics and coverage are reviewed.</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CONTROLLED_MICRODATA_WEIGHTED_COMPUTE_REQUIRED</x:v>
      </x:c>
      <x:c r="H89" s="24" t="str">
        <x:v>NO_PUBLISHED_SYSTEM_ANCHOR</x:v>
      </x:c>
      <x:c r="I89" s="24" t="str">
        <x:v>Use wgt; disclose unweighted base n; preserve exact missing/conditional universe; same-wave only; no browser-side derivation.</x:v>
      </x:c>
      <x:c r="J89" s="24" t="str">
        <x:v>Female vs male / same-wave only</x:v>
      </x:c>
      <x:c r="K89" s="24" t="str">
        <x:v>Contract only; no public subgroup value yet.</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CONTROLLED_MICRODATA_WEIGHTED_COMPUTE_REQUIRED</x:v>
      </x:c>
      <x:c r="H90" s="24" t="str">
        <x:v>NO_PUBLISHED_SYSTEM_ANCHOR</x:v>
      </x:c>
      <x:c r="I90" s="24" t="str">
        <x:v>Use wgt; disclose unweighted base n; preserve exact missing/conditional universe; same-wave only; no browser-side derivation.</x:v>
      </x:c>
      <x:c r="J90" s="24" t="str">
        <x:v>Age groups; exact grouping rule must be frozen before computation</x:v>
      </x:c>
      <x:c r="K90" s="24" t="str">
        <x:v>Contract only; no public subgroup value yet.</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CONTROLLED_MICRODATA_WEIGHTED_COMPUTE_REQUIRED</x:v>
      </x:c>
      <x:c r="H91" s="24" t="str">
        <x:v>NO_PUBLISHED_SYSTEM_ANCHOR</x:v>
      </x:c>
      <x:c r="I91" s="24" t="str">
        <x:v>Use wgt; disclose unweighted base n; preserve exact missing/conditional universe; same-wave only; no browser-side derivation.</x:v>
      </x:c>
      <x:c r="J91" s="24" t="str">
        <x:v>Education categories; harmonized labels required</x:v>
      </x:c>
      <x:c r="K91" s="24" t="str">
        <x:v>Contract only; no public subgroup value yet.</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CONTROLLED_MICRODATA_WEIGHTED_COMPUTE_REQUIRED</x:v>
      </x:c>
      <x:c r="H92" s="24" t="str">
        <x:v>NO_PUBLISHED_SYSTEM_ANCHOR</x:v>
      </x:c>
      <x:c r="I92" s="24" t="str">
        <x:v>Use wgt; disclose unweighted base n; preserve exact missing/conditional universe; same-wave only; no browser-side derivation.</x:v>
      </x:c>
      <x:c r="J92" s="24" t="str">
        <x:v>Within-economy income groups; do not compare as absolute income levels</x:v>
      </x:c>
      <x:c r="K92" s="24" t="str">
        <x:v>Contract only; no public subgroup value yet.</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CONTROLLED_MICRODATA_WEIGHTED_COMPUTE_REQUIRED</x:v>
      </x:c>
      <x:c r="H93" s="24" t="str">
        <x:v>NO_PUBLISHED_SYSTEM_ANCHOR</x:v>
      </x:c>
      <x:c r="I93" s="24" t="str">
        <x:v>Use wgt; disclose unweighted base n; preserve exact missing/conditional universe; same-wave only; no browser-side derivation.</x:v>
      </x:c>
      <x:c r="J93" s="24" t="str">
        <x:v>Workforce status; weighted microdata required</x:v>
      </x:c>
      <x:c r="K93" s="24" t="str">
        <x:v>Contract only; no public subgroup value yet.</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HOLD__MICRODATA_PLUS_RURALITY_METHOD_REVIEW</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until exact variable semantics and coverage are reviewed.</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no public subgroup value yet.</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no public subgroup value yet.</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no public subgroup value yet.</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no public subgroup value yet.</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no public subgroup value yet.</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HOLD__MICRODATA_PLUS_RURALITY_METHOD_REVIEW</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until exact variable semantics and coverage are reviewed.</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CONTROLLED_MICRODATA_WEIGHTED_COMPUTE_REQUIRED</x:v>
      </x:c>
      <x:c r="H101" s="24" t="str">
        <x:v>NO_PUBLISHED_SYSTEM_ANCHOR</x:v>
      </x:c>
      <x:c r="I101" s="24" t="str">
        <x:v>Use wgt; disclose unweighted base n; preserve exact missing/conditional universe; same-wave only; no browser-side derivation.</x:v>
      </x:c>
      <x:c r="J101" s="24" t="str">
        <x:v>Female vs male / same-wave only</x:v>
      </x:c>
      <x:c r="K101" s="24" t="str">
        <x:v>Contract only; no public subgroup value yet.</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CONTROLLED_MICRODATA_WEIGHTED_COMPUTE_REQUIRED</x:v>
      </x:c>
      <x:c r="H102" s="24" t="str">
        <x:v>NO_PUBLISHED_SYSTEM_ANCHOR</x:v>
      </x:c>
      <x:c r="I102" s="24" t="str">
        <x:v>Use wgt; disclose unweighted base n; preserve exact missing/conditional universe; same-wave only; no browser-side derivation.</x:v>
      </x:c>
      <x:c r="J102" s="24" t="str">
        <x:v>Age groups; exact grouping rule must be frozen before computation</x:v>
      </x:c>
      <x:c r="K102" s="24" t="str">
        <x:v>Contract only; no public subgroup value yet.</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CONTROLLED_MICRODATA_WEIGHTED_COMPUTE_REQUIRED</x:v>
      </x:c>
      <x:c r="H103" s="24" t="str">
        <x:v>NO_PUBLISHED_SYSTEM_ANCHOR</x:v>
      </x:c>
      <x:c r="I103" s="24" t="str">
        <x:v>Use wgt; disclose unweighted base n; preserve exact missing/conditional universe; same-wave only; no browser-side derivation.</x:v>
      </x:c>
      <x:c r="J103" s="24" t="str">
        <x:v>Education categories; harmonized labels required</x:v>
      </x:c>
      <x:c r="K103" s="24" t="str">
        <x:v>Contract only; no public subgroup value yet.</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CONTROLLED_MICRODATA_WEIGHTED_COMPUTE_REQUIRED</x:v>
      </x:c>
      <x:c r="H104" s="24" t="str">
        <x:v>NO_PUBLISHED_SYSTEM_ANCHOR</x:v>
      </x:c>
      <x:c r="I104" s="24" t="str">
        <x:v>Use wgt; disclose unweighted base n; preserve exact missing/conditional universe; same-wave only; no browser-side derivation.</x:v>
      </x:c>
      <x:c r="J104" s="24" t="str">
        <x:v>Within-economy income groups; do not compare as absolute income levels</x:v>
      </x:c>
      <x:c r="K104" s="24" t="str">
        <x:v>Contract only; no public subgroup value yet.</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CONTROLLED_MICRODATA_WEIGHTED_COMPUTE_REQUIRED</x:v>
      </x:c>
      <x:c r="H105" s="24" t="str">
        <x:v>NO_PUBLISHED_SYSTEM_ANCHOR</x:v>
      </x:c>
      <x:c r="I105" s="24" t="str">
        <x:v>Use wgt; disclose unweighted base n; preserve exact missing/conditional universe; same-wave only; no browser-side derivation.</x:v>
      </x:c>
      <x:c r="J105" s="24" t="str">
        <x:v>Workforce status; weighted microdata required</x:v>
      </x:c>
      <x:c r="K105" s="24" t="str">
        <x:v>Contract only; no public subgroup value yet.</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HOLD__MICRODATA_PLUS_RURALITY_METHOD_REVIEW</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until exact variable semantics and coverage are reviewed.</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CONTROLLED_MICRODATA_WEIGHTED_COMPUTE_REQUIRED</x:v>
      </x:c>
      <x:c r="H107" s="24" t="str">
        <x:v>NO_PUBLISHED_SYSTEM_ANCHOR</x:v>
      </x:c>
      <x:c r="I107" s="24" t="str">
        <x:v>Use wgt; disclose unweighted base n; preserve exact missing/conditional universe; same-wave only; no browser-side derivation.</x:v>
      </x:c>
      <x:c r="J107" s="24" t="str">
        <x:v>Female vs male / same-wave only</x:v>
      </x:c>
      <x:c r="K107" s="24" t="str">
        <x:v>Contract only; no public subgroup value yet.</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CONTROLLED_MICRODATA_WEIGHTED_COMPUTE_REQUIRED</x:v>
      </x:c>
      <x:c r="H108" s="24" t="str">
        <x:v>NO_PUBLISHED_SYSTEM_ANCHOR</x:v>
      </x:c>
      <x:c r="I108" s="24" t="str">
        <x:v>Use wgt; disclose unweighted base n; preserve exact missing/conditional universe; same-wave only; no browser-side derivation.</x:v>
      </x:c>
      <x:c r="J108" s="24" t="str">
        <x:v>Age groups; exact grouping rule must be frozen before computation</x:v>
      </x:c>
      <x:c r="K108" s="24" t="str">
        <x:v>Contract only; no public subgroup value yet.</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CONTROLLED_MICRODATA_WEIGHTED_COMPUTE_REQUIRED</x:v>
      </x:c>
      <x:c r="H109" s="24" t="str">
        <x:v>NO_PUBLISHED_SYSTEM_ANCHOR</x:v>
      </x:c>
      <x:c r="I109" s="24" t="str">
        <x:v>Use wgt; disclose unweighted base n; preserve exact missing/conditional universe; same-wave only; no browser-side derivation.</x:v>
      </x:c>
      <x:c r="J109" s="24" t="str">
        <x:v>Education categories; harmonized labels required</x:v>
      </x:c>
      <x:c r="K109" s="24" t="str">
        <x:v>Contract only; no public subgroup value yet.</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CONTROLLED_MICRODATA_WEIGHTED_COMPUTE_REQUIRED</x:v>
      </x:c>
      <x:c r="H110" s="24" t="str">
        <x:v>NO_PUBLISHED_SYSTEM_ANCHOR</x:v>
      </x:c>
      <x:c r="I110" s="24" t="str">
        <x:v>Use wgt; disclose unweighted base n; preserve exact missing/conditional universe; same-wave only; no browser-side derivation.</x:v>
      </x:c>
      <x:c r="J110" s="24" t="str">
        <x:v>Within-economy income groups; do not compare as absolute income levels</x:v>
      </x:c>
      <x:c r="K110" s="24" t="str">
        <x:v>Contract only; no public subgroup value yet.</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CONTROLLED_MICRODATA_WEIGHTED_COMPUTE_REQUIRED</x:v>
      </x:c>
      <x:c r="H111" s="24" t="str">
        <x:v>NO_PUBLISHED_SYSTEM_ANCHOR</x:v>
      </x:c>
      <x:c r="I111" s="24" t="str">
        <x:v>Use wgt; disclose unweighted base n; preserve exact missing/conditional universe; same-wave only; no browser-side derivation.</x:v>
      </x:c>
      <x:c r="J111" s="24" t="str">
        <x:v>Workforce status; weighted microdata required</x:v>
      </x:c>
      <x:c r="K111" s="24" t="str">
        <x:v>Contract only; no public subgroup value yet.</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HOLD__MICRODATA_PLUS_RURALITY_METHOD_REVIEW</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until exact variable semantics and coverage are reviewed.</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CONTROLLED_MICRODATA_WEIGHTED_COMPUTE_REQUIRED</x:v>
      </x:c>
      <x:c r="H113" s="24" t="str">
        <x:v>NO_PUBLISHED_SYSTEM_ANCHOR</x:v>
      </x:c>
      <x:c r="I113" s="24" t="str">
        <x:v>Use wgt; disclose unweighted base n; preserve exact missing/conditional universe; same-wave only; no browser-side derivation.</x:v>
      </x:c>
      <x:c r="J113" s="24" t="str">
        <x:v>Female vs male / same-wave only</x:v>
      </x:c>
      <x:c r="K113" s="24" t="str">
        <x:v>Contract only; no public subgroup value yet.</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CONTROLLED_MICRODATA_WEIGHTED_COMPUTE_REQUIRED</x:v>
      </x:c>
      <x:c r="H114" s="24" t="str">
        <x:v>NO_PUBLISHED_SYSTEM_ANCHOR</x:v>
      </x:c>
      <x:c r="I114" s="24" t="str">
        <x:v>Use wgt; disclose unweighted base n; preserve exact missing/conditional universe; same-wave only; no browser-side derivation.</x:v>
      </x:c>
      <x:c r="J114" s="24" t="str">
        <x:v>Age groups; exact grouping rule must be frozen before computation</x:v>
      </x:c>
      <x:c r="K114" s="24" t="str">
        <x:v>Contract only; no public subgroup value yet.</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CONTROLLED_MICRODATA_WEIGHTED_COMPUTE_REQUIRED</x:v>
      </x:c>
      <x:c r="H115" s="24" t="str">
        <x:v>NO_PUBLISHED_SYSTEM_ANCHOR</x:v>
      </x:c>
      <x:c r="I115" s="24" t="str">
        <x:v>Use wgt; disclose unweighted base n; preserve exact missing/conditional universe; same-wave only; no browser-side derivation.</x:v>
      </x:c>
      <x:c r="J115" s="24" t="str">
        <x:v>Education categories; harmonized labels required</x:v>
      </x:c>
      <x:c r="K115" s="24" t="str">
        <x:v>Contract only; no public subgroup value yet.</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CONTROLLED_MICRODATA_WEIGHTED_COMPUTE_REQUIRED</x:v>
      </x:c>
      <x:c r="H116" s="24" t="str">
        <x:v>NO_PUBLISHED_SYSTEM_ANCHOR</x:v>
      </x:c>
      <x:c r="I116" s="24" t="str">
        <x:v>Use wgt; disclose unweighted base n; preserve exact missing/conditional universe; same-wave only; no browser-side derivation.</x:v>
      </x:c>
      <x:c r="J116" s="24" t="str">
        <x:v>Within-economy income groups; do not compare as absolute income levels</x:v>
      </x:c>
      <x:c r="K116" s="24" t="str">
        <x:v>Contract only; no public subgroup value yet.</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CONTROLLED_MICRODATA_WEIGHTED_COMPUTE_REQUIRED</x:v>
      </x:c>
      <x:c r="H117" s="24" t="str">
        <x:v>NO_PUBLISHED_SYSTEM_ANCHOR</x:v>
      </x:c>
      <x:c r="I117" s="24" t="str">
        <x:v>Use wgt; disclose unweighted base n; preserve exact missing/conditional universe; same-wave only; no browser-side derivation.</x:v>
      </x:c>
      <x:c r="J117" s="24" t="str">
        <x:v>Workforce status; weighted microdata required</x:v>
      </x:c>
      <x:c r="K117" s="24" t="str">
        <x:v>Contract only; no public subgroup value yet.</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HOLD__MICRODATA_PLUS_RURALITY_METHOD_REVIEW</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until exact variable semantics and coverage are reviewed.</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no public subgroup value yet.</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no public subgroup value yet.</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no public subgroup value yet.</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no public subgroup value yet.</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no public subgroup value yet.</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HOLD__MICRODATA_PLUS_RURALITY_METHOD_REVIEW</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until exact variable semantics and coverage are reviewed.</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CONTROLLED_MICRODATA_WEIGHTED_COMPUTE_REQUIRED</x:v>
      </x:c>
      <x:c r="H125" s="24" t="str">
        <x:v>NO_PUBLISHED_SYSTEM_ANCHOR</x:v>
      </x:c>
      <x:c r="I125" s="24" t="str">
        <x:v>Use wgt; disclose unweighted base n; preserve exact missing/conditional universe; same-wave only; no browser-side derivation.</x:v>
      </x:c>
      <x:c r="J125" s="24" t="str">
        <x:v>Female vs male / same-wave only</x:v>
      </x:c>
      <x:c r="K125" s="24" t="str">
        <x:v>Contract only; no public subgroup value yet.</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CONTROLLED_MICRODATA_WEIGHTED_COMPUTE_REQUIRED</x:v>
      </x:c>
      <x:c r="H126" s="24" t="str">
        <x:v>NO_PUBLISHED_SYSTEM_ANCHOR</x:v>
      </x:c>
      <x:c r="I126" s="24" t="str">
        <x:v>Use wgt; disclose unweighted base n; preserve exact missing/conditional universe; same-wave only; no browser-side derivation.</x:v>
      </x:c>
      <x:c r="J126" s="24" t="str">
        <x:v>Age groups; exact grouping rule must be frozen before computation</x:v>
      </x:c>
      <x:c r="K126" s="24" t="str">
        <x:v>Contract only; no public subgroup value yet.</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CONTROLLED_MICRODATA_WEIGHTED_COMPUTE_REQUIRED</x:v>
      </x:c>
      <x:c r="H127" s="24" t="str">
        <x:v>NO_PUBLISHED_SYSTEM_ANCHOR</x:v>
      </x:c>
      <x:c r="I127" s="24" t="str">
        <x:v>Use wgt; disclose unweighted base n; preserve exact missing/conditional universe; same-wave only; no browser-side derivation.</x:v>
      </x:c>
      <x:c r="J127" s="24" t="str">
        <x:v>Education categories; harmonized labels required</x:v>
      </x:c>
      <x:c r="K127" s="24" t="str">
        <x:v>Contract only; no public subgroup value yet.</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CONTROLLED_MICRODATA_WEIGHTED_COMPUTE_REQUIRED</x:v>
      </x:c>
      <x:c r="H128" s="24" t="str">
        <x:v>NO_PUBLISHED_SYSTEM_ANCHOR</x:v>
      </x:c>
      <x:c r="I128" s="24" t="str">
        <x:v>Use wgt; disclose unweighted base n; preserve exact missing/conditional universe; same-wave only; no browser-side derivation.</x:v>
      </x:c>
      <x:c r="J128" s="24" t="str">
        <x:v>Within-economy income groups; do not compare as absolute income levels</x:v>
      </x:c>
      <x:c r="K128" s="24" t="str">
        <x:v>Contract only; no public subgroup value yet.</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CONTROLLED_MICRODATA_WEIGHTED_COMPUTE_REQUIRED</x:v>
      </x:c>
      <x:c r="H129" s="24" t="str">
        <x:v>NO_PUBLISHED_SYSTEM_ANCHOR</x:v>
      </x:c>
      <x:c r="I129" s="24" t="str">
        <x:v>Use wgt; disclose unweighted base n; preserve exact missing/conditional universe; same-wave only; no browser-side derivation.</x:v>
      </x:c>
      <x:c r="J129" s="24" t="str">
        <x:v>Workforce status; weighted microdata required</x:v>
      </x:c>
      <x:c r="K129" s="24" t="str">
        <x:v>Contract only; no public subgroup value yet.</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HOLD__MICRODATA_PLUS_RURALITY_METHOD_REVIEW</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until exact variable semantics and coverage are reviewed.</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no public subgroup value yet.</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no public subgroup value yet.</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no public subgroup value yet.</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no public subgroup value yet.</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no public subgroup value yet.</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HOLD__MICRODATA_PLUS_RURALITY_METHOD_REVIEW</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until exact variable semantics and coverage are reviewed.</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no public subgroup value yet.</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no public subgroup value yet.</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no public subgroup value yet.</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no public subgroup value yet.</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no public subgroup value yet.</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HOLD__MICRODATA_PLUS_RURALITY_METHOD_REVIEW</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until exact variable semantics and coverage are reviewed.</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no public subgroup value yet.</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no public subgroup value yet.</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no public subgroup value yet.</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no public subgroup value yet.</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no public subgroup value yet.</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HOLD__MICRODATA_PLUS_RURALITY_METHOD_REVIEW</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until exact variable semantics and coverage are reviewed.</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no public subgroup value yet.</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no public subgroup value yet.</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no public subgroup value yet.</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no public subgroup value yet.</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no public subgroup value yet.</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HOLD__MICRODATA_PLUS_RURALITY_METHOD_REVIEW</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until exact variable semantics and coverage are reviewed.</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CONTROLLED_MICRODATA_WEIGHTED_COMPUTE_REQUIRED</x:v>
      </x:c>
      <x:c r="H155" s="24" t="str">
        <x:v>NO_PUBLISHED_SYSTEM_ANCHOR</x:v>
      </x:c>
      <x:c r="I155" s="24" t="str">
        <x:v>Use wgt; disclose unweighted base n; preserve exact missing/conditional universe; same-wave only; no browser-side derivation.</x:v>
      </x:c>
      <x:c r="J155" s="24" t="str">
        <x:v>Female vs male / same-wave only</x:v>
      </x:c>
      <x:c r="K155" s="24" t="str">
        <x:v>Contract only; no public subgroup value yet.</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CONTROLLED_MICRODATA_WEIGHTED_COMPUTE_REQUIRED</x:v>
      </x:c>
      <x:c r="H156" s="24" t="str">
        <x:v>NO_PUBLISHED_SYSTEM_ANCHOR</x:v>
      </x:c>
      <x:c r="I156" s="24" t="str">
        <x:v>Use wgt; disclose unweighted base n; preserve exact missing/conditional universe; same-wave only; no browser-side derivation.</x:v>
      </x:c>
      <x:c r="J156" s="24" t="str">
        <x:v>Age groups; exact grouping rule must be frozen before computation</x:v>
      </x:c>
      <x:c r="K156" s="24" t="str">
        <x:v>Contract only; no public subgroup value yet.</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CONTROLLED_MICRODATA_WEIGHTED_COMPUTE_REQUIRED</x:v>
      </x:c>
      <x:c r="H157" s="24" t="str">
        <x:v>NO_PUBLISHED_SYSTEM_ANCHOR</x:v>
      </x:c>
      <x:c r="I157" s="24" t="str">
        <x:v>Use wgt; disclose unweighted base n; preserve exact missing/conditional universe; same-wave only; no browser-side derivation.</x:v>
      </x:c>
      <x:c r="J157" s="24" t="str">
        <x:v>Education categories; harmonized labels required</x:v>
      </x:c>
      <x:c r="K157" s="24" t="str">
        <x:v>Contract only; no public subgroup value yet.</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CONTROLLED_MICRODATA_WEIGHTED_COMPUTE_REQUIRED</x:v>
      </x:c>
      <x:c r="H158" s="24" t="str">
        <x:v>NO_PUBLISHED_SYSTEM_ANCHOR</x:v>
      </x:c>
      <x:c r="I158" s="24" t="str">
        <x:v>Use wgt; disclose unweighted base n; preserve exact missing/conditional universe; same-wave only; no browser-side derivation.</x:v>
      </x:c>
      <x:c r="J158" s="24" t="str">
        <x:v>Within-economy income groups; do not compare as absolute income levels</x:v>
      </x:c>
      <x:c r="K158" s="24" t="str">
        <x:v>Contract only; no public subgroup value yet.</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CONTROLLED_MICRODATA_WEIGHTED_COMPUTE_REQUIRED</x:v>
      </x:c>
      <x:c r="H159" s="24" t="str">
        <x:v>NO_PUBLISHED_SYSTEM_ANCHOR</x:v>
      </x:c>
      <x:c r="I159" s="24" t="str">
        <x:v>Use wgt; disclose unweighted base n; preserve exact missing/conditional universe; same-wave only; no browser-side derivation.</x:v>
      </x:c>
      <x:c r="J159" s="24" t="str">
        <x:v>Workforce status; weighted microdata required</x:v>
      </x:c>
      <x:c r="K159" s="24" t="str">
        <x:v>Contract only; no public subgroup value yet.</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HOLD__MICRODATA_PLUS_RURALITY_METHOD_REVIEW</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until exact variable semantics and coverage are reviewed.</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CONTROLLED_MICRODATA_WEIGHTED_COMPUTE_REQUIRED</x:v>
      </x:c>
      <x:c r="H161" s="24" t="str">
        <x:v>NO_PUBLISHED_SYSTEM_ANCHOR</x:v>
      </x:c>
      <x:c r="I161" s="24" t="str">
        <x:v>Use wgt; disclose unweighted base n; preserve exact missing/conditional universe; same-wave only; no browser-side derivation.</x:v>
      </x:c>
      <x:c r="J161" s="24" t="str">
        <x:v>Female vs male / same-wave only</x:v>
      </x:c>
      <x:c r="K161" s="24" t="str">
        <x:v>Contract only; no public subgroup value yet.</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CONTROLLED_MICRODATA_WEIGHTED_COMPUTE_REQUIRED</x:v>
      </x:c>
      <x:c r="H162" s="24" t="str">
        <x:v>NO_PUBLISHED_SYSTEM_ANCHOR</x:v>
      </x:c>
      <x:c r="I162" s="24" t="str">
        <x:v>Use wgt; disclose unweighted base n; preserve exact missing/conditional universe; same-wave only; no browser-side derivation.</x:v>
      </x:c>
      <x:c r="J162" s="24" t="str">
        <x:v>Age groups; exact grouping rule must be frozen before computation</x:v>
      </x:c>
      <x:c r="K162" s="24" t="str">
        <x:v>Contract only; no public subgroup value yet.</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CONTROLLED_MICRODATA_WEIGHTED_COMPUTE_REQUIRED</x:v>
      </x:c>
      <x:c r="H163" s="24" t="str">
        <x:v>NO_PUBLISHED_SYSTEM_ANCHOR</x:v>
      </x:c>
      <x:c r="I163" s="24" t="str">
        <x:v>Use wgt; disclose unweighted base n; preserve exact missing/conditional universe; same-wave only; no browser-side derivation.</x:v>
      </x:c>
      <x:c r="J163" s="24" t="str">
        <x:v>Education categories; harmonized labels required</x:v>
      </x:c>
      <x:c r="K163" s="24" t="str">
        <x:v>Contract only; no public subgroup value yet.</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CONTROLLED_MICRODATA_WEIGHTED_COMPUTE_REQUIRED</x:v>
      </x:c>
      <x:c r="H164" s="24" t="str">
        <x:v>NO_PUBLISHED_SYSTEM_ANCHOR</x:v>
      </x:c>
      <x:c r="I164" s="24" t="str">
        <x:v>Use wgt; disclose unweighted base n; preserve exact missing/conditional universe; same-wave only; no browser-side derivation.</x:v>
      </x:c>
      <x:c r="J164" s="24" t="str">
        <x:v>Within-economy income groups; do not compare as absolute income levels</x:v>
      </x:c>
      <x:c r="K164" s="24" t="str">
        <x:v>Contract only; no public subgroup value yet.</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CONTROLLED_MICRODATA_WEIGHTED_COMPUTE_REQUIRED</x:v>
      </x:c>
      <x:c r="H165" s="24" t="str">
        <x:v>NO_PUBLISHED_SYSTEM_ANCHOR</x:v>
      </x:c>
      <x:c r="I165" s="24" t="str">
        <x:v>Use wgt; disclose unweighted base n; preserve exact missing/conditional universe; same-wave only; no browser-side derivation.</x:v>
      </x:c>
      <x:c r="J165" s="24" t="str">
        <x:v>Workforce status; weighted microdata required</x:v>
      </x:c>
      <x:c r="K165" s="24" t="str">
        <x:v>Contract only; no public subgroup value yet.</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HOLD__MICRODATA_PLUS_RURALITY_METHOD_REVIEW</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until exact variable semantics and coverage are reviewed.</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CONTROLLED_MICRODATA_WEIGHTED_COMPUTE_REQUIRED</x:v>
      </x:c>
      <x:c r="H167" s="24" t="str">
        <x:v>NO_PUBLISHED_SYSTEM_ANCHOR</x:v>
      </x:c>
      <x:c r="I167" s="24" t="str">
        <x:v>Use wgt; disclose unweighted base n; preserve exact missing/conditional universe; same-wave only; no browser-side derivation.</x:v>
      </x:c>
      <x:c r="J167" s="24" t="str">
        <x:v>Female vs male / same-wave only</x:v>
      </x:c>
      <x:c r="K167" s="24" t="str">
        <x:v>Contract only; no public subgroup value yet.</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CONTROLLED_MICRODATA_WEIGHTED_COMPUTE_REQUIRED</x:v>
      </x:c>
      <x:c r="H168" s="24" t="str">
        <x:v>NO_PUBLISHED_SYSTEM_ANCHOR</x:v>
      </x:c>
      <x:c r="I168" s="24" t="str">
        <x:v>Use wgt; disclose unweighted base n; preserve exact missing/conditional universe; same-wave only; no browser-side derivation.</x:v>
      </x:c>
      <x:c r="J168" s="24" t="str">
        <x:v>Age groups; exact grouping rule must be frozen before computation</x:v>
      </x:c>
      <x:c r="K168" s="24" t="str">
        <x:v>Contract only; no public subgroup value yet.</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CONTROLLED_MICRODATA_WEIGHTED_COMPUTE_REQUIRED</x:v>
      </x:c>
      <x:c r="H169" s="24" t="str">
        <x:v>NO_PUBLISHED_SYSTEM_ANCHOR</x:v>
      </x:c>
      <x:c r="I169" s="24" t="str">
        <x:v>Use wgt; disclose unweighted base n; preserve exact missing/conditional universe; same-wave only; no browser-side derivation.</x:v>
      </x:c>
      <x:c r="J169" s="24" t="str">
        <x:v>Education categories; harmonized labels required</x:v>
      </x:c>
      <x:c r="K169" s="24" t="str">
        <x:v>Contract only; no public subgroup value yet.</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CONTROLLED_MICRODATA_WEIGHTED_COMPUTE_REQUIRED</x:v>
      </x:c>
      <x:c r="H170" s="24" t="str">
        <x:v>NO_PUBLISHED_SYSTEM_ANCHOR</x:v>
      </x:c>
      <x:c r="I170" s="24" t="str">
        <x:v>Use wgt; disclose unweighted base n; preserve exact missing/conditional universe; same-wave only; no browser-side derivation.</x:v>
      </x:c>
      <x:c r="J170" s="24" t="str">
        <x:v>Within-economy income groups; do not compare as absolute income levels</x:v>
      </x:c>
      <x:c r="K170" s="24" t="str">
        <x:v>Contract only; no public subgroup value yet.</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CONTROLLED_MICRODATA_WEIGHTED_COMPUTE_REQUIRED</x:v>
      </x:c>
      <x:c r="H171" s="24" t="str">
        <x:v>NO_PUBLISHED_SYSTEM_ANCHOR</x:v>
      </x:c>
      <x:c r="I171" s="24" t="str">
        <x:v>Use wgt; disclose unweighted base n; preserve exact missing/conditional universe; same-wave only; no browser-side derivation.</x:v>
      </x:c>
      <x:c r="J171" s="24" t="str">
        <x:v>Workforce status; weighted microdata required</x:v>
      </x:c>
      <x:c r="K171" s="24" t="str">
        <x:v>Contract only; no public subgroup value yet.</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HOLD__MICRODATA_PLUS_RURALITY_METHOD_REVIEW</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until exact variable semantics and coverage are reviewed.</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no public subgroup value yet.</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no public subgroup value yet.</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no public subgroup value yet.</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no public subgroup value yet.</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no public subgroup value yet.</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HOLD__MICRODATA_PLUS_RURALITY_METHOD_REVIEW</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until exact variable semantics and coverage are reviewed.</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no public subgroup value yet.</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no public subgroup value yet.</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no public subgroup value yet.</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no public subgroup value yet.</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no public subgroup value yet.</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HOLD__MICRODATA_PLUS_RURALITY_METHOD_REVIEW</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until exact variable semantics and coverage are reviewed.</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no public subgroup value yet.</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no public subgroup value yet.</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no public subgroup value yet.</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no public subgroup value yet.</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no public subgroup value yet.</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HOLD__MICRODATA_PLUS_RURALITY_METHOD_REVIEW</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until exact variable semantics and coverage are reviewed.</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no public subgroup value yet.</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no public subgroup value yet.</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no public subgroup value yet.</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no public subgroup value yet.</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no public subgroup value yet.</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HOLD__MICRODATA_PLUS_RURALITY_METHOD_REVIEW</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until exact variable semantics and coverage are reviewed.</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not yet held in the controlled evidence library.</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NO</x:v>
      </x:c>
      <x:c r="C23" s="24" t="str">
        <x:v>Evidence custody</x:v>
      </x:c>
      <x:c r="D23" s="24" t="str">
        <x:v>Do not claim weighted microdata calculations have been completed.</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Login required for Yemen Findex microdata retrieval at the current catalog page</x:v>
      </x:c>
      <x:c r="C29" s="24" t="str">
        <x:v>World Bank Microdata Library — YEM_2022_FINDEX_v01_M / Get Microdata</x:v>
      </x:c>
      <x:c r="D29" s="24" t="str">
        <x:v>The catalog exposes metadata publicly but requires login to retrieve the respondent-level file. The Production Master records respondent_microdata_controlled=NO; public indicators in this system are therefore not described as re-estimated from controlled respondent microdata.</x:v>
      </x:c>
      <x:c r="E29" s="24" t="str">
        <x:v>If microdata are later acquired, verify the item-specific access category and terms before storage, analysis or redistribution.</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NON_PUBLIC__PROVENANCE_DEFECT</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NON_PUBLIC__PROVENANCE_DEFECT</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NON_PUBLIC__PROVENANCE_DEFECT</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NON_PUBLIC__PROVENANCE_DEFECT</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NON_PUBLIC__PROVENANCE_DEFECT</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NON_PUBLIC__PROVENANCE_DEFECT</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NON_PUBLIC__PROVENANCE_DEFECT</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NON_PUBLIC__PROVENANCE_DEFECT</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NON_PUBLIC__PROVENANCE_DEFECT</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NON_PUBLIC__PROVENANCE_DEFECT</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NON_PUBLIC__PROVENANCE_DEFECT</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NON_PUBLIC__PROVENANCE_DEFECT</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NON_PUBLIC__PROVENANCE_DEFECT</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NON_PUBLIC__PROVENANCE_DEFECT</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NON_PUBLIC__PROVENANCE_DEFECT</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NON_PUBLIC__PROVENANCE_DEFECT</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NON_PUBLIC__PROVENANCE_DEFECT</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NON_PUBLIC__PROVENANCE_DEFECT</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NON_PUBLIC__PROVENANCE_DEFECT</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NON_PUBLIC__PROVENANCE_DEFECT</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NON_PUBLIC__PROVENANCE_DEFECT</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NON_PUBLIC__PROVENANCE_DEFECT</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NON_PUBLIC__PROVENANCE_DEFECT</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NON_PUBLIC__PROVENANCE_DEFECT</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NON_PUBLIC__PROVENANCE_DEFECT</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NOT_VERIFIED_AGAINST_OECD_TEXT</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NOT_VERIFIED_AGAINST_OECD_TEXT</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NOT_VERIFIED_AGAINST_OECD_TEXT</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NOT_VERIFIED_AGAINST_OECD_TEXT</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NOT_VERIFIED_AGAINST_OECD_TEXT</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NOT_VERIFIED_AGAINST_OECD_TEXT</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2025-09-01</x:v>
      </x:c>
      <x:c r="C7" s="24" t="str">
        <x:v>World Bank / UNDP project</x:v>
      </x:c>
      <x:c r="D7" s="24" t="str">
        <x:v>FMIIP effective</x:v>
      </x:c>
      <x:c r="E7" s="24" t="str">
        <x:v>The World Bank-financed Yemen Financial Market Infrastructure and Inclusion Project (P180708), implemented by UNDP with CBY-Aden as primary beneficiary, became effective on 1 September 2025, after Board approval on 17 June 2025 and signing on 26 June 2025 (World Bank ISR for P180708, sequence 2 (8 April 2026), key dates and components). The report gives no separate start date.</x:v>
      </x:c>
      <x:c r="F7" s="24" t="str">
        <x:v>PROJECT_START</x:v>
      </x:c>
      <x:c r="G7" s="24" t="str">
        <x:v>/reforms/projects</x:v>
      </x:c>
      <x:c r="H7" s="24" t="str">
        <x:v>https://documents.worldbank.org/en/publication/documents-reports/documentdetail/099040826144025755</x:v>
      </x:c>
    </x:row>
    <x:row r="8">
      <x:c r="A8" s="24" t="str">
        <x:v>REF-PAY-003</x:v>
      </x:c>
      <x:c r="B8" s="24" t="str">
        <x:v>2025-06-17</x:v>
      </x:c>
      <x:c r="C8" s="24" t="str">
        <x:v>FMIIP component</x:v>
      </x:c>
      <x:c r="D8" s="24" t="str">
        <x:v>Fast Payment System</x:v>
      </x:c>
      <x:c r="E8" s="24" t="str">
        <x:v>Project component 'Development of Fast Payment Systems (FPS)', approved with the project on 17 June 2025 (World Bank ISR for P180708, sequence 2 (8 April 2026), key dates and components).</x:v>
      </x:c>
      <x:c r="F8" s="24" t="str">
        <x:v>PAYMENT_RAIL_COMPONENT</x:v>
      </x:c>
      <x:c r="G8" s="24" t="str">
        <x:v>/reforms/projects</x:v>
      </x:c>
      <x:c r="H8" s="24" t="str">
        <x:v>https://documents.worldbank.org/en/publication/documents-reports/documentdetail/099040826144025755</x:v>
      </x:c>
    </x:row>
    <x:row r="9">
      <x:c r="A9" s="24" t="str">
        <x:v>REF-PAY-004</x:v>
      </x:c>
      <x:c r="B9" s="24" t="str">
        <x:v>2025-06-17</x:v>
      </x:c>
      <x:c r="C9" s="24" t="str">
        <x:v>FMIIP component</x:v>
      </x:c>
      <x:c r="D9" s="24" t="str">
        <x:v>RTGS + CBY core banking</x:v>
      </x:c>
      <x:c r="E9" s="24" t="str">
        <x:v>Project component 'Development of a Real Time Gross Settlement System and upgrading Core Banking for CBY Aden', approved with the project on 17 June 2025 (World Bank ISR for P180708, sequence 2 (8 April 2026), key dates and components).</x:v>
      </x:c>
      <x:c r="F9" s="24" t="str">
        <x:v>PAYMENT_RAIL_COMPONENT</x:v>
      </x:c>
      <x:c r="G9" s="24" t="str">
        <x:v>/reforms/projects</x:v>
      </x:c>
      <x:c r="H9" s="24" t="str">
        <x:v>https://documents.worldbank.org/en/publication/documents-reports/documentdetail/099040826144025755</x:v>
      </x:c>
    </x:row>
    <x:row r="10">
      <x:c r="A10" s="24" t="str">
        <x:v>REF-PAY-005</x:v>
      </x:c>
      <x:c r="B10" s="24" t="str">
        <x:v>2025-06-17</x:v>
      </x:c>
      <x:c r="C10" s="24" t="str">
        <x:v>FMIIP component</x:v>
      </x:c>
      <x:c r="D10" s="24" t="str">
        <x:v>Access-point database and usage support</x:v>
      </x:c>
      <x:c r="E10" s="24" t="str">
        <x:v>Project component 'Supporting access and usage of the payment's infrastructure', approved with the project on 17 June 2025 (World Bank ISR for P180708, sequence 2 (8 April 2026), key dates and components); its results indicators are merchants accepting electronic payments, active bank and e-wallet accounts and agents. The UNDP description of an access-point database is not read here.</x:v>
      </x:c>
      <x:c r="F10" s="24" t="str">
        <x:v>ACCESS_USAGE_COMPONENT</x:v>
      </x:c>
      <x:c r="G10" s="24" t="str">
        <x:v>/access + /reforms/projects</x:v>
      </x:c>
      <x:c r="H10" s="24" t="str">
        <x:v>https://documents.worldbank.org/en/publication/documents-reports/documentdetail/099040826144025755</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63" t="str">
        <x:v>OECD policy</x:v>
      </x:c>
      <x:c r="B25" s="63"/>
      <x:c r="C25" s="63"/>
      <x:c r="D25" s="63"/>
      <x:c r="E25" s="63"/>
      <x:c r="F25" s="63"/>
      <x:c r="G25" s="63"/>
    </x:row>
    <x:row r="26">
      <x:c r="A26" s="61" t="str">
        <x:v>policy_id</x:v>
      </x:c>
      <x:c r="B26" s="61" t="str">
        <x:v>theme</x:v>
      </x:c>
      <x:c r="C26" s="61" t="str">
        <x:v>recommendation</x:v>
      </x:c>
      <x:c r="D26" s="61" t="str">
        <x:v>side</x:v>
      </x:c>
      <x:c r="E26" s="61" t="str">
        <x:v>evidence_type</x:v>
      </x:c>
      <x:c r="F26" s="61" t="str">
        <x:v>route</x:v>
      </x:c>
      <x:c r="G26" s="61" t="str">
        <x:v>control_rule</x:v>
      </x:c>
    </x:row>
    <x:row r="27">
      <x:c r="A27" s="24" t="str">
        <x:v>OECD-POL-01</x:v>
      </x:c>
      <x:c r="B27" s="24" t="str">
        <x:v>AML/CFT</x:v>
      </x:c>
      <x:c r="C27" s="24" t="str">
        <x:v>Risk-based and thematic AML/CFT supervision</x:v>
      </x:c>
      <x:c r="D27" s="24" t="str">
        <x:v>SUPPLY</x:v>
      </x:c>
      <x:c r="E27" s="24" t="str">
        <x:v>recommendation</x:v>
      </x:c>
      <x:c r="F27" s="24" t="str">
        <x:v>/reforms/regulation</x:v>
      </x:c>
      <x:c r="G27" s="24" t="str">
        <x:v>Track legal/institutional action, not score</x:v>
      </x:c>
    </x:row>
    <x:row r="28">
      <x:c r="A28" s="24" t="str">
        <x:v>OECD-POL-02</x:v>
      </x:c>
      <x:c r="B28" s="24" t="str">
        <x:v>Correspondent banking</x:v>
      </x:c>
      <x:c r="C28" s="24" t="str">
        <x:v>Restore correspondent-banking capacity</x:v>
      </x:c>
      <x:c r="D28" s="24" t="str">
        <x:v>SUPPLY</x:v>
      </x:c>
      <x:c r="E28" s="24" t="str">
        <x:v>recommendation</x:v>
      </x:c>
      <x:c r="F28" s="24" t="str">
        <x:v>/reforms/projects</x:v>
      </x:c>
      <x:c r="G28" s="24" t="str">
        <x:v>State-machine object if a concrete reform/project exists</x:v>
      </x:c>
    </x:row>
    <x:row r="29">
      <x:c r="A29" s="24" t="str">
        <x:v>OECD-POL-03</x:v>
      </x:c>
      <x:c r="B29" s="24" t="str">
        <x:v>Liquidity</x:v>
      </x:c>
      <x:c r="C29" s="24" t="str">
        <x:v>Address frozen accounts and liquidity constraints</x:v>
      </x:c>
      <x:c r="D29" s="24" t="str">
        <x:v>SUPPLY</x:v>
      </x:c>
      <x:c r="E29" s="24" t="str">
        <x:v>recommendation</x:v>
      </x:c>
      <x:c r="F29" s="24" t="str">
        <x:v>/reforms/projects</x:v>
      </x:c>
      <x:c r="G29" s="24" t="str">
        <x:v>Do not conflate with observed liquidity outcome</x:v>
      </x:c>
    </x:row>
    <x:row r="30">
      <x:c r="A30" s="24" t="str">
        <x:v>OECD-POL-04</x:v>
      </x:c>
      <x:c r="B30" s="24" t="str">
        <x:v>Deposit protection</x:v>
      </x:c>
      <x:c r="C30" s="24" t="str">
        <x:v>Improve deposit safety / DGS</x:v>
      </x:c>
      <x:c r="D30" s="24" t="str">
        <x:v>SUPPLY</x:v>
      </x:c>
      <x:c r="E30" s="24" t="str">
        <x:v>recommendation</x:v>
      </x:c>
      <x:c r="F30" s="24" t="str">
        <x:v>/reforms/regulation</x:v>
      </x:c>
      <x:c r="G30" s="24" t="str">
        <x:v>Verify current DGS legal status</x:v>
      </x:c>
    </x:row>
    <x:row r="31">
      <x:c r="A31" s="24" t="str">
        <x:v>OECD-POL-05</x:v>
      </x:c>
      <x:c r="B31" s="24" t="str">
        <x:v>Supervision</x:v>
      </x:c>
      <x:c r="C31" s="24" t="str">
        <x:v>Deepen financial-stability analysis and supervisory capacity</x:v>
      </x:c>
      <x:c r="D31" s="24" t="str">
        <x:v>SUPPLY</x:v>
      </x:c>
      <x:c r="E31" s="24" t="str">
        <x:v>recommendation</x:v>
      </x:c>
      <x:c r="F31" s="24" t="str">
        <x:v>/reforms/regulation</x:v>
      </x:c>
      <x:c r="G31" s="24" t="str">
        <x:v>Possible capability/evidence-gap object</x:v>
      </x:c>
    </x:row>
    <x:row r="32">
      <x:c r="A32" s="24" t="str">
        <x:v>OECD-POL-06</x:v>
      </x:c>
      <x:c r="B32" s="24" t="str">
        <x:v>Resolution</x:v>
      </x:c>
      <x:c r="C32" s="24" t="str">
        <x:v>Develop banking resolution strategy</x:v>
      </x:c>
      <x:c r="D32" s="24" t="str">
        <x:v>SUPPLY</x:v>
      </x:c>
      <x:c r="E32" s="24" t="str">
        <x:v>recommendation</x:v>
      </x:c>
      <x:c r="F32" s="24" t="str">
        <x:v>/reforms/regulation</x:v>
      </x:c>
      <x:c r="G32" s="24" t="str">
        <x:v>Track instrument/status if later evidenced</x:v>
      </x:c>
    </x:row>
    <x:row r="33">
      <x:c r="A33" s="24" t="str">
        <x:v>OECD-POL-07</x:v>
      </x:c>
      <x:c r="B33" s="24" t="str">
        <x:v>Intermediation</x:v>
      </x:c>
      <x:c r="C33" s="24" t="str">
        <x:v>Restructure banking/intermediation and formalise appropriate exchanger transitions</x:v>
      </x:c>
      <x:c r="D33" s="24" t="str">
        <x:v>SUPPLY</x:v>
      </x:c>
      <x:c r="E33" s="24" t="str">
        <x:v>recommendation</x:v>
      </x:c>
      <x:c r="F33" s="24" t="str">
        <x:v>/finance + /reforms</x:v>
      </x:c>
      <x:c r="G33" s="24" t="str">
        <x:v>Provider state changes require CBY primary events</x:v>
      </x:c>
    </x:row>
    <x:row r="34">
      <x:c r="A34" s="24" t="str">
        <x:v>OECD-POL-08</x:v>
      </x:c>
      <x:c r="B34" s="24" t="str">
        <x:v>MSME finance</x:v>
      </x:c>
      <x:c r="C34" s="24" t="str">
        <x:v>Target MSME credit strategy</x:v>
      </x:c>
      <x:c r="D34" s="24" t="str">
        <x:v>SUPPLY</x:v>
      </x:c>
      <x:c r="E34" s="24" t="str">
        <x:v>recommendation</x:v>
      </x:c>
      <x:c r="F34" s="24" t="str">
        <x:v>/firms</x:v>
      </x:c>
      <x:c r="G34" s="24" t="str">
        <x:v>Separate policy from observed lending</x:v>
      </x:c>
    </x:row>
    <x:row r="35">
      <x:c r="A35" s="24" t="str">
        <x:v>OECD-POL-09</x:v>
      </x:c>
      <x:c r="B35" s="24" t="str">
        <x:v>Governance</x:v>
      </x:c>
      <x:c r="C35" s="24" t="str">
        <x:v>Strengthen corporate governance and business conduct</x:v>
      </x:c>
      <x:c r="D35" s="24" t="str">
        <x:v>SUPPLY</x:v>
      </x:c>
      <x:c r="E35" s="24" t="str">
        <x:v>recommendation</x:v>
      </x:c>
      <x:c r="F35" s="24" t="str">
        <x:v>/reforms/regulation</x:v>
      </x:c>
      <x:c r="G35" s="24" t="str">
        <x:v>No institution scoring without primary evidence</x:v>
      </x:c>
    </x:row>
    <x:row r="36">
      <x:c r="A36" s="24" t="str">
        <x:v>OECD-POL-10</x:v>
      </x:c>
      <x:c r="B36" s="24" t="str">
        <x:v>Credit support</x:v>
      </x:c>
      <x:c r="C36" s="24" t="str">
        <x:v>Credit facilities + government-backed guarantees</x:v>
      </x:c>
      <x:c r="D36" s="24" t="str">
        <x:v>SUPPLY</x:v>
      </x:c>
      <x:c r="E36" s="24" t="str">
        <x:v>recommendation</x:v>
      </x:c>
      <x:c r="F36" s="24" t="str">
        <x:v>/reforms/projects</x:v>
      </x:c>
      <x:c r="G36" s="24" t="str">
        <x:v>Finance-event taxonomy required</x:v>
      </x:c>
    </x:row>
    <x:row r="37">
      <x:c r="A37" s="24" t="str">
        <x:v>OECD-POL-11</x:v>
      </x:c>
      <x:c r="B37" s="24" t="str">
        <x:v>Digital finance</x:v>
      </x:c>
      <x:c r="C37" s="24" t="str">
        <x:v>FinTech / digitalisation / possible sandbox + client protection</x:v>
      </x:c>
      <x:c r="D37" s="24" t="str">
        <x:v>SUPPLY</x:v>
      </x:c>
      <x:c r="E37" s="24" t="str">
        <x:v>recommendation</x:v>
      </x:c>
      <x:c r="F37" s="24" t="str">
        <x:v>/payments/digital</x:v>
      </x:c>
      <x:c r="G37" s="24" t="str">
        <x:v>Verify concrete instruments before status claim</x:v>
      </x:c>
    </x:row>
    <x:row r="38">
      <x:c r="A38" s="24" t="str">
        <x:v>OECD-POL-12</x:v>
      </x:c>
      <x:c r="B38" s="24" t="str">
        <x:v>Transaction accounts</x:v>
      </x:c>
      <x:c r="C38" s="24" t="str">
        <x:v>Increase access to transaction accounts</x:v>
      </x:c>
      <x:c r="D38" s="24" t="str">
        <x:v>DEMAND</x:v>
      </x:c>
      <x:c r="E38" s="24" t="str">
        <x:v>recommendation</x:v>
      </x:c>
      <x:c r="F38" s="24" t="str">
        <x:v>/people/access-use</x:v>
      </x:c>
      <x:c r="G38" s="24" t="str">
        <x:v>Measure via Findex/admin data, not policy text</x:v>
      </x:c>
    </x:row>
    <x:row r="39">
      <x:c r="A39" s="24" t="str">
        <x:v>OECD-POL-13</x:v>
      </x:c>
      <x:c r="B39" s="24" t="str">
        <x:v>Financial education</x:v>
      </x:c>
      <x:c r="C39" s="24" t="str">
        <x:v>Targeted financial education</x:v>
      </x:c>
      <x:c r="D39" s="24" t="str">
        <x:v>DEMAND</x:v>
      </x:c>
      <x:c r="E39" s="24" t="str">
        <x:v>recommendation</x:v>
      </x:c>
      <x:c r="F39" s="24" t="str">
        <x:v>/people</x:v>
      </x:c>
      <x:c r="G39" s="24" t="str">
        <x:v>Measure literacy separately</x:v>
      </x:c>
    </x:row>
    <x:row r="40">
      <x:c r="A40" s="24" t="str">
        <x:v>OECD-POL-14</x:v>
      </x:c>
      <x:c r="B40" s="24" t="str">
        <x:v>Vulnerable groups</x:v>
      </x:c>
      <x:c r="C40" s="24" t="str">
        <x:v>Tailor interventions to women, low-income, low-education and out-of-work groups</x:v>
      </x:c>
      <x:c r="D40" s="24" t="str">
        <x:v>DEMAND</x:v>
      </x:c>
      <x:c r="E40" s="24" t="str">
        <x:v>recommendation</x:v>
      </x:c>
      <x:c r="F40" s="24" t="str">
        <x:v>/people</x:v>
      </x:c>
      <x:c r="G40" s="24" t="str">
        <x:v>Use disaggregated evidence; avoid deficit framing</x:v>
      </x:c>
    </x:row>
    <x:row r="41">
      <x:c r="A41" s="24" t="str">
        <x:v>OECD-POL-15</x:v>
      </x:c>
      <x:c r="B41" s="24" t="str">
        <x:v>Consumer protection</x:v>
      </x:c>
      <x:c r="C41" s="24" t="str">
        <x:v>Enforce FCP instructions, strengthen FCP capacity, complaint/redress and credit reporting</x:v>
      </x:c>
      <x:c r="D41" s="24" t="str">
        <x:v>DEMAND/PROTECTION</x:v>
      </x:c>
      <x:c r="E41" s="24" t="str">
        <x:v>recommendation</x:v>
      </x:c>
      <x:c r="F41" s="24" t="str">
        <x:v>/reforms/regulation</x:v>
      </x:c>
      <x:c r="G41" s="24" t="str">
        <x:v>Official CBY instruments govern implemented state</x:v>
      </x:c>
    </x:row>
    <x:row r="44">
      <x:c r="A44" s="63" t="str">
        <x:v>Consumer protection architecture</x:v>
      </x:c>
      <x:c r="B44" s="63"/>
      <x:c r="C44" s="63"/>
      <x:c r="D44" s="63"/>
      <x:c r="E44" s="63"/>
      <x:c r="F44" s="63"/>
      <x:c r="G44" s="63"/>
      <x:c r="H44" s="63"/>
      <x:c r="I44" s="63"/>
    </x:row>
    <x:row r="45">
      <x:c r="A45" s="61" t="str">
        <x:v>fcp_object_id</x:v>
      </x:c>
      <x:c r="B45" s="61" t="str">
        <x:v>source_id</x:v>
      </x:c>
      <x:c r="C45" s="61" t="str">
        <x:v>layer</x:v>
      </x:c>
      <x:c r="D45" s="61" t="str">
        <x:v>actor</x:v>
      </x:c>
      <x:c r="E45" s="61" t="str">
        <x:v>requirement_or_step</x:v>
      </x:c>
      <x:c r="F45" s="61" t="str">
        <x:v>timing_or_trigger</x:v>
      </x:c>
      <x:c r="G45" s="61" t="str">
        <x:v>what_it_supports</x:v>
      </x:c>
      <x:c r="H45" s="61" t="str">
        <x:v>remaining_gap</x:v>
      </x:c>
      <x:c r="I45" s="61" t="str">
        <x:v>source_url</x:v>
      </x:c>
    </x:row>
    <x:row r="46">
      <x:c r="A46" s="24" t="str">
        <x:v>FCP-ARCH-001</x:v>
      </x:c>
      <x:c r="B46" s="24" t="str">
        <x:v>SRC-CBY-FCP-INSTR-2023-001</x:v>
      </x:c>
      <x:c r="C46" s="24" t="str">
        <x:v>Regulatory foundation</x:v>
      </x:c>
      <x:c r="D46" s="24" t="str">
        <x:v>Central Bank of Yemen — Aden</x:v>
      </x:c>
      <x:c r="E46" s="24" t="str">
        <x:v>Regulatory Instructions for Financial Consumer Protection were issued as the formal framework; the issuance notice states a one-year maximum adjustment period for banks and other non-bank financial institutions.</x:v>
      </x:c>
      <x:c r="F46" s="24" t="str">
        <x:v>2023-08-28 issuance notice</x:v>
      </x:c>
      <x:c r="G46" s="24" t="str">
        <x:v>Instrument existence, official date/title, stated purpose and announced adjustment period.</x:v>
      </x:c>
      <x:c r="H46" s="24" t="str">
        <x:v>Full controlled legal-text extraction, current applicability/amendments/supersession and clause-level legal interpretation.</x:v>
      </x:c>
      <x:c r="I46" s="24" t="str">
        <x:v>https://cby-ye.com/news/567</x:v>
      </x:c>
    </x:row>
    <x:row r="47">
      <x:c r="A47" s="24" t="str">
        <x:v>FCP-ARCH-002</x:v>
      </x:c>
      <x:c r="B47" s="24" t="str">
        <x:v>SRC-CBY-FCP-BROCHURE-2024-001</x:v>
      </x:c>
      <x:c r="C47" s="24" t="str">
        <x:v>Supervisory architecture</x:v>
      </x:c>
      <x:c r="D47" s="24" t="str">
        <x:v>Central Bank of Yemen — Aden</x:v>
      </x:c>
      <x:c r="E47" s="24" t="str">
        <x:v>Official brochure states that a dedicated customer-protection department was created within Banking Supervision and that compliance with consumer-protection requirements is followed up.</x:v>
      </x:c>
      <x:c r="F47" s="24" t="str">
        <x:v>Brochure issued 2024-03-23</x:v>
      </x:c>
      <x:c r="G47" s="24" t="str">
        <x:v>Source-reported supervisory architecture and institutional responsibility.</x:v>
      </x:c>
      <x:c r="H47" s="24" t="str">
        <x:v>Staffing, supervisory intensity, inspection frequency, sanctions and effectiveness are not measured.</x:v>
      </x:c>
      <x:c r="I47" s="24" t="str">
        <x:v>https://cby-ye.com/files/65fe1e8d2ec08.pdf</x:v>
      </x:c>
    </x:row>
    <x:row r="48">
      <x:c r="A48" s="24" t="str">
        <x:v>FCP-ARCH-003</x:v>
      </x:c>
      <x:c r="B48" s="24" t="str">
        <x:v>SRC-CBY-FCP-BROCHURE-2024-001</x:v>
      </x:c>
      <x:c r="C48" s="24" t="str">
        <x:v>Scope</x:v>
      </x:c>
      <x:c r="D48" s="24" t="str">
        <x:v>Regulated financial institutions</x:v>
      </x:c>
      <x:c r="E48" s="24" t="str">
        <x:v>The brochure identifies banking financial institutions and non-bank financial institutions as institutions subject to the financial-consumer-protection instructions.</x:v>
      </x:c>
      <x:c r="F48" s="24" t="str">
        <x:v>Current brochure framing at 2024-03-23</x:v>
      </x:c>
      <x:c r="G48" s="24" t="str">
        <x:v>Source-attributed coverage classes can be displayed.</x:v>
      </x:c>
      <x:c r="H48" s="24" t="str">
        <x:v>Exact clause-level scope, exemptions and current legal applicability still require the controlled instruction text.</x:v>
      </x:c>
      <x:c r="I48" s="24" t="str">
        <x:v>https://cby-ye.com/files/65fe1e8d2ec08.pdf</x:v>
      </x:c>
    </x:row>
    <x:row r="49">
      <x:c r="A49" s="24" t="str">
        <x:v>FCP-ARCH-004</x:v>
      </x:c>
      <x:c r="B49" s="24" t="str">
        <x:v>SRC-CBY-FCP-BROCHURE-2024-001</x:v>
      </x:c>
      <x:c r="C49" s="24" t="str">
        <x:v>Provider complaint governance</x:v>
      </x:c>
      <x:c r="D49" s="24" t="str">
        <x:v>Financial service providers</x:v>
      </x:c>
      <x:c r="E49"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49" s="24" t="str">
        <x:v>When a customer complaint is received</x:v>
      </x:c>
      <x:c r="G49" s="24" t="str">
        <x:v>A source-attributed provider-responsibility architecture.</x:v>
      </x:c>
      <x:c r="H49" s="24" t="str">
        <x:v>No administrative evidence that every provider has implemented these controls or that compensation/redress occurs consistently.</x:v>
      </x:c>
      <x:c r="I49" s="24" t="str">
        <x:v>https://cby-ye.com/files/65fe1e8d2ec08.pdf</x:v>
      </x:c>
    </x:row>
    <x:row r="50">
      <x:c r="A50" s="24" t="str">
        <x:v>FCP-ARCH-005</x:v>
      </x:c>
      <x:c r="B50" s="24" t="str">
        <x:v>SRC-CBY-FCP-BROCHURE-2024-001</x:v>
      </x:c>
      <x:c r="C50" s="24" t="str">
        <x:v>Provider-stage timing</x:v>
      </x:c>
      <x:c r="D50" s="24" t="str">
        <x:v>Financial service provider</x:v>
      </x:c>
      <x:c r="E50" s="24" t="str">
        <x:v>The source states a maximum of 10 business days to settle a consumer complaint from the date of complaint submission with the necessary attachments.</x:v>
      </x:c>
      <x:c r="F50" s="24" t="str">
        <x:v>Complaint submitted with required attachments</x:v>
      </x:c>
      <x:c r="G50" s="24" t="str">
        <x:v>The source-reported provider-stage time window can be shown in a redress-path visual.</x:v>
      </x:c>
      <x:c r="H50" s="24" t="str">
        <x:v>Observed resolution time, compliance rate and complaint outcome remain unknown.</x:v>
      </x:c>
      <x:c r="I50" s="24" t="str">
        <x:v>https://cby-ye.com/files/65fe1e8d2ec08.pdf</x:v>
      </x:c>
    </x:row>
    <x:row r="51">
      <x:c r="A51" s="24" t="str">
        <x:v>FCP-ARCH-006</x:v>
      </x:c>
      <x:c r="B51" s="24" t="str">
        <x:v>SRC-CBY-FCP-BROCHURE-2024-001</x:v>
      </x:c>
      <x:c r="C51" s="24" t="str">
        <x:v>Provider-stage extension</x:v>
      </x:c>
      <x:c r="D51" s="24" t="str">
        <x:v>Financial service provider</x:v>
      </x:c>
      <x:c r="E51" s="24" t="str">
        <x:v>For complaints requiring it, the settlement period may be extended for a similar period, with the consumer informed of the justification for the extension.</x:v>
      </x:c>
      <x:c r="F51" s="24" t="str">
        <x:v>Case requires extension</x:v>
      </x:c>
      <x:c r="G51" s="24" t="str">
        <x:v>The source-reported extension rule and notification requirement.</x:v>
      </x:c>
      <x:c r="H51" s="24" t="str">
        <x:v>No evidence on how often extensions are used or whether reasons are adequate.</x:v>
      </x:c>
      <x:c r="I51" s="24" t="str">
        <x:v>https://cby-ye.com/files/65fe1e8d2ec08.pdf</x:v>
      </x:c>
    </x:row>
    <x:row r="52">
      <x:c r="A52" s="24" t="str">
        <x:v>FCP-ARCH-007</x:v>
      </x:c>
      <x:c r="B52" s="24" t="str">
        <x:v>SRC-CBY-FCP-BROCHURE-2024-001</x:v>
      </x:c>
      <x:c r="C52" s="24" t="str">
        <x:v>Escalation trigger</x:v>
      </x:c>
      <x:c r="D52" s="24" t="str">
        <x:v>Consumer</x:v>
      </x:c>
      <x:c r="E52" s="24" t="str">
        <x:v>A complaint may be escalated to CBY when no response is received from the financial service provider within the specified time or when the complainant is not satisfied with the provider's decision.</x:v>
      </x:c>
      <x:c r="F52" s="24" t="str">
        <x:v>After provider-stage failure or dissatisfaction</x:v>
      </x:c>
      <x:c r="G52" s="24" t="str">
        <x:v>The source-attributed escalation triggers can be shown.</x:v>
      </x:c>
      <x:c r="H52" s="24" t="str">
        <x:v>Actual accessibility, usage and success of escalation are not established.</x:v>
      </x:c>
      <x:c r="I52" s="24" t="str">
        <x:v>https://cby-ye.com/files/65fe1e8d2ec08.pdf</x:v>
      </x:c>
    </x:row>
    <x:row r="53">
      <x:c r="A53" s="24" t="str">
        <x:v>FCP-ARCH-008</x:v>
      </x:c>
      <x:c r="B53" s="24" t="str">
        <x:v>SRC-CBY-FCP-BROCHURE-2024-001</x:v>
      </x:c>
      <x:c r="C53" s="24" t="str">
        <x:v>Escalation timing</x:v>
      </x:c>
      <x:c r="D53" s="24" t="str">
        <x:v>Consumer → Central Bank of Yemen</x:v>
      </x:c>
      <x:c r="E53" s="24" t="str">
        <x:v>The brochure states that escalation to CBY should be submitted within 14 business days from the end of the time framework specified for complaint settlement in the applicable instructions, using the prescribed form.</x:v>
      </x:c>
      <x:c r="F53" s="24" t="str">
        <x:v>After provider-stage timeframe ends</x:v>
      </x:c>
      <x:c r="G53" s="24" t="str">
        <x:v>The source-reported escalation window can be displayed.</x:v>
      </x:c>
      <x:c r="H53" s="24" t="str">
        <x:v>No controlled complaint volumes, rejection reasons, processing time or resolution outcomes at CBY stage.</x:v>
      </x:c>
      <x:c r="I53" s="24" t="str">
        <x:v>https://cby-ye.com/files/65fe1e8d2ec08.pdf</x:v>
      </x:c>
    </x:row>
    <x:row r="54">
      <x:c r="A54" s="24" t="str">
        <x:v>FCP-ARCH-009</x:v>
      </x:c>
      <x:c r="B54" s="24" t="str">
        <x:v>SRC-CBY-FCP-BROCHURE-2024-001</x:v>
      </x:c>
      <x:c r="C54" s="24" t="str">
        <x:v>Protection principles</x:v>
      </x:c>
      <x:c r="D54" s="24" t="str">
        <x:v>System / providers / supervisor</x:v>
      </x:c>
      <x:c r="E54"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4" s="24" t="str">
        <x:v>Current brochure framing at 2024-03-23</x:v>
      </x:c>
      <x:c r="G54" s="24" t="str">
        <x:v>A source-attributed principle map for the consumer-protection framework.</x:v>
      </x:c>
      <x:c r="H54" s="24" t="str">
        <x:v>No principle-level compliance scoring or outcome evidence is controlled.</x:v>
      </x:c>
      <x:c r="I54" s="24" t="str">
        <x:v>https://cby-ye.com/files/65fe1e8d2ec08.pdf</x:v>
      </x:c>
    </x:row>
    <x:row r="55">
      <x:c r="A55" s="24" t="str">
        <x:v>FCP-ARCH-010</x:v>
      </x:c>
      <x:c r="B55" s="24" t="str">
        <x:v>MULTI_SOURCE</x:v>
      </x:c>
      <x:c r="C55" s="24" t="str">
        <x:v>Performance evidence frontier</x:v>
      </x:c>
      <x:c r="D55" s="24" t="str">
        <x:v>Evidence-system status</x:v>
      </x:c>
      <x:c r="E55" s="24" t="str">
        <x:v>No controlled administrative series currently establishes complaint volumes, issue mix, resolution rates, actual resolution times, compensation, enforcement actions tied to complaints, user satisfaction or consumer outcomes.</x:v>
      </x:c>
      <x:c r="F55" s="24" t="str">
        <x:v>Current publication state</x:v>
      </x:c>
      <x:c r="G55" s="24" t="str">
        <x:v>The gap itself is a publishable evidence-state object.</x:v>
      </x:c>
      <x:c r="H55" s="24" t="str">
        <x:v>Primary administrative complaint/enforcement/outcome evidence.</x:v>
      </x:c>
      <x:c r="I55" s="24" t="str">
        <x:v>Internal synthesis governed by source register</x:v>
      </x:c>
    </x:row>
    <x:row r="58">
      <x:c r="A58" s="63" t="str">
        <x:v>E-money regulation</x:v>
      </x:c>
      <x:c r="B58" s="63"/>
      <x:c r="C58" s="63"/>
      <x:c r="D58" s="63"/>
      <x:c r="E58" s="63"/>
      <x:c r="F58" s="63"/>
      <x:c r="G58" s="63"/>
      <x:c r="H58" s="63"/>
      <x:c r="I58" s="63"/>
      <x:c r="J58" s="63"/>
    </x:row>
    <x:row r="59">
      <x:c r="A59" s="61" t="str">
        <x:v>emoney_object_id</x:v>
      </x:c>
      <x:c r="B59" s="61" t="str">
        <x:v>source_id</x:v>
      </x:c>
      <x:c r="C59" s="61" t="str">
        <x:v>date</x:v>
      </x:c>
      <x:c r="D59" s="61" t="str">
        <x:v>regulatory_layer</x:v>
      </x:c>
      <x:c r="E59" s="61" t="str">
        <x:v>rule_or_feature</x:v>
      </x:c>
      <x:c r="F59" s="61" t="str">
        <x:v>value_or_limit</x:v>
      </x:c>
      <x:c r="G59" s="61" t="str">
        <x:v>currency_or_unit</x:v>
      </x:c>
      <x:c r="H59" s="61" t="str">
        <x:v>what_it_supports</x:v>
      </x:c>
      <x:c r="I59" s="61" t="str">
        <x:v>remaining_gap</x:v>
      </x:c>
      <x:c r="J59" s="61" t="str">
        <x:v>source_url</x:v>
      </x:c>
    </x:row>
    <x:row r="60">
      <x:c r="A60" s="24" t="str">
        <x:v>EMR-001</x:v>
      </x:c>
      <x:c r="B60" s="24" t="str">
        <x:v>SRC-CBY-EMONEY-2023-001</x:v>
      </x:c>
      <x:c r="C60" s="24" t="str">
        <x:v>2023-08-09</x:v>
      </x:c>
      <x:c r="D60" s="24" t="str">
        <x:v>Base regulatory instrument</x:v>
      </x:c>
      <x:c r="E60" s="24" t="str">
        <x:v>CBY issued instructions governing mobile e-money services provided by non-bank financial institutions subject to CBY supervision.</x:v>
      </x:c>
      <x:c r="F60" s="24" t="str">
        <x:v>Base instrument</x:v>
      </x:c>
      <x:c r="G60" s="24" t="str">
        <x:v>N/A</x:v>
      </x:c>
      <x:c r="H60" s="24" t="str">
        <x:v>A dated regulated non-bank mobile-e-money class and base rule can be described.</x:v>
      </x:c>
      <x:c r="I60" s="24" t="str">
        <x:v>Full local custody and consolidated amendment/supersession register remain incomplete.</x:v>
      </x:c>
      <x:c r="J60" s="24" t="str">
        <x:v>https://cby-ye.com/files/64dde85e0a84f.pdf</x:v>
      </x:c>
    </x:row>
    <x:row r="61">
      <x:c r="A61" s="24" t="str">
        <x:v>EMR-002</x:v>
      </x:c>
      <x:c r="B61" s="24" t="str">
        <x:v>SRC-CBY-EMONEY-AMD-2025-001</x:v>
      </x:c>
      <x:c r="C61" s="24" t="str">
        <x:v>2025-07-09</x:v>
      </x:c>
      <x:c r="D61" s="24" t="str">
        <x:v>Definition amendment</x:v>
      </x:c>
      <x:c r="E61" s="24" t="str">
        <x:v>E-money is defined as electronically stored value issued against receipt of equivalent value, accepted as a means of payment, transferable among users and redeemable to cash at the same value.</x:v>
      </x:c>
      <x:c r="F61" s="24" t="str">
        <x:v>Definition</x:v>
      </x:c>
      <x:c r="G61" s="24" t="str">
        <x:v>N/A</x:v>
      </x:c>
      <x:c r="H61" s="24" t="str">
        <x:v>A source-controlled definition of the regulated e-money object.</x:v>
      </x:c>
      <x:c r="I61" s="24" t="str">
        <x:v>Does not identify current licensed issuers or active users.</x:v>
      </x:c>
      <x:c r="J61" s="24" t="str">
        <x:v>https://cby-ye.com/files/6875fc55a253e.pdf</x:v>
      </x:c>
    </x:row>
    <x:row r="62">
      <x:c r="A62" s="24" t="str">
        <x:v>EMR-003</x:v>
      </x:c>
      <x:c r="B62" s="24" t="str">
        <x:v>SRC-CBY-EMONEY-2023-001</x:v>
      </x:c>
      <x:c r="C62" s="24" t="str">
        <x:v>2023-08-09</x:v>
      </x:c>
      <x:c r="D62" s="24" t="str">
        <x:v>Consumer protection</x:v>
      </x:c>
      <x:c r="E62" s="24" t="str">
        <x:v>The base instructions require consumer-protection controls including effective contact channels, clear customer agreements, transaction notifications, customer verification of beneficiary/value before completion and prompt complaint handling.</x:v>
      </x:c>
      <x:c r="F62" s="24" t="str">
        <x:v>Provider obligations</x:v>
      </x:c>
      <x:c r="G62" s="24" t="str">
        <x:v>N/A</x:v>
      </x:c>
      <x:c r="H62" s="24" t="str">
        <x:v>Consumer-protection obligations within the mobile e-money regime can be described source-by-source.</x:v>
      </x:c>
      <x:c r="I62" s="24" t="str">
        <x:v>Compliance, complaint performance and enforcement remain unmeasured.</x:v>
      </x:c>
      <x:c r="J62" s="24" t="str">
        <x:v>https://cby-ye.com/files/64dde85e0a84f.pdf</x:v>
      </x:c>
    </x:row>
    <x:row r="63">
      <x:c r="A63" s="24" t="str">
        <x:v>EMR-004</x:v>
      </x:c>
      <x:c r="B63" s="24" t="str">
        <x:v>SRC-CBY-EMONEY-2023-001</x:v>
      </x:c>
      <x:c r="C63" s="24" t="str">
        <x:v>2023-08-09</x:v>
      </x:c>
      <x:c r="D63" s="24" t="str">
        <x:v>Complaint handling</x:v>
      </x:c>
      <x:c r="E63" s="24" t="str">
        <x:v>The base instructions state that complaint processing should not exceed 10 business days from notification and require a dedicated complaint register recording complaints and treatment actions.</x:v>
      </x:c>
      <x:c r="F63" s="24" t="str">
        <x:v>10</x:v>
      </x:c>
      <x:c r="G63" s="24" t="str">
        <x:v>business days maximum</x:v>
      </x:c>
      <x:c r="H63" s="24" t="str">
        <x:v>A rule-specific mobile-e-money complaint requirement.</x:v>
      </x:c>
      <x:c r="I63" s="24" t="str">
        <x:v>Observed complaint count, compliance and resolution quality are open.</x:v>
      </x:c>
      <x:c r="J63" s="24" t="str">
        <x:v>https://cby-ye.com/files/64dde85e0a84f.pdf</x:v>
      </x:c>
    </x:row>
    <x:row r="64">
      <x:c r="A64" s="24" t="str">
        <x:v>EMR-005</x:v>
      </x:c>
      <x:c r="B64" s="24" t="str">
        <x:v>SRC-CBY-EMONEY-AMD-2025-001</x:v>
      </x:c>
      <x:c r="C64" s="24" t="str">
        <x:v>2025-07-09</x:v>
      </x:c>
      <x:c r="D64" s="24" t="str">
        <x:v>Currency permission amendment</x:v>
      </x:c>
      <x:c r="E64" s="24" t="str">
        <x:v>Decision No. 4 of 2025 permits e-money issuers covered by the instructions to deal in major foreign currencies in addition to local currency.</x:v>
      </x:c>
      <x:c r="F64" s="24" t="str">
        <x:v>USD; SAR; AED + YER</x:v>
      </x:c>
      <x:c r="G64" s="24" t="str">
        <x:v>currencies</x:v>
      </x:c>
      <x:c r="H64" s="24" t="str">
        <x:v>The permitted currency set can be described.</x:v>
      </x:c>
      <x:c r="I64" s="24" t="str">
        <x:v>No inference on current products, balances or provider availability.</x:v>
      </x:c>
      <x:c r="J64" s="24" t="str">
        <x:v>https://cby-ye.com/files/6875fc55a253e.pdf</x:v>
      </x:c>
    </x:row>
    <x:row r="65">
      <x:c r="A65" s="24" t="str">
        <x:v>EMR-006</x:v>
      </x:c>
      <x:c r="B65" s="24" t="str">
        <x:v>SRC-CBY-EMONEY-AMD-2025-001</x:v>
      </x:c>
      <x:c r="C65" s="24" t="str">
        <x:v>2025-07-09</x:v>
      </x:c>
      <x:c r="D65" s="24" t="str">
        <x:v>FX restriction</x:v>
      </x:c>
      <x:c r="E65" s="24" t="str">
        <x:v>The same decision does not allow conversion operations from local currency into a foreign currency.</x:v>
      </x:c>
      <x:c r="F65" s="24" t="str">
        <x:v>Prohibited direction</x:v>
      </x:c>
      <x:c r="G65" s="24" t="str">
        <x:v>YER → foreign currency</x:v>
      </x:c>
      <x:c r="H65" s="24" t="str">
        <x:v>A clearly bounded regulatory restriction.</x:v>
      </x:c>
      <x:c r="I65" s="24" t="str">
        <x:v>No inference on other exchange/payment channels outside the instrument scope.</x:v>
      </x:c>
      <x:c r="J65" s="24" t="str">
        <x:v>https://cby-ye.com/files/6875fc55a253e.pdf</x:v>
      </x:c>
    </x:row>
    <x:row r="66">
      <x:c r="A66" s="24" t="str">
        <x:v>EMR-007</x:v>
      </x:c>
      <x:c r="B66" s="24" t="str">
        <x:v>SRC-CBY-EMONEY-AMD-2025-001</x:v>
      </x:c>
      <x:c r="C66" s="24" t="str">
        <x:v>2025-07-09</x:v>
      </x:c>
      <x:c r="D66" s="24" t="str">
        <x:v>Individual local-currency transaction ceilings</x:v>
      </x:c>
      <x:c r="E66" s="24" t="str">
        <x:v>For individual accounts in local currency, the amendment table states ceilings of 1,000,000 per single transaction; 2,000,000 total per day; 5,000,000 per month; and 50,000,000 per year.</x:v>
      </x:c>
      <x:c r="F66" s="24" t="str">
        <x:v>1,000,000 | 2,000,000 | 5,000,000 | 50,000,000</x:v>
      </x:c>
      <x:c r="G66" s="24" t="str">
        <x:v>YER: single | daily | monthly | annual</x:v>
      </x:c>
      <x:c r="H66" s="24" t="str">
        <x:v>Regulatory ceiling cards can be displayed.</x:v>
      </x:c>
      <x:c r="I66" s="24" t="str">
        <x:v>Actual transaction distribution and average/median use are unknown.</x:v>
      </x:c>
      <x:c r="J66" s="24" t="str">
        <x:v>https://cby-ye.com/files/6875fc55a253e.pdf</x:v>
      </x:c>
    </x:row>
    <x:row r="67">
      <x:c r="A67" s="24" t="str">
        <x:v>EMR-008</x:v>
      </x:c>
      <x:c r="B67" s="24" t="str">
        <x:v>SRC-CBY-EMONEY-AMD-2025-001</x:v>
      </x:c>
      <x:c r="C67" s="24" t="str">
        <x:v>2025-07-09</x:v>
      </x:c>
      <x:c r="D67" s="24" t="str">
        <x:v>Individual foreign-currency transaction ceilings</x:v>
      </x:c>
      <x:c r="E67" s="24" t="str">
        <x:v>For individual accounts in major foreign currencies, the amendment table states ceilings of USD 400 or equivalent per single transaction; USD 500 or equivalent per day; USD 1,000 or equivalent per month; and USD 10,000 or equivalent per year.</x:v>
      </x:c>
      <x:c r="F67" s="24" t="str">
        <x:v>400 | 500 | 1,000 | 10,000</x:v>
      </x:c>
      <x:c r="G67" s="24" t="str">
        <x:v>USD or equivalent: single | daily | monthly | annual</x:v>
      </x:c>
      <x:c r="H67" s="24" t="str">
        <x:v>Regulatory ceiling cards can be displayed for the permitted foreign-currency class.</x:v>
      </x:c>
      <x:c r="I67" s="24" t="str">
        <x:v>Actual use and currency mix remain unknown.</x:v>
      </x:c>
      <x:c r="J67" s="24" t="str">
        <x:v>https://cby-ye.com/files/6875fc55a253e.pdf</x:v>
      </x:c>
    </x:row>
    <x:row r="68">
      <x:c r="A68" s="24" t="str">
        <x:v>EMR-009</x:v>
      </x:c>
      <x:c r="B68" s="24" t="str">
        <x:v>SRC-CBY-EMONEY-AMD-2025-001</x:v>
      </x:c>
      <x:c r="C68" s="24" t="str">
        <x:v>2025-07-09</x:v>
      </x:c>
      <x:c r="D68" s="24" t="str">
        <x:v>Maximum individual e-money balance</x:v>
      </x:c>
      <x:c r="E68" s="24" t="str">
        <x:v>The amendment states a maximum individual e-money balance of YER 8,000,000 for local-currency balances and USD 1,500 or equivalent for foreign-currency balances.</x:v>
      </x:c>
      <x:c r="F68" s="24" t="str">
        <x:v>8,000,000 | 1,500</x:v>
      </x:c>
      <x:c r="G68" s="24" t="str">
        <x:v>YER | USD or equivalent</x:v>
      </x:c>
      <x:c r="H68" s="24" t="str">
        <x:v>Regulatory balance ceilings.</x:v>
      </x:c>
      <x:c r="I68" s="24" t="str">
        <x:v>No evidence of actual balances or distribution.</x:v>
      </x:c>
      <x:c r="J68" s="24" t="str">
        <x:v>https://cby-ye.com/files/6875fc55a253e.pdf</x:v>
      </x:c>
    </x:row>
    <x:row r="69">
      <x:c r="A69" s="24" t="str">
        <x:v>EMR-010</x:v>
      </x:c>
      <x:c r="B69" s="24" t="str">
        <x:v>SRC-CBY-EMONEY-AMD-2025-001</x:v>
      </x:c>
      <x:c r="C69" s="24" t="str">
        <x:v>2025-07-09</x:v>
      </x:c>
      <x:c r="D69" s="24" t="str">
        <x:v>Corporate-account ceilings</x:v>
      </x:c>
      <x:c r="E69" s="24" t="str">
        <x:v>The amendment states that limits for corporate accounts are determined by the e-money issuer according to its assessment and require prior written approval from CBY.</x:v>
      </x:c>
      <x:c r="F69" s="24" t="str">
        <x:v>Issuer-assessed + prior CBY written approval</x:v>
      </x:c>
      <x:c r="G69" s="24" t="str">
        <x:v>corporate accounts</x:v>
      </x:c>
      <x:c r="H69" s="24" t="str">
        <x:v>The governance rule for corporate-account limits.</x:v>
      </x:c>
      <x:c r="I69" s="24" t="str">
        <x:v>No firm-level product availability or actual approved limits are controlled.</x:v>
      </x:c>
      <x:c r="J69" s="24" t="str">
        <x:v>https://cby-ye.com/files/6875fc55a253e.pdf</x:v>
      </x:c>
    </x:row>
    <x:row r="70">
      <x:c r="A70" s="24" t="str">
        <x:v>EMR-011</x:v>
      </x:c>
      <x:c r="B70" s="24" t="str">
        <x:v>SRC-CBY-EMONEY-AMD-2025-001</x:v>
      </x:c>
      <x:c r="C70" s="24" t="str">
        <x:v>2025-07-09</x:v>
      </x:c>
      <x:c r="D70" s="24" t="str">
        <x:v>Account opening / currency</x:v>
      </x:c>
      <x:c r="E70" s="24" t="str">
        <x:v>The amendment permits e-money accounts in major foreign currencies (USD, SAR, AED) in addition to local currency.</x:v>
      </x:c>
      <x:c r="F70" s="24" t="str">
        <x:v>Permitted account currencies</x:v>
      </x:c>
      <x:c r="G70" s="24" t="str">
        <x:v>USD; SAR; AED; YER</x:v>
      </x:c>
      <x:c r="H70" s="24" t="str">
        <x:v>A source-controlled account-currency rule.</x:v>
      </x:c>
      <x:c r="I70" s="24" t="str">
        <x:v>No provider/product inventory or user distribution by currency.</x:v>
      </x:c>
      <x:c r="J70" s="24" t="str">
        <x:v>https://cby-ye.com/files/6875fc55a253e.pdf</x:v>
      </x:c>
    </x:row>
    <x:row r="71">
      <x:c r="A71" s="24" t="str">
        <x:v>EMR-012</x:v>
      </x:c>
      <x:c r="B71" s="24" t="str">
        <x:v>SRC-CBY-EMONEY-AMD-2025-001</x:v>
      </x:c>
      <x:c r="C71" s="24" t="str">
        <x:v>2025-07-09</x:v>
      </x:c>
      <x:c r="D71" s="24" t="str">
        <x:v>Effective date</x:v>
      </x:c>
      <x:c r="E71" s="24" t="str">
        <x:v>Decision No. 4 states that it takes effect from the date of issuance and the competent authorities shall act accordingly.</x:v>
      </x:c>
      <x:c r="F71" s="24" t="str">
        <x:v>Effective from issuance</x:v>
      </x:c>
      <x:c r="G71" s="24" t="str">
        <x:v>2025-07-09</x:v>
      </x:c>
      <x:c r="H71" s="24" t="str">
        <x:v>The amendment event can be placed on the regulatory timeline.</x:v>
      </x:c>
      <x:c r="I71" s="24" t="str">
        <x:v>Current consolidated-text status still requires controlled instrument reconciliation.</x:v>
      </x:c>
      <x:c r="J71" s="24" t="str">
        <x:v>https://cby-ye.com/files/6875fc55a253e.pdf</x:v>
      </x:c>
    </x:row>
    <x:row r="72">
      <x:c r="A72" s="24" t="str">
        <x:v>EMR-013</x:v>
      </x:c>
      <x:c r="B72" s="24" t="str">
        <x:v>MULTI_SOURCE</x:v>
      </x:c>
      <x:c r="C72" s="24" t="str">
        <x:v>current release</x:v>
      </x:c>
      <x:c r="D72" s="24" t="str">
        <x:v>Evidence frontier</x:v>
      </x:c>
      <x:c r="E72" s="24" t="str">
        <x:v>The evidence system does not yet hold a current named, QA-passed 2026 universe of licensed wallet/e-money issuers/system operators linked to these regulatory rules.</x:v>
      </x:c>
      <x:c r="F72" s="24" t="str">
        <x:v>Open provider-universe gap</x:v>
      </x:c>
      <x:c r="G72" s="24" t="str">
        <x:v>N/A</x:v>
      </x:c>
      <x:c r="H72" s="24" t="str">
        <x:v>The observability gap itself can be shown.</x:v>
      </x:c>
      <x:c r="I72" s="24" t="str">
        <x:v>Current named roster and operational status.</x:v>
      </x:c>
      <x:c r="J72" s="24" t="str">
        <x:v>Internal synthesis governed by primary-source queue</x:v>
      </x:c>
    </x:row>
    <x:row r="76">
      <x:c r="A76" s="145" t="str">
        <x:v>FMIIP official results framework / إطار النتائج الرسمي لمشروع البنية التحتية للأسواق والشمول المالي</x:v>
      </x:c>
      <x:c r="B76" s="145"/>
      <x:c r="C76" s="145"/>
      <x:c r="D76" s="145"/>
      <x:c r="E76" s="145"/>
      <x:c r="F76" s="145"/>
      <x:c r="G76" s="145"/>
      <x:c r="H76" s="145"/>
      <x:c r="I76" s="145"/>
      <x:c r="J76" s="145"/>
      <x:c r="K76" s="145"/>
      <x:c r="L76" s="145"/>
      <x:c r="M76" s="145"/>
    </x:row>
    <x:row r="77">
      <x:c r="A77" s="149" t="str">
        <x:v>metric_id</x:v>
      </x:c>
      <x:c r="B77" s="149" t="str">
        <x:v>indicator_en</x:v>
      </x:c>
      <x:c r="C77" s="149" t="str">
        <x:v>indicator_ar</x:v>
      </x:c>
      <x:c r="D77" s="149" t="str">
        <x:v>baseline_period</x:v>
      </x:c>
      <x:c r="E77" s="149" t="str">
        <x:v>baseline_value</x:v>
      </x:c>
      <x:c r="F77" s="149" t="str">
        <x:v>target_period</x:v>
      </x:c>
      <x:c r="G77" s="149" t="str">
        <x:v>target_value</x:v>
      </x:c>
      <x:c r="H77" s="149" t="str">
        <x:v>unit</x:v>
      </x:c>
      <x:c r="I77" s="149" t="str">
        <x:v>source_id</x:v>
      </x:c>
      <x:c r="J77" s="149" t="str">
        <x:v>state_en</x:v>
      </x:c>
      <x:c r="K77" s="149" t="str">
        <x:v>state_ar</x:v>
      </x:c>
      <x:c r="L77" s="149" t="str">
        <x:v>interpretation_rule_en</x:v>
      </x:c>
      <x:c r="M77" s="149" t="str">
        <x:v>interpretation_rule_ar</x:v>
      </x:c>
    </x:row>
    <x:row r="78">
      <x:c r="A78" s="142" t="str">
        <x:v>FMIIP-RF-001</x:v>
      </x:c>
      <x:c r="B78" s="142" t="str">
        <x:v>Increase in value of RTGS transactions</x:v>
      </x:c>
      <x:c r="C78" s="150" t="str">
        <x:v>الزيادة في قيمة معاملات نظام التسوية الإجمالية الفورية</x:v>
      </x:c>
      <x:c r="D78" s="142" t="str">
        <x:v>Jan-2025</x:v>
      </x:c>
      <x:c r="E78" s="142" t="n">
        <x:v>0</x:v>
      </x:c>
      <x:c r="F78" s="142" t="str">
        <x:v>Jun-2030</x:v>
      </x:c>
      <x:c r="G78" s="142" t="n">
        <x:v>20</x:v>
      </x:c>
      <x:c r="H78" s="142" t="str">
        <x:v>percent</x:v>
      </x:c>
      <x:c r="I78" s="142" t="str">
        <x:v>SRC-WB-FMIIP-P180708</x:v>
      </x:c>
      <x:c r="J78" s="142" t="str">
        <x:v>Project baseline / target</x:v>
      </x:c>
      <x:c r="K78" s="150" t="str">
        <x:v>خط أساس / مستهدف للمشروع</x:v>
      </x:c>
      <x:c r="L78" s="142" t="str">
        <x:v>Target measures a future change in RTGS value; it is not an observed inclusion outcome.</x:v>
      </x:c>
      <x:c r="M78" s="150" t="str">
        <x:v>يقيس المستهدف تغيرًا مستقبليًا في قيمة معاملات RTGS، ولا يمثل نتيجة مرصودة للشمول المالي.</x:v>
      </x:c>
    </x:row>
    <x:row r="79">
      <x:c r="A79" s="142" t="str">
        <x:v>FMIIP-RF-002</x:v>
      </x:c>
      <x:c r="B79" s="142" t="str">
        <x:v>Beneficiaries receiving or making electronic payments/transfers</x:v>
      </x:c>
      <x:c r="C79" s="150" t="str">
        <x:v>المستفيدون الذين يتلقون أو يجرون مدفوعات وتحويلات إلكترونية</x:v>
      </x:c>
      <x:c r="D79" s="142" t="str">
        <x:v>Jan-2025</x:v>
      </x:c>
      <x:c r="E79" s="142" t="n">
        <x:v>10761</x:v>
      </x:c>
      <x:c r="F79" s="142" t="str">
        <x:v>Jun-2030</x:v>
      </x:c>
      <x:c r="G79" s="142" t="n">
        <x:v>1000000</x:v>
      </x:c>
      <x:c r="H79" s="142" t="str">
        <x:v>beneficiaries</x:v>
      </x:c>
      <x:c r="I79" s="142" t="str">
        <x:v>SRC-WB-FMIIP-P180708</x:v>
      </x:c>
      <x:c r="J79" s="142" t="str">
        <x:v>Project baseline / target</x:v>
      </x:c>
      <x:c r="K79" s="150" t="str">
        <x:v>خط أساس / مستهدف للمشروع</x:v>
      </x:c>
      <x:c r="L79" s="142" t="str">
        <x:v>Beneficiaries are project-defined people/entities and must not be substituted with transactions or accounts.</x:v>
      </x:c>
      <x:c r="M79" s="150" t="str">
        <x:v>المستفيدون وحدة يعرّفها المشروع، ولا يجوز استبدالهم بعدد المعاملات أو الحسابات.</x:v>
      </x:c>
    </x:row>
    <x:row r="80">
      <x:c r="A80" s="142" t="str">
        <x:v>FMIIP-RF-003</x:v>
      </x:c>
      <x:c r="B80" s="142" t="str">
        <x:v>Female beneficiaries receiving or making electronic payments/transfers</x:v>
      </x:c>
      <x:c r="C80" s="150" t="str">
        <x:v>المستفيدات من المدفوعات والتحويلات الإلكترونية</x:v>
      </x:c>
      <x:c r="D80" s="142"/>
      <x:c r="E80" s="142"/>
      <x:c r="F80" s="142" t="str">
        <x:v>Jun-2030</x:v>
      </x:c>
      <x:c r="G80" s="142" t="n">
        <x:v>480000</x:v>
      </x:c>
      <x:c r="H80" s="142" t="str">
        <x:v>female beneficiaries</x:v>
      </x:c>
      <x:c r="I80" s="142" t="str">
        <x:v>SRC-WB-FMIIP-P180708</x:v>
      </x:c>
      <x:c r="J80" s="142" t="str">
        <x:v>Target only; baseline not stated</x:v>
      </x:c>
      <x:c r="K80" s="150" t="str">
        <x:v>مستهدف فقط؛ لا يورد المصدر خط أساس</x:v>
      </x:c>
      <x:c r="L80" s="142" t="str">
        <x:v>48% of the total closing target; do not infer a current female beneficiary count.</x:v>
      </x:c>
      <x:c r="M80" s="150" t="str">
        <x:v>يمثل 48% من المستهدف الكلي النهائي؛ ولا يجوز استنتاج عدد راهن للمستفيدات.</x:v>
      </x:c>
    </x:row>
    <x:row r="81">
      <x:c r="A81" s="142" t="str">
        <x:v>FMIIP-RF-004</x:v>
      </x:c>
      <x:c r="B81" s="142" t="str">
        <x:v>Financial access points</x:v>
      </x:c>
      <x:c r="C81" s="150" t="str">
        <x:v>نقاط الوصول المالي</x:v>
      </x:c>
      <x:c r="D81" s="142" t="str">
        <x:v>Jan-2025</x:v>
      </x:c>
      <x:c r="E81" s="142" t="n">
        <x:v>817</x:v>
      </x:c>
      <x:c r="F81" s="142" t="str">
        <x:v>Jun-2030</x:v>
      </x:c>
      <x:c r="G81" s="142" t="n">
        <x:v>1021</x:v>
      </x:c>
      <x:c r="H81" s="142" t="str">
        <x:v>project-defined access points</x:v>
      </x:c>
      <x:c r="I81" s="142" t="str">
        <x:v>SRC-WB-FMIIP-P180708</x:v>
      </x:c>
      <x:c r="J81" s="142" t="str">
        <x:v>Project baseline / target</x:v>
      </x:c>
      <x:c r="K81" s="150" t="str">
        <x:v>خط أساس / مستهدف للمشروع</x:v>
      </x:c>
      <x:c r="L81" s="142" t="str">
        <x:v>The project-defined access-point taxonomy must be used; do not add ATMs, POS and agents unless definitions and deduplication rules permit it.</x:v>
      </x:c>
      <x:c r="M81" s="150" t="str">
        <x:v>يجب استخدام تعريف المشروع لنقطة الوصول؛ ولا تُجمع أجهزة الصراف ونقاط البيع والوكلاء ما لم تسمح التعريفات وقواعد إزالة الازدواج بذلك.</x:v>
      </x:c>
    </x:row>
    <x:row r="82">
      <x:c r="A82" s="142" t="str">
        <x:v>FMIIP-RF-005</x:v>
      </x:c>
      <x:c r="B82" s="142" t="str">
        <x:v>Decrease in transaction cost to customers</x:v>
      </x:c>
      <x:c r="C82" s="150" t="str">
        <x:v>خفض تكلفة المعاملات على العملاء</x:v>
      </x:c>
      <x:c r="D82" s="142" t="str">
        <x:v>Jan-2025</x:v>
      </x:c>
      <x:c r="E82" s="142" t="n">
        <x:v>0</x:v>
      </x:c>
      <x:c r="F82" s="142" t="str">
        <x:v>Jun-2030</x:v>
      </x:c>
      <x:c r="G82" s="142" t="n">
        <x:v>50</x:v>
      </x:c>
      <x:c r="H82" s="142" t="str">
        <x:v>percent decrease</x:v>
      </x:c>
      <x:c r="I82" s="142" t="str">
        <x:v>SRC-WB-FMIIP-P180708</x:v>
      </x:c>
      <x:c r="J82" s="142" t="str">
        <x:v>Project baseline / target</x:v>
      </x:c>
      <x:c r="K82" s="150" t="str">
        <x:v>خط أساس / مستهدف للمشروع</x:v>
      </x:c>
      <x:c r="L82" s="142" t="str">
        <x:v>A target reduction is not evidence that costs have already fallen.</x:v>
      </x:c>
      <x:c r="M82" s="150" t="str">
        <x:v>مستهدف خفض التكلفة لا يثبت أن التكلفة انخفضت بالفعل.</x:v>
      </x:c>
    </x:row>
    <x:row r="83">
      <x:c r="A83" s="142" t="str">
        <x:v>FMIIP-RF-006</x:v>
      </x:c>
      <x:c r="B83" s="142" t="str">
        <x:v>Fast Payment System developed and operational</x:v>
      </x:c>
      <x:c r="C83" s="150" t="str">
        <x:v>تطوير وتشغيل نظام الدفع السريع</x:v>
      </x:c>
      <x:c r="D83" s="142" t="str">
        <x:v>Jan-2025</x:v>
      </x:c>
      <x:c r="E83" s="142" t="str">
        <x:v>No</x:v>
      </x:c>
      <x:c r="F83" s="142" t="str">
        <x:v>Jun-2030</x:v>
      </x:c>
      <x:c r="G83" s="142" t="str">
        <x:v>Yes</x:v>
      </x:c>
      <x:c r="H83" s="142" t="str">
        <x:v>yes/no</x:v>
      </x:c>
      <x:c r="I83" s="142" t="str">
        <x:v>SRC-WB-FMIIP-P180708</x:v>
      </x:c>
      <x:c r="J83" s="142" t="str">
        <x:v>Infrastructure milestone</x:v>
      </x:c>
      <x:c r="K83" s="150" t="str">
        <x:v>معلم للبنية التحتية</x:v>
      </x:c>
      <x:c r="L83" s="142" t="str">
        <x:v>Operational go-live is distinct from adoption, repeat use and inclusion outcomes.</x:v>
      </x:c>
      <x:c r="M83" s="150" t="str">
        <x:v>التشغيل الفعلي حالة مختلفة عن التبني والاستخدام المتكرر ونتائج الشمول.</x:v>
      </x:c>
    </x:row>
    <x:row r="84">
      <x:c r="A84" s="142" t="str">
        <x:v>FMIIP-RF-007</x:v>
      </x:c>
      <x:c r="B84" s="142" t="str">
        <x:v>Annual cleared FPS transactions</x:v>
      </x:c>
      <x:c r="C84" s="150" t="str">
        <x:v>المعاملات السنوية المسوّاة عبر نظام الدفع السريع</x:v>
      </x:c>
      <x:c r="D84" s="142" t="str">
        <x:v>Jan-2025</x:v>
      </x:c>
      <x:c r="E84" s="142" t="n">
        <x:v>0</x:v>
      </x:c>
      <x:c r="F84" s="142" t="str">
        <x:v>Jun-2030</x:v>
      </x:c>
      <x:c r="G84" s="142" t="n">
        <x:v>600000</x:v>
      </x:c>
      <x:c r="H84" s="142" t="str">
        <x:v>transactions / source wording</x:v>
      </x:c>
      <x:c r="I84" s="142" t="str">
        <x:v>SRC-WB-FMIIP-P180708</x:v>
      </x:c>
      <x:c r="J84" s="142" t="str">
        <x:v>Project baseline / target</x:v>
      </x:c>
      <x:c r="K84" s="150" t="str">
        <x:v>خط أساس / مستهدف للمشروع</x:v>
      </x:c>
      <x:c r="L84" s="142" t="str">
        <x:v>Preserve the source's indicator wording; confirm volume/value semantics before any derived rate.</x:v>
      </x:c>
      <x:c r="M84" s="150" t="str">
        <x:v>تُحفظ صياغة المؤشر كما في المصدر، ويجب التحقق من دلالة الحجم والقيمة قبل اشتقاق أي معدل.</x:v>
      </x:c>
    </x:row>
    <x:row r="85">
      <x:c r="A85" s="142" t="str">
        <x:v>FMIIP-RF-008</x:v>
      </x:c>
      <x:c r="B85" s="142" t="str">
        <x:v>Participating financial institutions in FPS</x:v>
      </x:c>
      <x:c r="C85" s="150" t="str">
        <x:v>المؤسسات المالية المشاركة في نظام الدفع السريع</x:v>
      </x:c>
      <x:c r="D85" s="142" t="str">
        <x:v>Jan-2025</x:v>
      </x:c>
      <x:c r="E85" s="142" t="n">
        <x:v>0</x:v>
      </x:c>
      <x:c r="F85" s="142" t="str">
        <x:v>Jun-2030</x:v>
      </x:c>
      <x:c r="G85" s="142" t="n">
        <x:v>10</x:v>
      </x:c>
      <x:c r="H85" s="142" t="str">
        <x:v>institutions</x:v>
      </x:c>
      <x:c r="I85" s="142" t="str">
        <x:v>SRC-WB-FMIIP-P180708</x:v>
      </x:c>
      <x:c r="J85" s="142" t="str">
        <x:v>Project baseline / target</x:v>
      </x:c>
      <x:c r="K85" s="150" t="str">
        <x:v>خط أساس / مستهدف للمشروع</x:v>
      </x:c>
      <x:c r="L85" s="142" t="str">
        <x:v>Institutional participation does not establish end-user activity.</x:v>
      </x:c>
      <x:c r="M85" s="150" t="str">
        <x:v>مشاركة المؤسسات لا تثبت نشاط المستخدمين النهائيين.</x:v>
      </x:c>
    </x:row>
    <x:row r="86">
      <x:c r="A86" s="142" t="str">
        <x:v>FMIIP-RF-009</x:v>
      </x:c>
      <x:c r="B86" s="142" t="str">
        <x:v>FPS use cases</x:v>
      </x:c>
      <x:c r="C86" s="150" t="str">
        <x:v>حالات استخدام نظام الدفع السريع</x:v>
      </x:c>
      <x:c r="D86" s="142" t="str">
        <x:v>Jan-2025</x:v>
      </x:c>
      <x:c r="E86" s="142" t="n">
        <x:v>1</x:v>
      </x:c>
      <x:c r="F86" s="142" t="str">
        <x:v>Jun-2030</x:v>
      </x:c>
      <x:c r="G86" s="142" t="n">
        <x:v>3</x:v>
      </x:c>
      <x:c r="H86" s="142" t="str">
        <x:v>use cases</x:v>
      </x:c>
      <x:c r="I86" s="142" t="str">
        <x:v>SRC-WB-FMIIP-P180708</x:v>
      </x:c>
      <x:c r="J86" s="142" t="str">
        <x:v>Project baseline / target</x:v>
      </x:c>
      <x:c r="K86" s="150" t="str">
        <x:v>خط أساس / مستهدف للمشروع</x:v>
      </x:c>
      <x:c r="L86" s="142" t="str">
        <x:v>Use-case count does not measure transaction scale or people reached.</x:v>
      </x:c>
      <x:c r="M86" s="150" t="str">
        <x:v>عدد حالات الاستخدام لا يقيس حجم المعاملات أو عدد الأشخاص الذين وصلتهم الخدمة.</x:v>
      </x:c>
    </x:row>
    <x:row r="87">
      <x:c r="A87" s="142" t="str">
        <x:v>FMIIP-RF-010</x:v>
      </x:c>
      <x:c r="B87" s="142" t="str">
        <x:v>RTGS developed and operational</x:v>
      </x:c>
      <x:c r="C87" s="150" t="str">
        <x:v>تطوير وتشغيل نظام التسوية الإجمالية الفورية</x:v>
      </x:c>
      <x:c r="D87" s="142" t="str">
        <x:v>Jan-2025</x:v>
      </x:c>
      <x:c r="E87" s="142" t="str">
        <x:v>No</x:v>
      </x:c>
      <x:c r="F87" s="142" t="str">
        <x:v>Jun-2030</x:v>
      </x:c>
      <x:c r="G87" s="142" t="str">
        <x:v>Yes</x:v>
      </x:c>
      <x:c r="H87" s="142" t="str">
        <x:v>yes/no</x:v>
      </x:c>
      <x:c r="I87" s="142" t="str">
        <x:v>SRC-WB-FMIIP-P180708</x:v>
      </x:c>
      <x:c r="J87" s="142" t="str">
        <x:v>Infrastructure milestone</x:v>
      </x:c>
      <x:c r="K87" s="150" t="str">
        <x:v>معلم للبنية التحتية</x:v>
      </x:c>
      <x:c r="L87" s="142" t="str">
        <x:v>A functioning RTGS is system capacity, not a people-side inclusion outcome.</x:v>
      </x:c>
      <x:c r="M87" s="150" t="str">
        <x:v>تشغيل RTGS قدرة للنظام، وليس نتيجة للشمول على مستوى الأفراد.</x:v>
      </x:c>
    </x:row>
    <x:row r="88">
      <x:c r="A88" s="142" t="str">
        <x:v>FMIIP-RF-011</x:v>
      </x:c>
      <x:c r="B88" s="142" t="str">
        <x:v>Participating payment service providers in RTGS</x:v>
      </x:c>
      <x:c r="C88" s="150" t="str">
        <x:v>مقدمو خدمات الدفع المشاركون في RTGS</x:v>
      </x:c>
      <x:c r="D88" s="142" t="str">
        <x:v>Jan-2025</x:v>
      </x:c>
      <x:c r="E88" s="142" t="n">
        <x:v>0</x:v>
      </x:c>
      <x:c r="F88" s="142" t="str">
        <x:v>Jun-2030</x:v>
      </x:c>
      <x:c r="G88" s="142" t="n">
        <x:v>10</x:v>
      </x:c>
      <x:c r="H88" s="142" t="str">
        <x:v>PSPs</x:v>
      </x:c>
      <x:c r="I88" s="142" t="str">
        <x:v>SRC-WB-FMIIP-P180708</x:v>
      </x:c>
      <x:c r="J88" s="142" t="str">
        <x:v>Project baseline / target</x:v>
      </x:c>
      <x:c r="K88" s="150" t="str">
        <x:v>خط أساس / مستهدف للمشروع</x:v>
      </x:c>
      <x:c r="L88" s="142" t="str">
        <x:v>Participation does not prove transaction activity or user reach.</x:v>
      </x:c>
      <x:c r="M88" s="150" t="str">
        <x:v>المشاركة لا تثبت نشاط المعاملات أو وصول المستخدمين.</x:v>
      </x:c>
    </x:row>
    <x:row r="89">
      <x:c r="A89" s="142" t="str">
        <x:v>FMIIP-RF-012</x:v>
      </x:c>
      <x:c r="B89" s="142" t="str">
        <x:v>Merchants accepting electronic payments</x:v>
      </x:c>
      <x:c r="C89" s="150" t="str">
        <x:v>التجار الذين يقبلون المدفوعات الإلكترونية</x:v>
      </x:c>
      <x:c r="D89" s="142" t="str">
        <x:v>Jan-2025</x:v>
      </x:c>
      <x:c r="E89" s="142" t="n">
        <x:v>170</x:v>
      </x:c>
      <x:c r="F89" s="142" t="str">
        <x:v>Jun-2030</x:v>
      </x:c>
      <x:c r="G89" s="142" t="n">
        <x:v>500</x:v>
      </x:c>
      <x:c r="H89" s="142" t="str">
        <x:v>merchants</x:v>
      </x:c>
      <x:c r="I89" s="142" t="str">
        <x:v>SRC-WB-FMIIP-P180708</x:v>
      </x:c>
      <x:c r="J89" s="142" t="str">
        <x:v>Project baseline / target</x:v>
      </x:c>
      <x:c r="K89" s="150" t="str">
        <x:v>خط أساس / مستهدف للمشروع</x:v>
      </x:c>
      <x:c r="L89" s="142" t="str">
        <x:v>Merchants are not POS terminals and should not be cross-counted as devices.</x:v>
      </x:c>
      <x:c r="M89" s="150" t="str">
        <x:v>التجار ليسوا أجهزة نقاط بيع ولا يجوز تحويل أحد المقياسين إلى الآخر.</x:v>
      </x:c>
    </x:row>
    <x:row r="90">
      <x:c r="A90" s="142" t="str">
        <x:v>FMIIP-RF-013</x:v>
      </x:c>
      <x:c r="B90" s="142" t="str">
        <x:v>Active bank accounts</x:v>
      </x:c>
      <x:c r="C90" s="150" t="str">
        <x:v>الحسابات البنكية النشطة</x:v>
      </x:c>
      <x:c r="D90" s="142" t="str">
        <x:v>Jan-2025</x:v>
      </x:c>
      <x:c r="E90" s="142" t="n">
        <x:v>1062441</x:v>
      </x:c>
      <x:c r="F90" s="142" t="str">
        <x:v>Jun-2030</x:v>
      </x:c>
      <x:c r="G90" s="142" t="n">
        <x:v>1381171</x:v>
      </x:c>
      <x:c r="H90" s="142" t="str">
        <x:v>active accounts</x:v>
      </x:c>
      <x:c r="I90" s="142" t="str">
        <x:v>SRC-WB-FMIIP-P180708</x:v>
      </x:c>
      <x:c r="J90" s="142" t="str">
        <x:v>Project baseline / target</x:v>
      </x:c>
      <x:c r="K90" s="150" t="str">
        <x:v>خط أساس / مستهدف للمشروع</x:v>
      </x:c>
      <x:c r="L90" s="142" t="str">
        <x:v>Accounts are not unique people; definition must be reconciled before comparison with other CBY account totals.</x:v>
      </x:c>
      <x:c r="M90" s="150" t="str">
        <x:v>الحسابات ليست أشخاصًا فريدين، ويجب مطابقة التعريف قبل مقارنتها بإجماليات حسابات أخرى لدى البنك المركزي.</x:v>
      </x:c>
    </x:row>
    <x:row r="91">
      <x:c r="A91" s="142" t="str">
        <x:v>FMIIP-RF-014</x:v>
      </x:c>
      <x:c r="B91" s="142" t="str">
        <x:v>Female-owned active bank accounts</x:v>
      </x:c>
      <x:c r="C91" s="150" t="str">
        <x:v>الحسابات البنكية النشطة المملوكة لنساء</x:v>
      </x:c>
      <x:c r="D91" s="142" t="str">
        <x:v>Jan-2025</x:v>
      </x:c>
      <x:c r="E91" s="142" t="n">
        <x:v>200898</x:v>
      </x:c>
      <x:c r="F91" s="142" t="str">
        <x:v>Jun-2030</x:v>
      </x:c>
      <x:c r="G91" s="142" t="n">
        <x:v>261167</x:v>
      </x:c>
      <x:c r="H91" s="142" t="str">
        <x:v>active accounts</x:v>
      </x:c>
      <x:c r="I91" s="142" t="str">
        <x:v>SRC-WB-FMIIP-P180708</x:v>
      </x:c>
      <x:c r="J91" s="142" t="str">
        <x:v>Project baseline / target</x:v>
      </x:c>
      <x:c r="K91" s="150" t="str">
        <x:v>خط أساس / مستهدف للمشروع</x:v>
      </x:c>
      <x:c r="L91" s="142" t="str">
        <x:v>This is an account count by ownership classification, not a count of unique women.</x:v>
      </x:c>
      <x:c r="M91" s="150" t="str">
        <x:v>هذا عدد حسابات مصنفة بحسب الملكية، وليس عددًا للنساء الفريدات.</x:v>
      </x:c>
    </x:row>
    <x:row r="92">
      <x:c r="A92" s="142" t="str">
        <x:v>FMIIP-RF-015</x:v>
      </x:c>
      <x:c r="B92" s="142" t="str">
        <x:v>Active e-wallet accounts</x:v>
      </x:c>
      <x:c r="C92" s="150" t="str">
        <x:v>حسابات المحافظ الإلكترونية النشطة</x:v>
      </x:c>
      <x:c r="D92" s="142" t="str">
        <x:v>Jan-2025</x:v>
      </x:c>
      <x:c r="E92" s="142" t="n">
        <x:v>375252</x:v>
      </x:c>
      <x:c r="F92" s="142" t="str">
        <x:v>Jun-2030</x:v>
      </x:c>
      <x:c r="G92" s="142" t="n">
        <x:v>487828</x:v>
      </x:c>
      <x:c r="H92" s="142" t="str">
        <x:v>active e-wallet accounts</x:v>
      </x:c>
      <x:c r="I92" s="142" t="str">
        <x:v>SRC-WB-FMIIP-P180708</x:v>
      </x:c>
      <x:c r="J92" s="142" t="str">
        <x:v>Project baseline / target</x:v>
      </x:c>
      <x:c r="K92" s="150" t="str">
        <x:v>خط أساس / مستهدف للمشروع</x:v>
      </x:c>
      <x:c r="L92" s="142" t="str">
        <x:v>Active e-wallet accounts are not subscribers unless a definition bridge proves equivalence.</x:v>
      </x:c>
      <x:c r="M92" s="150" t="str">
        <x:v>الحسابات النشطة للمحافظ ليست مرادفة لعدد المشتركين ما لم تثبت مطابقة التعريفات.</x:v>
      </x:c>
    </x:row>
    <x:row r="93">
      <x:c r="A93" s="142" t="str">
        <x:v>FMIIP-RF-016</x:v>
      </x:c>
      <x:c r="B93" s="142" t="str">
        <x:v>Female-owned active e-wallet accounts</x:v>
      </x:c>
      <x:c r="C93" s="150" t="str">
        <x:v>حسابات المحافظ الإلكترونية النشطة المملوكة لنساء</x:v>
      </x:c>
      <x:c r="D93" s="142"/>
      <x:c r="E93" s="142"/>
      <x:c r="F93" s="142" t="str">
        <x:v>May-2030</x:v>
      </x:c>
      <x:c r="G93" s="142" t="n">
        <x:v>73174</x:v>
      </x:c>
      <x:c r="H93" s="142" t="str">
        <x:v>active e-wallet accounts</x:v>
      </x:c>
      <x:c r="I93" s="142" t="str">
        <x:v>SRC-WB-FMIIP-P180708</x:v>
      </x:c>
      <x:c r="J93" s="142" t="str">
        <x:v>Target only; baseline not stated</x:v>
      </x:c>
      <x:c r="K93" s="150" t="str">
        <x:v>مستهدف فقط؛ لا يورد المصدر خط أساس</x:v>
      </x:c>
      <x:c r="L93" s="142" t="str">
        <x:v>The cited table does not state a female baseline; do not back-calculate one.</x:v>
      </x:c>
      <x:c r="M93" s="150" t="str">
        <x:v>لا يورد الجدول المشار إليه خط أساس للنساء؛ ولا يجوز اشتقاقه حسابيًا من دون مصدر.</x:v>
      </x:c>
    </x:row>
    <x:row r="94">
      <x:c r="A94" s="142" t="str">
        <x:v>FMIIP-RF-017</x:v>
      </x:c>
      <x:c r="B94" s="142" t="str">
        <x:v>Agents of licensed financial institutions</x:v>
      </x:c>
      <x:c r="C94" s="150" t="str">
        <x:v>وكلاء المؤسسات المالية المرخصة</x:v>
      </x:c>
      <x:c r="D94" s="142" t="str">
        <x:v>Jan-2025</x:v>
      </x:c>
      <x:c r="E94" s="142" t="n">
        <x:v>65</x:v>
      </x:c>
      <x:c r="F94" s="142" t="str">
        <x:v>Jun-2030</x:v>
      </x:c>
      <x:c r="G94" s="142" t="n">
        <x:v>71</x:v>
      </x:c>
      <x:c r="H94" s="142" t="str">
        <x:v>agents</x:v>
      </x:c>
      <x:c r="I94" s="142" t="str">
        <x:v>SRC-WB-FMIIP-P180708</x:v>
      </x:c>
      <x:c r="J94" s="142" t="str">
        <x:v>Project baseline / target</x:v>
      </x:c>
      <x:c r="K94" s="150" t="str">
        <x:v>خط أساس / مستهدف للمشروع</x:v>
      </x:c>
      <x:c r="L94" s="142" t="str">
        <x:v>Agent count is not unique customers and does not by itself establish geographic access.</x:v>
      </x:c>
      <x:c r="M94" s="150" t="str">
        <x:v>عدد الوكلاء لا يساوي عدد العملاء الفريدين ولا يثبت وحده الوصول الجغرافي.</x:v>
      </x:c>
    </x:row>
    <x:row r="95">
      <x:c r="A95" s="142" t="str">
        <x:v>FMIIP-RF-018</x:v>
      </x:c>
      <x:c r="B95" s="142" t="str">
        <x:v>Female agents</x:v>
      </x:c>
      <x:c r="C95" s="150" t="str">
        <x:v>الوكيلات</x:v>
      </x:c>
      <x:c r="D95" s="142" t="str">
        <x:v>Jan-2025</x:v>
      </x:c>
      <x:c r="E95" s="142" t="n">
        <x:v>1</x:v>
      </x:c>
      <x:c r="F95" s="142" t="str">
        <x:v>Jun-2030</x:v>
      </x:c>
      <x:c r="G95" s="142" t="n">
        <x:v>20</x:v>
      </x:c>
      <x:c r="H95" s="142" t="str">
        <x:v>agents</x:v>
      </x:c>
      <x:c r="I95" s="142" t="str">
        <x:v>SRC-WB-FMIIP-P180708</x:v>
      </x:c>
      <x:c r="J95" s="142" t="str">
        <x:v>Project baseline / target</x:v>
      </x:c>
      <x:c r="K95" s="150" t="str">
        <x:v>خط أساس / مستهدف للمشروع</x:v>
      </x:c>
      <x:c r="L95" s="142" t="str">
        <x:v>Agent composition is not a population inclusion rate.</x:v>
      </x:c>
      <x:c r="M95" s="150" t="str">
        <x:v>تركيبة شبكة الوكلاء ليست معدل شمول للسكان.</x:v>
      </x:c>
    </x:row>
    <x:row r="96">
      <x:c r="A96" s="142" t="str">
        <x:v>FMIIP-RF-019</x:v>
      </x:c>
      <x:c r="B96" s="142" t="str">
        <x:v>Financial literacy campaigns</x:v>
      </x:c>
      <x:c r="C96" s="150" t="str">
        <x:v>حملات الثقافة المالية</x:v>
      </x:c>
      <x:c r="D96" s="142" t="str">
        <x:v>Jan-2025</x:v>
      </x:c>
      <x:c r="E96" s="142" t="n">
        <x:v>0</x:v>
      </x:c>
      <x:c r="F96" s="142" t="str">
        <x:v>Jun-2030</x:v>
      </x:c>
      <x:c r="G96" s="142" t="n">
        <x:v>10</x:v>
      </x:c>
      <x:c r="H96" s="142" t="str">
        <x:v>campaigns</x:v>
      </x:c>
      <x:c r="I96" s="142" t="str">
        <x:v>SRC-WB-FMIIP-P180708</x:v>
      </x:c>
      <x:c r="J96" s="142" t="str">
        <x:v>Project output target</x:v>
      </x:c>
      <x:c r="K96" s="150" t="str">
        <x:v>مستهدف لمخرج برامجي</x:v>
      </x:c>
      <x:c r="L96" s="142" t="str">
        <x:v>Campaign delivery does not establish improved financial literacy.</x:v>
      </x:c>
      <x:c r="M96" s="150" t="str">
        <x:v>تنفيذ الحملات لا يثبت تحسن الثقافة المالية.</x:v>
      </x:c>
    </x:row>
    <x:row r="97">
      <x:c r="A97" s="142" t="str">
        <x:v>FMIIP-RF-020</x:v>
      </x:c>
      <x:c r="B97" s="142" t="str">
        <x:v>Female-focused financial literacy campaigns</x:v>
      </x:c>
      <x:c r="C97" s="150" t="str">
        <x:v>حملات ثقافة مالية موجهة للنساء</x:v>
      </x:c>
      <x:c r="D97" s="142" t="str">
        <x:v>Jan-2025</x:v>
      </x:c>
      <x:c r="E97" s="142" t="n">
        <x:v>0</x:v>
      </x:c>
      <x:c r="F97" s="142" t="str">
        <x:v>Jun-2030</x:v>
      </x:c>
      <x:c r="G97" s="142" t="n">
        <x:v>5</x:v>
      </x:c>
      <x:c r="H97" s="142" t="str">
        <x:v>campaigns</x:v>
      </x:c>
      <x:c r="I97" s="142" t="str">
        <x:v>SRC-WB-FMIIP-P180708</x:v>
      </x:c>
      <x:c r="J97" s="142" t="str">
        <x:v>Project output target</x:v>
      </x:c>
      <x:c r="K97" s="150" t="str">
        <x:v>مستهدف لمخرج برامجي</x:v>
      </x:c>
      <x:c r="L97" s="142" t="str">
        <x:v>Activity targeting women does not itself establish measured capability change.</x:v>
      </x:c>
      <x:c r="M97" s="150" t="str">
        <x:v>توجيه النشاط للنساء لا يثبت بحد ذاته تغيرًا مقاسًا في القدرات المالية.</x:v>
      </x:c>
    </x:row>
    <x:row r="98">
      <x:c r="A98" s="142" t="str">
        <x:v>FMIIP-RF-021</x:v>
      </x:c>
      <x:c r="B98" s="142" t="str">
        <x:v>Beneficiaries satisfied with level of service</x:v>
      </x:c>
      <x:c r="C98" s="150" t="str">
        <x:v>رضا المستفيدين عن مستوى الخدمة</x:v>
      </x:c>
      <x:c r="D98" s="142" t="str">
        <x:v>Jan-2025</x:v>
      </x:c>
      <x:c r="E98" s="142" t="n">
        <x:v>0</x:v>
      </x:c>
      <x:c r="F98" s="142" t="str">
        <x:v>Jun-2030</x:v>
      </x:c>
      <x:c r="G98" s="142" t="n">
        <x:v>80</x:v>
      </x:c>
      <x:c r="H98" s="142" t="str">
        <x:v>percent</x:v>
      </x:c>
      <x:c r="I98" s="142" t="str">
        <x:v>SRC-WB-FMIIP-P180708</x:v>
      </x:c>
      <x:c r="J98" s="142" t="str">
        <x:v>Project outcome target</x:v>
      </x:c>
      <x:c r="K98" s="150" t="str">
        <x:v>مستهدف نتيجة للمشروع</x:v>
      </x:c>
      <x:c r="L98" s="142" t="str">
        <x:v>Interpret only within the project's beneficiary survey universe and method.</x:v>
      </x:c>
      <x:c r="M98" s="150" t="str">
        <x:v>يفسر فقط داخل مجتمع المستفيدين ومنهج القياس الخاص بالمشروع.</x:v>
      </x:c>
    </x:row>
    <x:row r="99">
      <x:c r="A99" s="142" t="str">
        <x:v>FMIIP-RF-022</x:v>
      </x:c>
      <x:c r="B99" s="142" t="str">
        <x:v>Female beneficiaries satisfied with level of service</x:v>
      </x:c>
      <x:c r="C99" s="150" t="str">
        <x:v>رضا المستفيدات عن مستوى الخدمة</x:v>
      </x:c>
      <x:c r="D99" s="142" t="str">
        <x:v>Jan-2025</x:v>
      </x:c>
      <x:c r="E99" s="142" t="n">
        <x:v>0</x:v>
      </x:c>
      <x:c r="F99" s="142" t="str">
        <x:v>Jun-2030</x:v>
      </x:c>
      <x:c r="G99" s="142" t="n">
        <x:v>80</x:v>
      </x:c>
      <x:c r="H99" s="142" t="str">
        <x:v>percent</x:v>
      </x:c>
      <x:c r="I99" s="142" t="str">
        <x:v>SRC-WB-FMIIP-P180708</x:v>
      </x:c>
      <x:c r="J99" s="142" t="str">
        <x:v>Project outcome target</x:v>
      </x:c>
      <x:c r="K99" s="150" t="str">
        <x:v>مستهدف نتيجة للمشروع</x:v>
      </x:c>
      <x:c r="L99" s="142" t="str">
        <x:v>Do not generalize to women nationally.</x:v>
      </x:c>
      <x:c r="M99" s="150" t="str">
        <x:v>لا يعمم على النساء في اليمن ككل.</x:v>
      </x:c>
    </x:row>
    <x:row r="100">
      <x:c r="A100" s="142" t="str">
        <x:v>FMIIP-RF-023</x:v>
      </x:c>
      <x:c r="B100" s="142" t="str">
        <x:v>Grievances addressed within stipulated time</x:v>
      </x:c>
      <x:c r="C100" s="150" t="str">
        <x:v>الشكاوى التي عولجت ضمن المدة المحددة</x:v>
      </x:c>
      <x:c r="D100" s="142" t="str">
        <x:v>Jan-2025</x:v>
      </x:c>
      <x:c r="E100" s="142" t="n">
        <x:v>0</x:v>
      </x:c>
      <x:c r="F100" s="142" t="str">
        <x:v>Jun-2030</x:v>
      </x:c>
      <x:c r="G100" s="142" t="n">
        <x:v>90</x:v>
      </x:c>
      <x:c r="H100" s="142" t="str">
        <x:v>percent</x:v>
      </x:c>
      <x:c r="I100" s="142" t="str">
        <x:v>SRC-WB-FMIIP-P180708</x:v>
      </x:c>
      <x:c r="J100" s="142" t="str">
        <x:v>Project grievance target</x:v>
      </x:c>
      <x:c r="K100" s="150" t="str">
        <x:v>مستهدف لشكاوى المشروع</x:v>
      </x:c>
      <x:c r="L100" s="142" t="str">
        <x:v>Project grievance performance is distinct from sector-wide consumer-redress performance.</x:v>
      </x:c>
      <x:c r="M100" s="150" t="str">
        <x:v>أداء آلية شكاوى المشروع مختلف عن أداء التظلم وحماية المستهلك على مستوى القطاع.</x:v>
      </x:c>
    </x:row>
    <x:row r="101">
      <x:c r="A101" s="142" t="str">
        <x:v>FMIIP-RF-024</x:v>
      </x:c>
      <x:c r="B101" s="142" t="str">
        <x:v>Female grievances addressed within stipulated time</x:v>
      </x:c>
      <x:c r="C101" s="150" t="str">
        <x:v>شكاوى النساء التي عولجت ضمن المدة المحددة</x:v>
      </x:c>
      <x:c r="D101" s="142" t="str">
        <x:v>Jan-2025</x:v>
      </x:c>
      <x:c r="E101" s="142" t="n">
        <x:v>0</x:v>
      </x:c>
      <x:c r="F101" s="142" t="str">
        <x:v>Jun-2030</x:v>
      </x:c>
      <x:c r="G101" s="142" t="n">
        <x:v>90</x:v>
      </x:c>
      <x:c r="H101" s="142" t="str">
        <x:v>percent</x:v>
      </x:c>
      <x:c r="I101" s="142" t="str">
        <x:v>SRC-WB-FMIIP-P180708</x:v>
      </x:c>
      <x:c r="J101" s="142" t="str">
        <x:v>Project grievance target</x:v>
      </x:c>
      <x:c r="K101" s="150" t="str">
        <x:v>مستهدف لشكاوى المشروع</x:v>
      </x:c>
      <x:c r="L101" s="142" t="str">
        <x:v>Project-specific metric; do not read it as sector-wide evidence.</x:v>
      </x:c>
      <x:c r="M101" s="150" t="str">
        <x:v>مقياس خاص بالمشروع؛ ولا يقرأ باعتباره دليلًا على أداء القطاع ككل.</x:v>
      </x:c>
    </x:row>
  </x:sheetData>
  <x:mergeCells>
    <x:mergeCell ref="A1:J1"/>
    <x:mergeCell ref="A2:J2"/>
    <x:mergeCell ref="A4:H4"/>
    <x:mergeCell ref="A25:G25"/>
    <x:mergeCell ref="A44:I44"/>
    <x:mergeCell ref="A58:J58"/>
    <x:mergeCell ref="A76:M76"/>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Jun-2026</x:v>
      </x:c>
      <x:c r="E8" s="24" t="n">
        <x:v>1.9429590017825311</x:v>
      </x:c>
      <x:c r="F8" s="24" t="str">
        <x:v>percent change</x:v>
      </x:c>
      <x:c r="G8" s="24" t="str">
        <x:v>VIS-POS-TERMINALS</x:v>
      </x:c>
      <x:c r="H8" s="24" t="str">
        <x:v>Change in source-reported POS terminals from March 2025 to June 2026.</x:v>
      </x:c>
      <x:c r="I8" s="24" t="str">
        <x:v>تغير عدد أجهزة نقاط البيع المبلّغ عنها من مارس 2025 إلى يونيو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Jun-2026</x:v>
      </x:c>
      <x:c r="E9" s="24" t="n">
        <x:v>2.431565814098565</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and May 2026 source-displayed growth rates conflict with raw totals; raw totals and both contradictions remain visible, and no change is derived for April to May 2026.</x:v>
      </x:c>
    </x:row>
    <x:row r="10">
      <x:c r="A10" s="24" t="str">
        <x:v>DA-005</x:v>
      </x:c>
      <x:c r="B10" s="24" t="str">
        <x:v>Payments</x:v>
      </x:c>
      <x:c r="C10" s="24" t="str">
        <x:v>POS transaction-value change</x:v>
      </x:c>
      <x:c r="D10" s="24" t="str">
        <x:v>Mar-2025 to Jun-2026</x:v>
      </x:c>
      <x:c r="E10" s="24" t="n">
        <x:v>2.265625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التحويلات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1,651 in Jun-2026, while monthly POS transactions rose, not steadily, from 8,015 to 27,504 (high of 36,201 in May-2026).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counts—100 companies, 231 individual establishments and 111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100 companies, 231 establishments and 111 remittance agents (442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382→442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CTR-013</x:v>
      </x:c>
      <x:c r="B120" s="24" t="str">
        <x:v>CBY POS terminals</x:v>
      </x:c>
      <x:c r="C120" s="24" t="str">
        <x:v>2026-04 → 2026-05</x:v>
      </x:c>
      <x:c r="D120" s="24" t="str">
        <x:v>Source-displayed +2.4% versus raw totals 1,583 → 1,636</x:v>
      </x:c>
      <x:c r="E120" s="24" t="str">
        <x:v>RAW_TOTALS_AND_DISPLAYED_GROWTH_CONFLICT</x:v>
      </x:c>
      <x:c r="F120" s="24" t="str">
        <x:v>PRESERVE_TOTALS_AND_DISPLAYED__NO_DERIVED_CHANGE</x:v>
      </x:c>
      <x:c r="G120" s="24" t="str">
        <x:v>The published totals and the displayed +2.4% are shown; no change is derived for this month because the source contradicts itself (owner note, 3 October 2026).</x:v>
      </x:c>
      <x:c r="H120" s="24" t="str">
        <x:v>/payments</x:v>
      </x:c>
    </x:row>
    <x:row r="121">
      <x:c r="A121" s="24" t="str">
        <x:v>CTR-014</x:v>
      </x:c>
      <x:c r="B121" s="24" t="str">
        <x:v>CBY POS transactions</x:v>
      </x:c>
      <x:c r="C121" s="24" t="str">
        <x:v>2026-04 → 2026-05</x:v>
      </x:c>
      <x:c r="D121" s="24" t="str">
        <x:v>Source-displayed +9.9% versus raw totals 30,559 → 36,201</x:v>
      </x:c>
      <x:c r="E121" s="24" t="str">
        <x:v>RAW_TOTALS_AND_DISPLAYED_GROWTH_CONFLICT</x:v>
      </x:c>
      <x:c r="F121" s="24" t="str">
        <x:v>PRESERVE_TOTALS_AND_DISPLAYED__NO_DERIVED_CHANGE</x:v>
      </x:c>
      <x:c r="G121" s="24" t="str">
        <x:v>The published totals and the displayed +9.9% are shown; no change is derived for this month because the source contradicts itself (owner note, 3 October 2026).</x:v>
      </x:c>
      <x:c r="H121" s="24" t="str">
        <x:v>/payments</x:v>
      </x:c>
    </x:row>
    <x:row r="122">
      <x:c r="A122" s="24" t="str">
        <x:v>CON-032</x:v>
      </x:c>
      <x:c r="B122" s="24" t="str">
        <x:v>CBY foreign-currency deposit ratio denominator</x:v>
      </x:c>
      <x:c r="C122" s="24" t="str">
        <x:v>2024→2025</x:v>
      </x:c>
      <x:c r="D122" s="24" t="str">
        <x:v>Consolidated-bank deposit section reports 77.6%→68.2%; monetary-survey table reports 78.4%→71.0% under a similarly labelled ratio.</x:v>
      </x:c>
      <x:c r="E122" s="24" t="str">
        <x:v>DENOMINATOR_OR_INSTITUTIONAL_CONCEPT_DIFFERENCE</x:v>
      </x:c>
      <x:c r="F122" s="24" t="str">
        <x:v>PRESERVE_BOTH__MAP_DENOMINATORS_BEFORE_MERGE</x:v>
      </x:c>
      <x:c r="G122" s="24" t="str">
        <x:v>Show each ratio only with its source table/universe and denominator note.</x:v>
      </x:c>
      <x:c r="H122" s="24" t="str">
        <x:v>/system + /evidence/compare</x:v>
      </x:c>
      <x:c r="I122"/>
      <x:c r="J122"/>
      <x:c r="K122"/>
    </x:row>
    <x:row r="123">
      <x:c r="A123" s="24" t="str">
        <x:v>CON-033</x:v>
      </x:c>
      <x:c r="B123" s="24" t="str">
        <x:v>CBY publication streams / direct accessibility</x:v>
      </x:c>
      <x:c r="C123" s="24" t="str">
        <x:v>historical + 2024 + review 2026-09-10</x:v>
      </x:c>
      <x:c r="D123" s="24" t="str">
        <x:v>CBY-Aden indexed corpus is directly accessible; other historical/Sana'a-issued evidence is locatable through attested primary locators, institutional reproductions or mirrors while direct centralbank.gov.ye access is unresolved.</x:v>
      </x:c>
      <x:c r="E123" s="24" t="str">
        <x:v>SOURCE_STREAM_ACCESS_NOT_EVIDENCE_ABSENCE</x:v>
      </x:c>
      <x:c r="F123" s="24" t="str">
        <x:v>KEEP_ISSUER_STREAM_CUSTODY_SCOPE_SEPARATE</x:v>
      </x:c>
      <x:c r="G123" s="24" t="str">
        <x:v>Access failure may be shown as access/custody state; never as proof that evidence does not exist.</x:v>
      </x:c>
      <x:c r="H123" s="24" t="str">
        <x:v>/evidence + /methodology</x:v>
      </x:c>
      <x:c r="I123"/>
      <x:c r="J123"/>
      <x:c r="K123"/>
    </x:row>
    <x:row r="124">
      <x:c r="A124" s="24" t="str">
        <x:v>CON-034</x:v>
      </x:c>
      <x:c r="B124" s="24" t="str">
        <x:v>CBY long-run statistical methodology vintages</x:v>
      </x:c>
      <x:c r="C124" s="24" t="str">
        <x:v>from 2008-08 / 2014-11 / later revisions</x:v>
      </x:c>
      <x:c r="D124" s="24" t="str">
        <x:v>Historical bulletin methodology/presentation changes coexist with newer methodology revisions in later reporting.</x:v>
      </x:c>
      <x:c r="E124" s="24" t="str">
        <x:v>METHODOLOGY_VINTAGE_BREAKS</x:v>
      </x:c>
      <x:c r="F124" s="24" t="str">
        <x:v>VERSION_SERIES_SEGMENTS__NO_SMOOTH_JOIN</x:v>
      </x:c>
      <x:c r="G124" s="24" t="str">
        <x:v>Long-run charts require method-vintage markers and indicator-level comparability checks.</x:v>
      </x:c>
      <x:c r="H124" s="24" t="str">
        <x:v>/system + /methodology</x:v>
      </x:c>
      <x:c r="I124"/>
      <x:c r="J124"/>
      <x:c r="K124"/>
    </x:row>
    <x:row r="125">
      <x:c r="A125" s="24" t="str">
        <x:v>CON-035</x:v>
      </x:c>
      <x:c r="B125" s="24" t="str">
        <x:v>CBY bilingual/mixed-layout PDF extraction order</x:v>
      </x:c>
      <x:c r="C125" s="24" t="str">
        <x:v>corpus-wide</x:v>
      </x:c>
      <x:c r="D125" s="24" t="str">
        <x:v>Text extraction order in some Arabic/English tables can differ from visual column order, creating year/value inversion risk.</x:v>
      </x:c>
      <x:c r="E125" s="24" t="str">
        <x:v>EXTRACTION_ORDER_RISK</x:v>
      </x:c>
      <x:c r="F125" s="24" t="str">
        <x:v>VERIFY_TABLE_HEADER_NARRATIVE_AND_VISUAL_CONTEXT</x:v>
      </x:c>
      <x:c r="G125" s="24" t="str">
        <x:v>Ambiguous parsed tables remain HOLD until visual/context verification resolves value assignment.</x:v>
      </x:c>
      <x:c r="H125" s="24" t="str">
        <x:v>internal evidence QA + /methodology</x:v>
      </x:c>
      <x:c r="I125"/>
      <x:c r="J125"/>
      <x:c r="K125"/>
    </x:row>
    <x:row r="126">
      <x:c r="A126" s="24" t="str">
        <x:v>CON-036</x:v>
      </x:c>
      <x:c r="B126" s="24" t="str">
        <x:v>CBY series-specific freshness</x:v>
      </x:c>
      <x:c r="C126" s="24" t="str">
        <x:v>reviewed 2026-10-03</x:v>
      </x:c>
      <x:c r="D126" s="24" t="str">
        <x:v>Monthly monetary/financial index reaches May-2026 while monthly POS reaches Jun-2026 (Arabic page; English page Jan-2026); annual/snapshot products have other vintages.</x:v>
      </x:c>
      <x:c r="E126" s="24" t="str">
        <x:v>TEMPORAL_CURRENTNESS_NOT_ERROR</x:v>
      </x:c>
      <x:c r="F126" s="24" t="str">
        <x:v>STORE_CURRENTNESS_PER_SERIES_OBJECT</x:v>
      </x:c>
      <x:c r="G126" s="24" t="str">
        <x:v>Use exact observation/publication/review dates; never inherit freshness from publisher-level labels.</x:v>
      </x:c>
      <x:c r="H126" s="24" t="str">
        <x:v>/evidence + /methodology</x:v>
      </x:c>
      <x:c r="I126"/>
      <x:c r="J126"/>
      <x:c r="K126"/>
    </x:row>
    <x:row r="127">
      <x:c r="A127" s="24" t="str">
        <x:v>CON-037</x:v>
      </x:c>
      <x:c r="B127" s="24" t="str">
        <x:v>Exchange Law number / source identity</x:v>
      </x:c>
      <x:c r="C127" s="24" t="str">
        <x:v>1995 law; current CBY hosting and 2026 enforcement citations</x:v>
      </x:c>
      <x:c r="D127" s="24" t="str">
        <x:v>CBY-hosted law PDF title identifies Decree-Law No. 20/1995, while current 2026 CBY decisions cite Law No. 19/1995 amended by Decree No. 15/1996; government legal index corroborates 19/1995.</x:v>
      </x:c>
      <x:c r="E127" s="24" t="str">
        <x:v>LEGAL_SOURCE_IDENTITY_CONFLICT</x:v>
      </x:c>
      <x:c r="F127" s="24" t="str">
        <x:v>PRESERVE_HOSTED_IDENTITY_AND_CURRENT_CITATION__GAZETTE_RESOLUTION_REQUIRED</x:v>
      </x:c>
      <x:c r="G127" s="24" t="str">
        <x:v>Show the discrepancy if the legal citation matters; do not silently rewrite the hosted source.</x:v>
      </x:c>
      <x:c r="H127" s="24" t="str">
        <x:v>/providers + /payments/remittances + /reforms/regulation + /evidence/compare</x:v>
      </x:c>
      <x:c r="I127"/>
      <x:c r="J127"/>
      <x:c r="K127"/>
    </x:row>
    <x:row r="128">
      <x:c r="A128" s="24" t="str">
        <x:v>CON-038</x:v>
      </x:c>
      <x:c r="B128" s="24" t="str">
        <x:v>Deposit Insurance Corporation Law number</x:v>
      </x:c>
      <x:c r="C128" s="24" t="str">
        <x:v>2008</x:v>
      </x:c>
      <x:c r="D128" s="24" t="str">
        <x:v>CBY lists/hosts the law; Ministry of Justice public registry identifies Law No. 21/2008 while another government legal library identifies Law No. 40/2008.</x:v>
      </x:c>
      <x:c r="E128" s="24" t="str">
        <x:v>CROSS_GOVERNMENT_LEGAL_IDENTITY_CONFLICT</x:v>
      </x:c>
      <x:c r="F128" s="24" t="str">
        <x:v>HOLD_DEFINITIVE_LAW_NUMBER__VERIFY_GAZETTE_OR_AUTHORITATIVE_SCAN</x:v>
      </x:c>
      <x:c r="G128" s="24" t="str">
        <x:v>Existence may be stated; definitive number and operative clauses remain held until source identity is resolved.</x:v>
      </x:c>
      <x:c r="H128" s="24" t="str">
        <x:v>/reforms/regulation + /system + /evidence/compare</x:v>
      </x:c>
      <x:c r="I128"/>
      <x:c r="J128"/>
      <x:c r="K128"/>
    </x:row>
    <x:row r="129">
      <x:c r="A129" s="24" t="str">
        <x:v>CON-039</x:v>
      </x:c>
      <x:c r="B129" s="24" t="str">
        <x:v>CBY static web-page availability versus content vintage</x:v>
      </x:c>
      <x:c r="C129" s="24" t="str">
        <x:v>review 2026-09-10</x:v>
      </x:c>
      <x:c r="D129" s="24" t="str">
        <x:v>Official static pages are accessible at review time but several do not display a publication/effective date; some use current-tense language.</x:v>
      </x:c>
      <x:c r="E129" s="24" t="str">
        <x:v>TEMPORAL_METADATA_AMBIGUITY</x:v>
      </x:c>
      <x:c r="F129" s="24" t="str">
        <x:v>SEPARATE_RETRIEVAL_REVIEW_DATE_FROM_CONTENT_EFFECTIVE_DATE</x:v>
      </x:c>
      <x:c r="G129" s="24" t="str">
        <x:v>Attribute page-described state and show review date; do not present as a dated 2026 operating observation without corroboration.</x:v>
      </x:c>
      <x:c r="H129" s="24" t="str">
        <x:v>/methodology + affected domain routes</x:v>
      </x:c>
      <x:c r="I129"/>
      <x:c r="J129"/>
      <x:c r="K129"/>
    </x:row>
    <x:row r="130">
      <x:c r="A130" s="24" t="str">
        <x:v>CON-040</x:v>
      </x:c>
      <x:c r="B130" s="24" t="str">
        <x:v>CBY annual-report same-year value revisions</x:v>
      </x:c>
      <x:c r="C130" s="24" t="str">
        <x:v>2022–2025 annual-report vintages</x:v>
      </x:c>
      <x:c r="D130" s="24" t="str">
        <x:v>Successive CBY annual reports can publish materially different values for the same reference year across remittances and selected banking stocks.</x:v>
      </x:c>
      <x:c r="E130" s="24" t="str">
        <x:v>PUBLICATION_VINTAGE_REVISION</x:v>
      </x:c>
      <x:c r="F130" s="24" t="str">
        <x:v>PRESERVE_REFERENCE_YEAR_PLUS_REPORT_VINTAGE_PLUS_METHOD_BASIS</x:v>
      </x:c>
      <x:c r="G130" s="24" t="str">
        <x:v>Show revision history and latest controlled vintage; do not overwrite or convert revision into time change.</x:v>
      </x:c>
      <x:c r="H130" s="24" t="str">
        <x:v>/system + /payments/remittances + /evidence/compare</x:v>
      </x:c>
      <x:c r="I130"/>
      <x:c r="J130"/>
      <x:c r="K130"/>
    </x:row>
    <x:row r="131">
      <x:c r="A131" s="24" t="str">
        <x:v>CON-041</x:v>
      </x:c>
      <x:c r="B131" s="24" t="str">
        <x:v>CBY workers' remittance annual-report vintages</x:v>
      </x:c>
      <x:c r="C131" s="24" t="str">
        <x:v>2021–2025 reference years</x:v>
      </x:c>
      <x:c r="D131" s="24" t="str">
        <x:v>AR2025 materially restates 2021–2024 remittance levels below AR2024 and produces a much smoother published growth path; exact compilation driver is unresolved.</x:v>
      </x:c>
      <x:c r="E131" s="24" t="str">
        <x:v>SERIES_REVISION__METHOD_DRIVER_OPEN</x:v>
      </x:c>
      <x:c r="F131" s="24" t="str">
        <x:v>PRESERVE_VINTAGES__PUBLISH_PATTERN_NOT_CAUSE</x:v>
      </x:c>
      <x:c r="G131" s="24" t="str">
        <x:v>Both vintage histories may be shown; causal/method explanation remains explicitly open.</x:v>
      </x:c>
      <x:c r="H131" s="24" t="str">
        <x:v>/payments/remittances + /evidence/compare</x:v>
      </x:c>
      <x:c r="I131"/>
      <x:c r="J131"/>
      <x:c r="K131"/>
    </x:row>
    <x:row r="132">
      <x:c r="A132" s="24" t="str">
        <x:v>CON-042</x:v>
      </x:c>
      <x:c r="B132" s="24" t="str">
        <x:v>CBY 2022 consolidated banking values across valuation bases</x:v>
      </x:c>
      <x:c r="C132" s="24" t="str">
        <x:v>2022 reference year / AR2022 vs AR2023+</x:v>
      </x:c>
      <x:c r="D132" s="24" t="str">
        <x:v>AR2023+ restates 2022 banking assets, private loans, deposits and FX deposits above AR2022; AR2023 documents market-exchange-rate valuation of foreign positions from Jan-2023.</x:v>
      </x:c>
      <x:c r="E132" s="24" t="str">
        <x:v>VALUATION_BASIS_BREAK</x:v>
      </x:c>
      <x:c r="F132" s="24" t="str">
        <x:v>SEGMENT_METHOD_VINTAGE__NO_TEMPORAL_GROWTH_FROM_RESTATEMENT</x:v>
      </x:c>
      <x:c r="G132" s="24" t="str">
        <x:v>Same-year restatement may display with method note; economic growth uses method-compatible periods only.</x:v>
      </x:c>
      <x:c r="H132" s="24" t="str">
        <x:v>/system + /firms + /evidence/compare</x:v>
      </x:c>
      <x:c r="I132"/>
      <x:c r="J132"/>
      <x:c r="K132"/>
    </x:row>
    <x:row r="133">
      <x:c r="A133" s="24" t="str">
        <x:v>CON-043</x:v>
      </x:c>
      <x:c r="B133" s="24" t="str">
        <x:v>CBY AR2025 remittance reconstruction versus IMF methodological reconstruction</x:v>
      </x:c>
      <x:c r="C133" s="24" t="str">
        <x:v>2021–2025 / TA 2024–2025</x:v>
      </x:c>
      <x:c r="D133" s="24" t="str">
        <x:v>IMF documents a CBY-linked external-sector statistical rebuild and demographic-behavioral transfer model; CBY AR2025 then materially revises the remittance history. Their normalized 2021–2024 paths are nearly identical while reported levels/scopes differ.</x:v>
      </x:c>
      <x:c r="E133" s="24" t="str">
        <x:v>DOCUMENTED_METHOD_LINK_PLUS_CROSS_SOURCE_TRAJECTORY_CONCORDANCE</x:v>
      </x:c>
      <x:c r="F133" s="24" t="str">
        <x:v>TREAT_METHOD_REBUILD_AS_HIGH_CONFIDENCE_LINK__KEEP_EXACT_CONCEPT_GEOGRAPHY_LEVEL_MAPPING_OPEN</x:v>
      </x:c>
      <x:c r="G133" s="24" t="str">
        <x:v>Publish the method linkage and normalized trajectory diagnostic; do not merge raw levels or reverse-engineer the scaling factor.</x:v>
      </x:c>
      <x:c r="H133" s="24" t="str">
        <x:v>/payments/remittances + /evidence/compare + /methodology</x:v>
      </x:c>
    </x:row>
    <x:row r="134">
      <x:c r="A134" s="24" t="str">
        <x:v>CON-044</x:v>
      </x:c>
      <x:c r="B134" s="24" t="str">
        <x:v>Historical foreign-currency market-rate valuation versus Jan-2023 CBY-Aden change</x:v>
      </x:c>
      <x:c r="C134" s="24" t="str">
        <x:v>1996 historical metadata / 2023 contemporary reporting</x:v>
      </x:c>
      <x:c r="D134" s="24" t="str">
        <x:v>IMF metadata records market-rate valuation of foreign-currency-denominated accounts from Jul-1996, while CBY-Aden AR2023/MFD document a Jan-2023 valuation/reporting change and circular basis.</x:v>
      </x:c>
      <x:c r="E134" s="24" t="str">
        <x:v>METHOD_LINEAGE_NOT_FIRST_USE_CONFLICT</x:v>
      </x:c>
      <x:c r="F134" s="24" t="str">
        <x:v>NARROW_2023_CLAIM__PRESERVE_HISTORICAL_PRECEDENT__VERIFY_LINEAGE</x:v>
      </x:c>
      <x:c r="G134" s="24" t="str">
        <x:v>Use 'contemporary Jan-2023 CBY-Aden change', not 'first use of market rates in Yemen'.</x:v>
      </x:c>
      <x:c r="H134" s="24" t="str">
        <x:v>/system + /firms + /methodology + /evidence/compare</x:v>
      </x:c>
    </x:row>
    <x:row r="135">
      <x:c r="A135" s="24" t="str">
        <x:v>CON-045</x:v>
      </x:c>
      <x:c r="B135" s="24" t="str">
        <x:v>World Bank/WDI Yemen remittance public-interface &amp; access-vintage state</x:v>
      </x:c>
      <x:c r="C135" s="24" t="str">
        <x:v>Different interface/access states reviewed across 2025–2026</x:v>
      </x:c>
      <x:c r="D135"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5" s="24" t="str">
        <x:v>PUBLIC_INTERFACE_AND_ACCESS_VINTAGE_DIVERGENCE</x:v>
      </x:c>
      <x:c r="F135" s="24" t="str">
        <x:v>PRESERVE_EXACT_INTERFACE_URL_INDICATOR_RETRIEVAL_DATE__NO_DATA_ABSENCE_OR_REVISION_CAUSE_INFERENCE</x:v>
      </x:c>
      <x:c r="G135" s="24" t="str">
        <x:v>Each public surface/prior publication may be used as evidence of what it exposed at its access date; underlying dataset history remains a separate question.</x:v>
      </x:c>
      <x:c r="H135" s="24" t="str">
        <x:v>/payments/remittances + /evidence + /methodology</x:v>
      </x:c>
    </x:row>
    <x:row r="136">
      <x:c r="A136" s="24" t="str">
        <x:v>CON-046</x:v>
      </x:c>
      <x:c r="B136" s="24" t="str">
        <x:v>Single CBY↔IMF BOP scalar hypothesis</x:v>
      </x:c>
      <x:c r="C136" s="24" t="str">
        <x:v>2021–2024 overlap</x:v>
      </x:c>
      <x:c r="D136" s="24" t="str">
        <x:v>Remittance ratios are almost constant, but ratios for imports, grants, current account and E&amp;O vary materially; IMF Annex IV documents component-specific reconstruction methods.</x:v>
      </x:c>
      <x:c r="E136" s="24" t="str">
        <x:v>CROSSWALK_HYPOTHESIS_CONTRADICTED_BY_COMPONENTS</x:v>
      </x:c>
      <x:c r="F136" s="24" t="str">
        <x:v>REJECT_GLOBAL_SCALAR__USE_COMPONENT_CROSSWALKS</x:v>
      </x:c>
      <x:c r="G136" s="24" t="str">
        <x:v>A single conversion factor is not supported for the BOP. The remittance fingerprint remains separately open.</x:v>
      </x:c>
      <x:c r="H136" s="24" t="str">
        <x:v>/system;/remittances;/methodology</x:v>
      </x:c>
    </x:row>
    <x:row r="137">
      <x:c r="A137" s="24" t="str">
        <x:v>CON-047</x:v>
      </x:c>
      <x:c r="B137" s="24" t="str">
        <x:v>BOP residual versus hidden-flow interpretation</x:v>
      </x:c>
      <x:c r="C137" s="24" t="str">
        <x:v>2021–2025</x:v>
      </x:c>
      <x:c r="D137" s="24" t="str">
        <x:v>CBY and IMF publish material E&amp;O; BPM accounting treats it as a balancing residual while CCY uses an explicit residual model to estimate remittances.</x:v>
      </x:c>
      <x:c r="E137" s="24" t="str">
        <x:v>RESIDUAL_SEMANTICS_VS_MODEL_IDENTIFICATION</x:v>
      </x:c>
      <x:c r="F137" s="24" t="str">
        <x:v>KEEP_EO_AS_RESIDUAL__TYPE_ANY_ALLOCATION_AS_MODEL</x:v>
      </x:c>
      <x:c r="G137" s="24" t="str">
        <x:v>Show E&amp;O scale and alternative model assumptions separately.</x:v>
      </x:c>
      <x:c r="H137" s="24" t="str">
        <x:v>/system;/remittances;/evidence</x:v>
      </x:c>
    </x:row>
    <x:row r="138">
      <x:c r="A138" s="24" t="str">
        <x:v>CON-048</x:v>
      </x:c>
      <x:c r="B138" s="24" t="str">
        <x:v>CBY capital/financial inflows vs IMF financial account</x:v>
      </x:c>
      <x:c r="C138" s="24" t="str">
        <x:v>2021–2025</x:v>
      </x:c>
      <x:c r="D138" s="24" t="str">
        <x:v>CBY presentation uses inflow language while IMF Table 4 follows a BPM financial-account sign convention and instrument classification.</x:v>
      </x:c>
      <x:c r="E138" s="24" t="str">
        <x:v>SIGN_AND_CLASSIFICATION_NONCOMPARABILITY</x:v>
      </x:c>
      <x:c r="F138" s="24" t="str">
        <x:v>NO_RAW_RATIO_OR_ADDITION_UNTIL_INSTRUMENT_CROSSWALK</x:v>
      </x:c>
      <x:c r="G138" s="24" t="str">
        <x:v>Require XR-012 and the BOP/IIP reconciliation contract.</x:v>
      </x:c>
      <x:c r="H138" s="24" t="str">
        <x:v>/system;/external-sector;/methodology</x:v>
      </x:c>
    </x:row>
    <x:row r="139">
      <x:c r="A139" s="24" t="str">
        <x:v>CON-049</x:v>
      </x:c>
      <x:c r="B139" s="24" t="str">
        <x:v>Current whole-Yemen and IRG external-sector lenses</x:v>
      </x:c>
      <x:c r="C139" s="24" t="str">
        <x:v>2025/2026 publications</x:v>
      </x:c>
      <x:c r="D139" s="24" t="str">
        <x:v>Credible institutions use different geographic/statistical universes for current Yemen external-sector analysis.</x:v>
      </x:c>
      <x:c r="E139" s="24" t="str">
        <x:v>GEOGRAPHIC_SCOPE_DIVERGENCE</x:v>
      </x:c>
      <x:c r="F139" s="24" t="str">
        <x:v>SCOPE_TRAVELS_WITH_EVERY_DATUM</x:v>
      </x:c>
      <x:c r="G139" s="24" t="str">
        <x:v>Parallel lenses can both be valid; do not choose a winner or silently merge.</x:v>
      </x:c>
      <x:c r="H139" s="24" t="str">
        <x:v>/system;/remittances;/methodology</x:v>
      </x:c>
    </x:row>
    <x:row r="140">
      <x:c r="A140" s="24" t="str">
        <x:v>CON-050</x:v>
      </x:c>
      <x:c r="B140" s="24" t="str">
        <x:v>Saudi support parent packages versus child tranches/states</x:v>
      </x:c>
      <x:c r="C140" s="24" t="str">
        <x:v>2010–2026</x:v>
      </x:c>
      <x:c r="D140" s="24" t="str">
        <x:v>Pledges, commitments, deposits, amounts made available, budget disbursements, FX-auction use, in-kind support and project totals can overlap.</x:v>
      </x:c>
      <x:c r="E140" s="24" t="str">
        <x:v>FLOW_STATE_DOUBLE_COUNT_RISK</x:v>
      </x:c>
      <x:c r="F140" s="24" t="str">
        <x:v>PARENT_CHILD_AND_STATE_MUST_BE_EXPLICIT</x:v>
      </x:c>
      <x:c r="G140" s="24" t="str">
        <x:v>Use 190 flow-state ledger; no synthetic additive headline.</x:v>
      </x:c>
      <x:c r="H140" s="24" t="str">
        <x:v>/external-support;/system</x:v>
      </x:c>
    </x:row>
    <x:row r="141">
      <x:c r="A141" s="24" t="str">
        <x:v>CON-051</x:v>
      </x:c>
      <x:c r="B141" s="24" t="str">
        <x:v>Cash programme activity versus durable financial inclusion</x:v>
      </x:c>
      <x:c r="C141" s="24" t="str">
        <x:v>2023–2026 evidence</x:v>
      </x:c>
      <x:c r="D141" s="24" t="str">
        <x:v>Programme delivery, VSLAs/identity targets, local multipliers and payment rails are observed/planned at different stages, but durable post-transfer account/wallet use is not yet established.</x:v>
      </x:c>
      <x:c r="E141" s="24" t="str">
        <x:v>ACTIVITY_ACCESS_USE_OUTCOME_CONFLATION_RISK</x:v>
      </x:c>
      <x:c r="F141" s="24" t="str">
        <x:v>STOP_CLAIM_AT_LAST_EVIDENCED_STAGE</x:v>
      </x:c>
      <x:c r="G141" s="24" t="str">
        <x:v>Use the seven-stage cash→finance proof ladder.</x:v>
      </x:c>
      <x:c r="H141" s="24" t="str">
        <x:v>/cash;/people;/payments</x:v>
      </x:c>
    </x:row>
    <x:row r="142">
      <x:c r="A142" s="24" t="str">
        <x:v>CON-052</x:v>
      </x:c>
      <x:c r="B142" s="24" t="str">
        <x:v>Statistical standard migration</x:v>
      </x:c>
      <x:c r="C142" s="24" t="str">
        <x:v>BPM6-era Yemen evidence vs BPM7 released 2025</x:v>
      </x:c>
      <x:c r="D142" s="24" t="str">
        <x:v>BPM7 is the updated global standard, but country implementation is a multi-year transition; historical Yemen series retain their source-native standard until an explicit bridge/revision exists.</x:v>
      </x:c>
      <x:c r="E142" s="24" t="str">
        <x:v>STANDARD_VERSION_RISK</x:v>
      </x:c>
      <x:c r="F142" s="24" t="str">
        <x:v>VERSION_STANDARD_WITH_SERIES__NO_SILENT_RELABEL</x:v>
      </x:c>
      <x:c r="G142" s="24" t="str">
        <x:v>Create BPM7 migration watch; preserve historical semantics.</x:v>
      </x:c>
      <x:c r="H142" s="24" t="str">
        <x:v>/methodology;/external-sector</x:v>
      </x:c>
    </x:row>
    <x:row r="143">
      <x:c r="A143" s="24" t="str">
        <x:v>CON-053</x:v>
      </x:c>
      <x:c r="B143" s="24" t="str">
        <x:v>IBS electronic-money accounts vs active/unique users</x:v>
      </x:c>
      <x:c r="C143" s="24" t="str">
        <x:v>2016–2019</x:v>
      </x:c>
      <x:c r="D143" s="24" t="str">
        <x:v>IBS Table 3 reports account objects while the same source reports average 23% dormant/inactive in 2019; later literature sometimes relabels counts as active users.</x:v>
      </x:c>
      <x:c r="E143" s="24" t="str">
        <x:v>ACCOUNT_ACTIVITY_PERSON_SEMANTIC_CONFLICT</x:v>
      </x:c>
      <x:c r="F143" s="24" t="str">
        <x:v>ACCOUNT_COUNT_GOVERNS__ACTIVE_AND_PERSON_REQUIRE_SEPARATE_EVIDENCE</x:v>
      </x:c>
      <x:c r="G143" s="24" t="str">
        <x:v>Publish account count only with Evidence Passport and source activity qualifier.</x:v>
      </x:c>
      <x:c r="H143" s="24" t="str">
        <x:v>/payments;/people;/methodology</x:v>
      </x:c>
    </x:row>
    <x:row r="144">
      <x:c r="A144" s="24" t="str">
        <x:v>CON-054</x:v>
      </x:c>
      <x:c r="B144" s="24" t="str">
        <x:v>IBS Table 8 vs secondary 2018 subshares</x:v>
      </x:c>
      <x:c r="C144" s="24" t="n">
        <x:v>2018</x:v>
      </x:c>
      <x:c r="D144" s="24" t="str">
        <x:v>A rounded 95% broad grouping is reproducible, but secondary 9% cash-out and 1% bill/purchase subshares do not reproduce from the evident Table 8 denominator.</x:v>
      </x:c>
      <x:c r="E144" s="24" t="str">
        <x:v>SECONDARY_GROUPING_DENOMINATOR_OPEN</x:v>
      </x:c>
      <x:c r="F144" s="24" t="str">
        <x:v>PRIMARY_TABLE_PLUS_EXPLICIT_DERIVATION_GOVERNS</x:v>
      </x:c>
      <x:c r="G144" s="24" t="str">
        <x:v>Withhold unreproduced subshares; expose calculation if any derived percentage is shown.</x:v>
      </x:c>
      <x:c r="H144" s="24" t="str">
        <x:v>/payments;/evidence/compare</x:v>
      </x:c>
    </x:row>
    <x:row r="145">
      <x:c r="A145" s="24" t="str">
        <x:v>CON-055</x:v>
      </x:c>
      <x:c r="B145" s="24" t="str">
        <x:v>IBS 2017 transaction-value total vs Arabic secondary transcription</x:v>
      </x:c>
      <x:c r="C145" s="24" t="n">
        <x:v>2017</x:v>
      </x:c>
      <x:c r="D145" s="24" t="str">
        <x:v>Original category arithmetic supports YER 11,393,123,266 while a later Arabic footnote shows 113,393,123,266.</x:v>
      </x:c>
      <x:c r="E145" s="24" t="str">
        <x:v>SECONDARY_TRANSCRIPTION_ERROR</x:v>
      </x:c>
      <x:c r="F145" s="24" t="str">
        <x:v>PRIMARY_TABLE_ARITHMETIC_GOVERNS</x:v>
      </x:c>
      <x:c r="G145" s="24" t="str">
        <x:v>Use 11.393bn; retain extra-digit form only as discrepancy evidence.</x:v>
      </x:c>
      <x:c r="H145" s="24" t="str">
        <x:v>/payments;/evidence/compare</x:v>
      </x:c>
    </x:row>
    <x:row r="146">
      <x:c r="A146" s="24" t="str">
        <x:v>CON-056</x:v>
      </x:c>
      <x:c r="B146" s="24" t="str">
        <x:v>IBS provider gender distribution vs 611-user survey composition</x:v>
      </x:c>
      <x:c r="C146" s="24" t="str">
        <x:v>2016–2019</x:v>
      </x:c>
      <x:c r="D146" s="24" t="str">
        <x:v>Provider/account-user average is 87% male/13% female, whereas the study's 611-user sample is 73.5% male/26.5% female.</x:v>
      </x:c>
      <x:c r="E146" s="24" t="str">
        <x:v>DIFFERENT_UNIVERSE_METHOD_NOT_CONTRADICTION</x:v>
      </x:c>
      <x:c r="F146" s="24" t="str">
        <x:v>TYPE_AND_DISPLAY_SEPARATELY</x:v>
      </x:c>
      <x:c r="G146" s="24" t="str">
        <x:v>Never blend or use either as national adult gender prevalence.</x:v>
      </x:c>
      <x:c r="H146" s="24" t="str">
        <x:v>/people;/payments;/methodology</x:v>
      </x:c>
    </x:row>
    <x:row r="147">
      <x:c r="A147" s="24" t="str">
        <x:v>CON-057</x:v>
      </x:c>
      <x:c r="B147" s="24" t="str">
        <x:v>Al-Kuraimi 91% concentration metric</x:v>
      </x:c>
      <x:c r="C147" s="24" t="str">
        <x:v>2023 state / 2024 vs 2025 publications</x:v>
      </x:c>
      <x:c r="D147"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7" s="24" t="str">
        <x:v>SEMANTIC_HIERARCHY_RESOLVED__2023_CALCULATION_OPEN</x:v>
      </x:c>
      <x:c r="F147" s="24" t="str">
        <x:v>ALLOW_SOURCE_ATTRIBUTED_GROWTH_SHARE_WITH_CALCULATION_OPEN__WITHHOLD_2023_STOCK_SHARE</x:v>
      </x:c>
      <x:c r="G147" s="24" t="str">
        <x:v>Show 91% only as source-attributed saver-growth share with calculation-open badge; show the 2025 stock-share wording only as an unsupported later restatement until primary 2023 numerator/denominator or correction is recovered.</x:v>
      </x:c>
      <x:c r="H147" s="24" t="str">
        <x:v>/finance/microfinance;/evidence/compare</x:v>
      </x:c>
    </x:row>
    <x:row r="148">
      <x:c r="A148" s="24" t="str">
        <x:v>CON-058</x:v>
      </x:c>
      <x:c r="B148" s="24" t="str">
        <x:v>Active borrowers June vs end-2023</x:v>
      </x:c>
      <x:c r="C148" s="24" t="str">
        <x:v>2023-06 vs 2023 end</x:v>
      </x:c>
      <x:c r="D148" s="24" t="str">
        <x:v>A 2024 social-protection paper reports ~80,800 active borrowers by June 2023 citing MoPIC Issue 80; a separate 2024 MFB paper reports 78,686 by end-2023 citing the SFD/SMED archive.</x:v>
      </x:c>
      <x:c r="E148" s="24" t="str">
        <x:v>DIFFERENT_PERIOD_AND_SOURCE_CHAIN_NOT_CONTRADICTION</x:v>
      </x:c>
      <x:c r="F148" s="24" t="str">
        <x:v>TYPE_AS_SEPARATE_OBSERVATIONS__NO_WITHIN_YEAR_CHANGE_WITHOUT_UNIVERSE_BRIDGE</x:v>
      </x:c>
      <x:c r="G148" s="24" t="str">
        <x:v>Both may be shown as bounded period-specific observations, but not connected as a trend line until source universes are reconciled.</x:v>
      </x:c>
      <x:c r="H148" s="24" t="str">
        <x:v>/finance/microfinance;/evidence-clock</x:v>
      </x:c>
    </x:row>
    <x:row r="149">
      <x:c r="A149" s="24" t="str">
        <x:v>CON-059</x:v>
      </x:c>
      <x:c r="B149" s="24" t="str">
        <x:v>2023 saver concentration semantics</x:v>
      </x:c>
      <x:c r="C149" s="24" t="str">
        <x:v>2016–2023 wording / 2023 endpoint</x:v>
      </x:c>
      <x:c r="D149" s="24" t="str">
        <x:v>The 2024 paper reports 3.3m active MFB savers in 2023 and 96% vs 4% shares 'between 2016 and 2023', but the accessible prose does not establish whether 96/4 is a 2023 stock split, a period-average, or another aggregation.</x:v>
      </x:c>
      <x:c r="E149" s="24" t="str">
        <x:v>PERIOD_DENOMINATOR_AMBIGUITY</x:v>
      </x:c>
      <x:c r="F149" s="24" t="str">
        <x:v>ALLOW_3.3M_AS_BOUNDED_SOURCE_OBJECT__WITHHOLD_EXACT_96_4_PUBLIC_SPLIT</x:v>
      </x:c>
      <x:c r="G149" s="24" t="str">
        <x:v>Use saver scale only with object-definition warning; precise 96/4 concentration chart remains held.</x:v>
      </x:c>
      <x:c r="H149" s="24" t="str">
        <x:v>/finance/microfinance;/people;/evidence/compare</x:v>
      </x:c>
    </x:row>
    <x:row r="152">
      <x:c r="A152" s="70" t="str">
        <x:v>Metric crosswalk</x:v>
      </x:c>
      <x:c r="B152" s="70"/>
      <x:c r="C152" s="70"/>
      <x:c r="D152" s="70"/>
      <x:c r="E152" s="70"/>
      <x:c r="F152" s="70"/>
      <x:c r="G152" s="70"/>
      <x:c r="H152" s="70"/>
      <x:c r="I152" s="70"/>
      <x:c r="J152" s="70"/>
      <x:c r="K152" s="70"/>
      <x:c r="L152" s="70"/>
      <x:c r="M152" s="70"/>
      <x:c r="N152" s="70"/>
    </x:row>
    <x:row r="153">
      <x:c r="A153" s="73" t="str">
        <x:v>crosswalk_id</x:v>
      </x:c>
      <x:c r="B153" s="73" t="str">
        <x:v>concept</x:v>
      </x:c>
      <x:c r="C153" s="73" t="str">
        <x:v>project_state</x:v>
      </x:c>
      <x:c r="D153" s="73" t="str">
        <x:v>project_year</x:v>
      </x:c>
      <x:c r="E153" s="73" t="str">
        <x:v>project_value</x:v>
      </x:c>
      <x:c r="F153" s="73" t="str">
        <x:v>project_unit</x:v>
      </x:c>
      <x:c r="G153" s="73" t="str">
        <x:v>related_admin_metric</x:v>
      </x:c>
      <x:c r="H153" s="73" t="str">
        <x:v>admin_year</x:v>
      </x:c>
      <x:c r="I153" s="73" t="str">
        <x:v>admin_value</x:v>
      </x:c>
      <x:c r="J153" s="73" t="str">
        <x:v>admin_unit</x:v>
      </x:c>
      <x:c r="K153" s="73" t="str">
        <x:v>compatibility_state</x:v>
      </x:c>
      <x:c r="L153" s="73" t="str">
        <x:v>use_rule</x:v>
      </x:c>
      <x:c r="M153" s="73" t="str">
        <x:v>project_source</x:v>
      </x:c>
      <x:c r="N153" s="73" t="str">
        <x:v>admin_source</x:v>
      </x:c>
    </x:row>
    <x:row r="154">
      <x:c r="A154" s="24" t="str">
        <x:v>XW-FMIIP-001</x:v>
      </x:c>
      <x:c r="B154" s="24" t="str">
        <x:v>Active bank accounts</x:v>
      </x:c>
      <x:c r="C154" s="24" t="str">
        <x:v>FMIIP baseline</x:v>
      </x:c>
      <x:c r="D154" s="24" t="n">
        <x:v>2025</x:v>
      </x:c>
      <x:c r="E154" s="24" t="n">
        <x:v>1062441</x:v>
      </x:c>
      <x:c r="F154" s="24" t="str">
        <x:v>accounts</x:v>
      </x:c>
      <x:c r="G154" s="24" t="str">
        <x:v>CBY H1 2025 reported accounts</x:v>
      </x:c>
      <x:c r="H154" s="24" t="n">
        <x:v>2025</x:v>
      </x:c>
      <x:c r="I154" s="24" t="n">
        <x:v>5202019</x:v>
      </x:c>
      <x:c r="J154" s="24" t="str">
        <x:v>accounts</x:v>
      </x:c>
      <x:c r="K154" s="24" t="str">
        <x:v>NOT_DIRECTLY_COMPARABLE__ACTIVE_DEFINITION_AND_UNIVERSE_UNRESOLVED</x:v>
      </x:c>
      <x:c r="L154" s="24" t="str">
        <x:v>Do not reconcile or ratio. Treat as a definitions problem requiring metadata/source-owner clarification.</x:v>
      </x:c>
      <x:c r="M154" s="24" t="str">
        <x:v>https://www.undp.org/yemen/projects/yemen-financial-market-infrastructure-and-inclusion-project</x:v>
      </x:c>
      <x:c r="N154" s="24" t="str">
        <x:v>https://www.cby-ye.com/files/693a7845e7f26.pdf</x:v>
      </x:c>
    </x:row>
    <x:row r="155">
      <x:c r="A155" s="24" t="str">
        <x:v>XW-FMIIP-002</x:v>
      </x:c>
      <x:c r="B155" s="24" t="str">
        <x:v>Active e-wallet accounts</x:v>
      </x:c>
      <x:c r="C155" s="24" t="str">
        <x:v>FMIIP baseline</x:v>
      </x:c>
      <x:c r="D155" s="24" t="n">
        <x:v>2025</x:v>
      </x:c>
      <x:c r="E155" s="24" t="n">
        <x:v>375252</x:v>
      </x:c>
      <x:c r="F155" s="24" t="str">
        <x:v>active e-wallet accounts</x:v>
      </x:c>
      <x:c r="G155" s="24" t="str">
        <x:v>CBY H1 2025 e-wallet subscribers</x:v>
      </x:c>
      <x:c r="H155" s="24" t="n">
        <x:v>2025</x:v>
      </x:c>
      <x:c r="I155" s="24" t="n">
        <x:v>2102484</x:v>
      </x:c>
      <x:c r="J155" s="24" t="str">
        <x:v>subscribers</x:v>
      </x:c>
      <x:c r="K155" s="24" t="str">
        <x:v>NOT_SAME_METRIC</x:v>
      </x:c>
      <x:c r="L155" s="24" t="str">
        <x:v>Subscribers are not active e-wallet accounts. Never use one as the denominator/numerator of the other.</x:v>
      </x:c>
      <x:c r="M155" s="24" t="str">
        <x:v>https://www.undp.org/yemen/projects/yemen-financial-market-infrastructure-and-inclusion-project</x:v>
      </x:c>
      <x:c r="N155" s="24" t="str">
        <x:v>https://www.cby-ye.com/files/693a7845e7f26.pdf</x:v>
      </x:c>
    </x:row>
    <x:row r="156">
      <x:c r="A156" s="24" t="str">
        <x:v>XW-FMIIP-003</x:v>
      </x:c>
      <x:c r="B156" s="24" t="str">
        <x:v>Merchants accepting electronic payments</x:v>
      </x:c>
      <x:c r="C156" s="24" t="str">
        <x:v>FMIIP baseline</x:v>
      </x:c>
      <x:c r="D156" s="24" t="n">
        <x:v>2025</x:v>
      </x:c>
      <x:c r="E156" s="24" t="n">
        <x:v>170</x:v>
      </x:c>
      <x:c r="F156" s="24" t="str">
        <x:v>merchants</x:v>
      </x:c>
      <x:c r="G156" s="24" t="str">
        <x:v>CBY June 2025 POS terminals</x:v>
      </x:c>
      <x:c r="H156" s="24" t="n">
        <x:v>2025</x:v>
      </x:c>
      <x:c r="I156" s="24" t="n">
        <x:v>791</x:v>
      </x:c>
      <x:c r="J156" s="24" t="str">
        <x:v>POS terminals</x:v>
      </x:c>
      <x:c r="K156" s="24" t="str">
        <x:v>NOT_SAME_UNIT</x:v>
      </x:c>
      <x:c r="L156" s="24" t="str">
        <x:v>A merchant can have zero/one/multiple terminals; POS count does not equal merchant count.</x:v>
      </x:c>
      <x:c r="M156" s="24" t="str">
        <x:v>https://www.undp.org/yemen/projects/yemen-financial-market-infrastructure-and-inclusion-project</x:v>
      </x:c>
      <x:c r="N156" s="24" t="str">
        <x:v>https://www.cby-ye.com/files/693a7845e7f26.pdf</x:v>
      </x:c>
    </x:row>
    <x:row r="157">
      <x:c r="A157" s="24" t="str">
        <x:v>XW-FMIIP-004</x:v>
      </x:c>
      <x:c r="B157" s="24" t="str">
        <x:v>Beneficiaries receiving/making electronic payments</x:v>
      </x:c>
      <x:c r="C157" s="24" t="str">
        <x:v>FMIIP baseline</x:v>
      </x:c>
      <x:c r="D157" s="24" t="n">
        <x:v>2025</x:v>
      </x:c>
      <x:c r="E157" s="24" t="n">
        <x:v>10761</x:v>
      </x:c>
      <x:c r="F157" s="24" t="str">
        <x:v>beneficiaries</x:v>
      </x:c>
      <x:c r="G157" s="24" t="str">
        <x:v>CBY H1 2025 POS transactions</x:v>
      </x:c>
      <x:c r="H157" s="24" t="n">
        <x:v>2025</x:v>
      </x:c>
      <x:c r="I157" s="24" t="n">
        <x:v>58512</x:v>
      </x:c>
      <x:c r="J157" s="24" t="str">
        <x:v>transactions</x:v>
      </x:c>
      <x:c r="K157" s="24" t="str">
        <x:v>NOT_SAME_UNIT</x:v>
      </x:c>
      <x:c r="L157" s="24" t="str">
        <x:v>Transactions are events; beneficiaries are people/entities. Never convert without unique-ID methodology.</x:v>
      </x:c>
      <x:c r="M157" s="24" t="str">
        <x:v>https://www.undp.org/yemen/projects/yemen-financial-market-infrastructure-and-inclusion-project</x:v>
      </x:c>
      <x:c r="N157" s="24" t="str">
        <x:v>https://www.cby-ye.com/files/693a7845e7f26.pdf</x:v>
      </x:c>
    </x:row>
    <x:row r="158">
      <x:c r="A158" s="24" t="str">
        <x:v>XW-FMIIP-005</x:v>
      </x:c>
      <x:c r="B158" s="24" t="str">
        <x:v>Financial access points</x:v>
      </x:c>
      <x:c r="C158" s="24" t="str">
        <x:v>FMIIP target</x:v>
      </x:c>
      <x:c r="D158" s="24" t="n">
        <x:v>2030</x:v>
      </x:c>
      <x:c r="E158" s="24" t="n">
        <x:v>1021</x:v>
      </x:c>
      <x:c r="F158" s="24" t="str">
        <x:v>access points</x:v>
      </x:c>
      <x:c r="G158" s="24" t="str">
        <x:v>CBY H1 2025 ATMs and POS</x:v>
      </x:c>
      <x:c r="H158" s="24" t="n">
        <x:v>2025</x:v>
      </x:c>
      <x:c r="I158" s="24"/>
      <x:c r="J158" s="24" t="str">
        <x:v>multiple infrastructure objects</x:v>
      </x:c>
      <x:c r="K158" s="24" t="str">
        <x:v>NO_VALID_ADDITIVE_CROSSWALK</x:v>
      </x:c>
      <x:c r="L158" s="24" t="str">
        <x:v>Do not add ATMs + POS + agents unless FMIIP access-point taxonomy and deduplication rules explicitly permit it.</x:v>
      </x:c>
      <x:c r="M158" s="24" t="str">
        <x:v>https://www.undp.org/yemen/projects/yemen-financial-market-infrastructure-and-inclusion-project</x:v>
      </x:c>
      <x:c r="N158" s="24" t="str">
        <x:v>https://www.cby-ye.com/files/693a7845e7f26.pdf</x:v>
      </x:c>
    </x:row>
    <x:row r="159">
      <x:c r="A159" s="24" t="str">
        <x:v>XW-WALLET-001</x:v>
      </x:c>
      <x:c r="B159" s="24" t="str">
        <x:v>Wallet provider count</x:v>
      </x:c>
      <x:c r="C159" s="24" t="str">
        <x:v>CBY payment report</x:v>
      </x:c>
      <x:c r="D159" s="24" t="n">
        <x:v>2024</x:v>
      </x:c>
      <x:c r="E159" s="24" t="n">
        <x:v>7</x:v>
      </x:c>
      <x:c r="F159" s="24" t="str">
        <x:v>e-wallets</x:v>
      </x:c>
      <x:c r="G159" s="24" t="str">
        <x:v>CBY H1 payment report</x:v>
      </x:c>
      <x:c r="H159" s="24" t="n">
        <x:v>2025</x:v>
      </x:c>
      <x:c r="I159" s="24" t="n">
        <x:v>9</x:v>
      </x:c>
      <x:c r="J159" s="24" t="str">
        <x:v>e-wallets</x:v>
      </x:c>
      <x:c r="K159" s="24" t="str">
        <x:v>NOT_YET_PROVEN_SAME_UNIVERSE</x:v>
      </x:c>
      <x:c r="L159" s="24" t="str">
        <x:v>Keep as separate dated administrative counts; no growth calculation.</x:v>
      </x:c>
      <x:c r="M159" s="24" t="str">
        <x:v>https://www.cby-ye.com/files/677c2e75a4d8c.pdf</x:v>
      </x:c>
      <x:c r="N159" s="24" t="str">
        <x:v>https://www.cby-ye.com/files/693a7845e7f26.pdf</x:v>
      </x:c>
    </x:row>
    <x:row r="160">
      <x:c r="A160" s="24" t="str">
        <x:v>XW-WALLET-002</x:v>
      </x:c>
      <x:c r="B160" s="24" t="str">
        <x:v>Wallet provider count</x:v>
      </x:c>
      <x:c r="C160" s="24" t="str">
        <x:v>CBY H1 payment report</x:v>
      </x:c>
      <x:c r="D160" s="24" t="n">
        <x:v>2025</x:v>
      </x:c>
      <x:c r="E160" s="24" t="n">
        <x:v>9</x:v>
      </x:c>
      <x:c r="F160" s="24" t="str">
        <x:v>e-wallets</x:v>
      </x:c>
      <x:c r="G160" s="24" t="str">
        <x:v>CBY Governor workshop statement</x:v>
      </x:c>
      <x:c r="H160" s="24" t="n">
        <x:v>2025</x:v>
      </x:c>
      <x:c r="I160" s="24" t="n">
        <x:v>8</x:v>
      </x:c>
      <x:c r="J160" s="24" t="str">
        <x:v>licensed e-wallets</x:v>
      </x:c>
      <x:c r="K160" s="24" t="str">
        <x:v>NOT_SAME_WORDING_OR_REFERENCE_DATE</x:v>
      </x:c>
      <x:c r="L160" s="24" t="str">
        <x:v>Administrative 'number of e-wallets' and dated 'licensed e-wallets' statement cannot be reconciled without provider definitions/names.</x:v>
      </x:c>
      <x:c r="M160" s="24" t="str">
        <x:v>https://www.cby-ye.com/files/693a7845e7f26.pdf</x:v>
      </x:c>
      <x:c r="N160" s="24" t="str">
        <x:v>https://cby-ye.com/news/876</x:v>
      </x:c>
    </x:row>
    <x:row r="161">
      <x:c r="A161" s="24" t="str">
        <x:v>XW-WALLET-003</x:v>
      </x:c>
      <x:c r="B161" s="24" t="str">
        <x:v>Wallet provider count</x:v>
      </x:c>
      <x:c r="C161" s="24" t="str">
        <x:v>CBY Governor workshop statement</x:v>
      </x:c>
      <x:c r="D161" s="24" t="n">
        <x:v>2025</x:v>
      </x:c>
      <x:c r="E161" s="24" t="n">
        <x:v>8</x:v>
      </x:c>
      <x:c r="F161" s="24" t="str">
        <x:v>licensed e-wallets</x:v>
      </x:c>
      <x:c r="G161" s="24" t="str">
        <x:v>CBY digital-payment exhibition</x:v>
      </x:c>
      <x:c r="H161" s="24" t="n">
        <x:v>2026</x:v>
      </x:c>
      <x:c r="I161" s="24" t="str">
        <x:v>&gt;9</x:v>
      </x:c>
      <x:c r="J161" s="24" t="str">
        <x:v>e-wallet participants</x:v>
      </x:c>
      <x:c r="K161" s="24" t="str">
        <x:v>NOT_SAME_UNIT__LICENSING_VS_EVENT_PARTICIPATION</x:v>
      </x:c>
      <x:c r="L161" s="24" t="str">
        <x:v>Event participation cannot update the licensed-provider count.</x:v>
      </x:c>
      <x:c r="M161" s="24" t="str">
        <x:v>https://cby-ye.com/news/876</x:v>
      </x:c>
      <x:c r="N161" s="24" t="str">
        <x:v>https://cby-ye.com/news/915</x:v>
      </x:c>
    </x:row>
    <x:row r="164">
      <x:c r="A164" s="70" t="str">
        <x:v>Evidence fusion map</x:v>
      </x:c>
      <x:c r="B164" s="70"/>
      <x:c r="C164" s="70"/>
      <x:c r="D164" s="70"/>
      <x:c r="E164" s="70"/>
      <x:c r="F164" s="70"/>
      <x:c r="G164" s="70"/>
      <x:c r="H164" s="70"/>
      <x:c r="I164" s="70"/>
      <x:c r="J164" s="70"/>
      <x:c r="K164" s="70"/>
    </x:row>
    <x:row r="165">
      <x:c r="A165" s="73" t="str">
        <x:v>question_id</x:v>
      </x:c>
      <x:c r="B165" s="73" t="str">
        <x:v>public_question</x:v>
      </x:c>
      <x:c r="C165" s="73" t="str">
        <x:v>decision_value</x:v>
      </x:c>
      <x:c r="D165" s="73" t="str">
        <x:v>people_demand_evidence</x:v>
      </x:c>
      <x:c r="E165" s="73" t="str">
        <x:v>supply_provider_evidence</x:v>
      </x:c>
      <x:c r="F165" s="73" t="str">
        <x:v>activity_flow_evidence</x:v>
      </x:c>
      <x:c r="G165" s="73" t="str">
        <x:v>regulation_reform_evidence</x:v>
      </x:c>
      <x:c r="H165" s="73" t="str">
        <x:v>context_history_evidence</x:v>
      </x:c>
      <x:c r="I165" s="73" t="str">
        <x:v>synthesis_pattern</x:v>
      </x:c>
      <x:c r="J165" s="73" t="str">
        <x:v>primary_gap</x:v>
      </x:c>
      <x:c r="K165" s="73" t="str">
        <x:v>route</x:v>
      </x:c>
    </x:row>
    <x:row r="166">
      <x:c r="A166" s="24" t="str">
        <x:v>Q-001</x:v>
      </x:c>
      <x:c r="B166" s="24" t="str">
        <x:v>Who is included, who is excluded, and how certain are we?</x:v>
      </x:c>
      <x:c r="C166" s="24" t="str">
        <x:v>Separates people-based inclusion levels from administrative proxies and exposes coverage limits.</x:v>
      </x:c>
      <x:c r="D166" s="24" t="str">
        <x:v>DS-FINDEX-META; DS-FINDEX-VARS; DS-FINDEX-WAVES; DS-FINDEX-WB-OBS; DS-FINDEX-RULES</x:v>
      </x:c>
      <x:c r="E166" s="24" t="str">
        <x:v>DS-PROVIDER-MASTER; DS-PROVIDER-UNIVERSE</x:v>
      </x:c>
      <x:c r="F166" s="24" t="str">
        <x:v>DS-CBY-PAYMENTS</x:v>
      </x:c>
      <x:c r="G166" s="24" t="str">
        <x:v>DS-PRIMARY-AUTHORITY</x:v>
      </x:c>
      <x:c r="H166" s="24" t="str">
        <x:v>DS-OECD-NARRATIVE</x:v>
      </x:c>
      <x:c r="I166" s="24" t="str">
        <x:v>PEOPLE_MEASURES + ACCESS_SYSTEM_CONTEXT + EVIDENCE_PASSPORT</x:v>
      </x:c>
      <x:c r="J166" s="24" t="str">
        <x:v>No current representative 2026 population inclusion wave; Findex geography limits remain material.</x:v>
      </x:c>
      <x:c r="K166" s="24" t="str">
        <x:v>/people + /evidence</x:v>
      </x:c>
    </x:row>
    <x:row r="167">
      <x:c r="A167" s="24" t="str">
        <x:v>Q-002</x:v>
      </x:c>
      <x:c r="B167" s="24" t="str">
        <x:v>Is digital finance expanding inclusion, or only infrastructure and transaction activity?</x:v>
      </x:c>
      <x:c r="C167" s="24" t="str">
        <x:v>Prevents POS/accounts/wallet activity from being mislabeled as unique-person inclusion while still showing genuine system change.</x:v>
      </x:c>
      <x:c r="D167" s="24" t="str">
        <x:v>DS-FINDEX-WB-OBS</x:v>
      </x:c>
      <x:c r="E167" s="24" t="str">
        <x:v>DS-PROVIDER-UNIVERSE; DS-WALLET-COUNT-RECON</x:v>
      </x:c>
      <x:c r="F167" s="24" t="str">
        <x:v>DS-CBY-PAYMENTS; DS-DERIVED-ANALYTICS; DS-PAYMENT-CURRENTNESS</x:v>
      </x:c>
      <x:c r="G167" s="24" t="str">
        <x:v>DS-REFORM-EVENTS; DS-EMONEY-REG; DS-PRIMARY-AUTHORITY</x:v>
      </x:c>
      <x:c r="H167" s="24" t="str">
        <x:v>DS-CBY-MONETARY</x:v>
      </x:c>
      <x:c r="I167" s="24" t="str">
        <x:v>PARALLEL_LAYERS__INFRASTRUCTURE → ACTIVITY → PEOPLE_OUTCOME_GAP</x:v>
      </x:c>
      <x:c r="J167" s="24" t="str">
        <x:v>Unique active-user/unique-person evidence and current wallet-provider universe.</x:v>
      </x:c>
      <x:c r="K167" s="24" t="str">
        <x:v>/payments + /people + /methodology</x:v>
      </x:c>
    </x:row>
    <x:row r="168">
      <x:c r="A168" s="24" t="str">
        <x:v>Q-003</x:v>
      </x:c>
      <x:c r="B168" s="24" t="str">
        <x:v>Which financial providers actually exist, under which authority, and at what date?</x:v>
      </x:c>
      <x:c r="C168" s="24" t="str">
        <x:v>Turns a static directory into a time-aware regulated-provider evidence product.</x:v>
      </x:c>
      <x:c r="D168" s="24"/>
      <x:c r="E168" s="24" t="str">
        <x:v>DS-PROVIDER-MASTER; DS-PROVIDER-UNIVERSE; DS-PROVIDER-OBSERVABILITY; DS-PROVIDER-STATUS-EVENTS; DS-PROVIDER-NEGATIVE-AUTHORITY; DS-PROVIDER-BASELINE-2025; DS-WALLET-COUNT-RECON; DS-MFI-PROVIDER-PANEL; DS-MFI-EVIDENCE</x:v>
      </x:c>
      <x:c r="F168" s="24" t="str">
        <x:v>DS-CBY-PAYMENTS</x:v>
      </x:c>
      <x:c r="G168" s="24" t="str">
        <x:v>DS-PRIMARY-AUTHORITY; DS-EMONEY-REG</x:v>
      </x:c>
      <x:c r="H168" s="24" t="str">
        <x:v>DS-WB2004-CHRON</x:v>
      </x:c>
      <x:c r="I168" s="24" t="str">
        <x:v>PROVIDER_OBSERVABILITY → BITEMPORAL_STATE_MACHINE__AUTHORITY + UNIVERSE + STATUS_EVENTS + OPERATION_GAP</x:v>
      </x:c>
      <x:c r="J168" s="24" t="str">
        <x:v>2026 exchange/remittance row extraction and current named positive wallet/PSP/system-operator universe.</x:v>
      </x:c>
      <x:c r="K168" s="24" t="str">
        <x:v>/providers + /finance</x:v>
      </x:c>
    </x:row>
    <x:row r="169">
      <x:c r="A169" s="24" t="str">
        <x:v>Q-004</x:v>
      </x:c>
      <x:c r="B169" s="24" t="str">
        <x:v>How important are remittances, what does it cost to send them, and what remains invisible?</x:v>
      </x:c>
      <x:c r="C169" s="24" t="str">
        <x:v>Combines macro flow and corridor-price evidence while refusing to invent hawala volume.</x:v>
      </x:c>
      <x:c r="D169" s="24"/>
      <x:c r="E169" s="24" t="str">
        <x:v>DS-PROVIDER-MASTER; DS-PROVIDER-UNIVERSE</x:v>
      </x:c>
      <x:c r="F169" s="24" t="str">
        <x:v>DS-REMITTANCES</x:v>
      </x:c>
      <x:c r="G169" s="24" t="str">
        <x:v>DS-PRIMARY-AUTHORITY</x:v>
      </x:c>
      <x:c r="H169" s="24" t="str">
        <x:v>DS-CBY-MONETARY</x:v>
      </x:c>
      <x:c r="I169" s="24" t="str">
        <x:v>OBSERVED_MACRO_SERIES + CORRIDOR_PRICE_QUOTES + INFORMAL_EVIDENCE_GAP</x:v>
      </x:c>
      <x:c r="J169" s="24" t="str">
        <x:v>No defensible national hawala/informal-transfer volume; current remittance-provider roster not yet extracted.</x:v>
      </x:c>
      <x:c r="K169" s="24" t="str">
        <x:v>/payments/remittances</x:v>
      </x:c>
    </x:row>
    <x:row r="170">
      <x:c r="A170" s="24" t="str">
        <x:v>Q-005</x:v>
      </x:c>
      <x:c r="B170" s="24" t="str">
        <x:v>If a financial consumer is not treated fairly, what is the official path to redress — and do we know if it works?</x:v>
      </x:c>
      <x:c r="C170" s="24" t="str">
        <x:v>Moves FCP from a binary 'rule exists' label to an explicit architecture/performance distinction.</x:v>
      </x:c>
      <x:c r="D170" s="24"/>
      <x:c r="E170" s="24" t="str">
        <x:v>DS-FCP-ARCH</x:v>
      </x:c>
      <x:c r="F170" s="24"/>
      <x:c r="G170" s="24" t="str">
        <x:v>DS-PRIMARY-AUTHORITY; DS-REFORM-EVENTS</x:v>
      </x:c>
      <x:c r="H170" s="24" t="str">
        <x:v>DS-OECD-NARRATIVE; DS-OECD-POLICY</x:v>
      </x:c>
      <x:c r="I170" s="24" t="str">
        <x:v>RULE → PROVIDER_OBLIGATION → 10_DAY_STAGE → ESCALATION → 14_DAY_WINDOW → PERFORMANCE_GAP</x:v>
      </x:c>
      <x:c r="J170" s="24" t="str">
        <x:v>Full controlled legal text/current applicability plus administrative complaint, enforcement and outcome data.</x:v>
      </x:c>
      <x:c r="K170" s="24" t="str">
        <x:v>/reforms/regulation + /evidence</x:v>
      </x:c>
    </x:row>
    <x:row r="171">
      <x:c r="A171" s="24" t="str">
        <x:v>Q-006</x:v>
      </x:c>
      <x:c r="B171" s="24" t="str">
        <x:v>Is financial-literacy activity becoming measurable financial capability?</x:v>
      </x:c>
      <x:c r="C171" s="24" t="str">
        <x:v>Separates programme activity from population capability and evaluated outcomes.</x:v>
      </x:c>
      <x:c r="D171" s="24" t="str">
        <x:v>DS-FINDEX-WB-OBS</x:v>
      </x:c>
      <x:c r="E171" s="24"/>
      <x:c r="F171" s="24"/>
      <x:c r="G171" s="24" t="str">
        <x:v>DS-PRIMARY-AUTHORITY</x:v>
      </x:c>
      <x:c r="H171" s="24" t="str">
        <x:v>DS-OECD-NARRATIVE; DS-LIT-CBY-FI</x:v>
      </x:c>
      <x:c r="I171" s="24" t="str">
        <x:v>ACTIVITY → OUTPUT → POPULATION_CAPABILITY → EVALUATED_OUTCOME</x:v>
      </x:c>
      <x:c r="J171" s="24" t="str">
        <x:v>Programme baseline/endline, participant denominator and evaluated learning/behavioural outcomes.</x:v>
      </x:c>
      <x:c r="K171" s="24" t="str">
        <x:v>/people/capability + /reforms</x:v>
      </x:c>
    </x:row>
    <x:row r="172">
      <x:c r="A172" s="24" t="str">
        <x:v>Q-007</x:v>
      </x:c>
      <x:c r="B172" s="24" t="str">
        <x:v>For firms, is finance the binding constraint — and what competes with it?</x:v>
      </x:c>
      <x:c r="C172" s="24" t="str">
        <x:v>Places finance inside electricity, fuel, transport, tax, political and operating constraints.</x:v>
      </x:c>
      <x:c r="D172" s="24"/>
      <x:c r="E172" s="24"/>
      <x:c r="F172" s="24" t="str">
        <x:v>DS-FIRM-FINANCE; DS-DERIVED-ANALYTICS</x:v>
      </x:c>
      <x:c r="G172" s="24"/>
      <x:c r="H172" s="24" t="str">
        <x:v>DS-CBY-MONETARY</x:v>
      </x:c>
      <x:c r="I172" s="24" t="str">
        <x:v>RANKED_CONSTRAINTS + CONDITIONAL_FINANCE_PATH + DENOMINATOR_DISCLOSURE</x:v>
      </x:c>
      <x:c r="J172" s="24" t="str">
        <x:v>No national extrapolation beyond the seven governorates of the 2022 Yemen Enterprise Survey.</x:v>
      </x:c>
      <x:c r="K172" s="24" t="str">
        <x:v>/firms</x:v>
      </x:c>
    </x:row>
    <x:row r="173">
      <x:c r="A173" s="24" t="str">
        <x:v>Q-008</x:v>
      </x:c>
      <x:c r="B173" s="24" t="str">
        <x:v>How is Yemen's payment architecture changing from rule to operational activity?</x:v>
      </x:c>
      <x:c r="C173" s="24" t="str">
        <x:v>Tracks state transitions rather than equating announcements with go-live.</x:v>
      </x:c>
      <x:c r="D173" s="24"/>
      <x:c r="E173" s="24" t="str">
        <x:v>DS-PROVIDER-UNIVERSE</x:v>
      </x:c>
      <x:c r="F173" s="24" t="str">
        <x:v>DS-CBY-PAYMENTS; DS-PAYMENT-CURRENTNESS</x:v>
      </x:c>
      <x:c r="G173" s="24" t="str">
        <x:v>DS-REFORM-EVENTS; DS-EMONEY-REG; DS-PRIMARY-AUTHORITY; DS-PAYMENT-CURRENTNESS</x:v>
      </x:c>
      <x:c r="H173" s="24"/>
      <x:c r="I173" s="24" t="str">
        <x:v>REGULATION → PROJECT → DECISION → INTEGRATION → INSTITUTION → ACTIVITY → USAGE/OUTCOME_GAP</x:v>
      </x:c>
      <x:c r="J173" s="24" t="str">
        <x:v>Independent system go-live/participant/coverage evidence for FPS/RTGS/QR/interconnection and unique-user outcomes; institutional establishment is now better evidenced.</x:v>
      </x:c>
      <x:c r="K173" s="24" t="str">
        <x:v>/payments + /reforms/projects</x:v>
      </x:c>
    </x:row>
    <x:row r="174">
      <x:c r="A174" s="24" t="str">
        <x:v>Q-009</x:v>
      </x:c>
      <x:c r="B174" s="24" t="str">
        <x:v>Where do humanitarian and development capital flows touch the financial system without becoming financial-inclusion outcomes?</x:v>
      </x:c>
      <x:c r="C174" s="24" t="str">
        <x:v>Makes capital pathways visible while preserving funding-class semantics.</x:v>
      </x:c>
      <x:c r="D174" s="24"/>
      <x:c r="E174" s="24"/>
      <x:c r="F174" s="24" t="str">
        <x:v>DS-OCHA-FTS-2026; DS-OCHA-LINKS</x:v>
      </x:c>
      <x:c r="G174" s="24" t="str">
        <x:v>DS-REFORM-EVENTS</x:v>
      </x:c>
      <x:c r="H174" s="24"/>
      <x:c r="I174" s="24" t="str">
        <x:v>RELATIONSHIP_GRAPH__FLOW_CLASS + PROGRAMME_STATE + NO_OUTCOME_CONVERSION</x:v>
      </x:c>
      <x:c r="J174" s="24" t="str">
        <x:v>Programme-owner evidence linking finance to actual financial-service delivery, reach and post-transfer use.</x:v>
      </x:c>
      <x:c r="K174" s="24" t="str">
        <x:v>/reforms/projects + /evidence</x:v>
      </x:c>
    </x:row>
    <x:row r="175">
      <x:c r="A175" s="24" t="str">
        <x:v>Q-010</x:v>
      </x:c>
      <x:c r="B175" s="24" t="str">
        <x:v>What does the microfinance record tell us — and where does the historical series break?</x:v>
      </x:c>
      <x:c r="C175" s="24" t="str">
        <x:v>Combines historical programme narrative with bounded provider-period evidence without pretending continuity.</x:v>
      </x:c>
      <x:c r="D175" s="24"/>
      <x:c r="E175" s="24" t="str">
        <x:v>DS-MFI-EVIDENCE; DS-MFI-PROVIDER-PANEL; DS-MFI-YEAR-COVERAGE; DS-MFI-TEMPORAL-SPINE; DS-MFI-METRIC-COVERAGE</x:v>
      </x:c>
      <x:c r="F175" s="24"/>
      <x:c r="G175" s="24"/>
      <x:c r="H175" s="24" t="str">
        <x:v>DS-WB2004-NARR; DS-WB2004-CASES; DS-WB2004-CHRON; DS-MF-ORIGIN-CHRONOLOGY</x:v>
      </x:c>
      <x:c r="I175" s="24" t="str">
        <x:v>LAYERED_ORIGIN_TIMELINE + SEGMENTED_PRIMARY_TEMPORAL_SPINE + PROVIDER_SMALL_MULTIPLES + METRIC_ELIGIBILITY</x:v>
      </x:c>
      <x:c r="J175" s="24" t="str">
        <x:v>2021 primary source remains missing; 2022/2024 no comparable primary point; 2023 exact archive object inaccessible; rights/passports remain S05.</x:v>
      </x:c>
      <x:c r="K175" s="24" t="str">
        <x:v>/finance/microfinance</x:v>
      </x:c>
    </x:row>
    <x:row r="176">
      <x:c r="A176" s="24" t="str">
        <x:v>Q-011</x:v>
      </x:c>
      <x:c r="B176" s="24" t="str">
        <x:v>When trusted sources disagree, are they actually measuring the same thing?</x:v>
      </x:c>
      <x:c r="C176" s="24" t="str">
        <x:v>Turns semantic mismatch into a user-facing analytical feature.</x:v>
      </x:c>
      <x:c r="D176" s="24" t="str">
        <x:v>DS-FINDEX-RULES</x:v>
      </x:c>
      <x:c r="E176" s="24"/>
      <x:c r="F176" s="24" t="str">
        <x:v>DS-CBY-PAYMENTS</x:v>
      </x:c>
      <x:c r="G176" s="24"/>
      <x:c r="H176" s="24"/>
      <x:c r="I176" s="24" t="str">
        <x:v>SIDE_BY_SIDE_DEFINITION_COMPARE + COMPATIBILITY_STATE</x:v>
      </x:c>
      <x:c r="J176" s="24" t="str">
        <x:v>Some incompatible metrics may remain permanently non-reconcilable; that is an acceptable finding.</x:v>
      </x:c>
      <x:c r="K176" s="24" t="str">
        <x:v>/evidence/compare</x:v>
      </x:c>
    </x:row>
    <x:row r="177">
      <x:c r="A177" s="24" t="str">
        <x:v>Q-012</x:v>
      </x:c>
      <x:c r="B177" s="24" t="str">
        <x:v>Where is the evidence fresh, stale, missing or only partially verified?</x:v>
      </x:c>
      <x:c r="C177" s="24" t="str">
        <x:v>Prevents the newest administrative observation from being mistaken for the newest population truth.</x:v>
      </x:c>
      <x:c r="D177" s="24" t="str">
        <x:v>DS-FINDEX-WAVES</x:v>
      </x:c>
      <x:c r="E177" s="24" t="str">
        <x:v>DS-PROVIDER-UNIVERSE</x:v>
      </x:c>
      <x:c r="F177" s="24" t="str">
        <x:v>DS-CBY-PAYMENTS</x:v>
      </x:c>
      <x:c r="G177" s="24" t="str">
        <x:v>DS-PRIMARY-AUTHORITY</x:v>
      </x:c>
      <x:c r="H177" s="24" t="str">
        <x:v>DS-WB2004-CHRON; DS-OECD-NARRATIVE</x:v>
      </x:c>
      <x:c r="I177" s="24" t="str">
        <x:v>EVIDENCE_FRESHNESS_SKYLINE + GAP_MATRIX + DOMAIN_VINTAGE_BADGES</x:v>
      </x:c>
      <x:c r="J177" s="24" t="str">
        <x:v>Current demand-side/subgroup data, provider-universe closure and several outcome layers remain old/open.</x:v>
      </x:c>
      <x:c r="K177" s="24" t="str">
        <x:v>/evidence + /methodology</x:v>
      </x:c>
    </x:row>
    <x:row r="178">
      <x:c r="A178" s="24" t="str">
        <x:v>Q-013</x:v>
      </x:c>
      <x:c r="B178" s="24" t="str">
        <x:v>How does YFSI turn evidence into a decision surface without losing provenance?</x:v>
      </x:c>
      <x:c r="C178" s="24" t="str">
        <x:v>Makes product architecture itself auditable and prevents design from overruling evidence.</x:v>
      </x:c>
      <x:c r="D178" s="24"/>
      <x:c r="E178" s="24"/>
      <x:c r="F178" s="24" t="str">
        <x:v>DS-DERIVED-ANALYTICS</x:v>
      </x:c>
      <x:c r="G178" s="24"/>
      <x:c r="H178" s="24" t="str">
        <x:v>DS-STRATEGIC-INSIGHTS</x:v>
      </x:c>
      <x:c r="I178" s="24" t="str">
        <x:v>SOURCE → CLAIM_BOUNDARY → DERIVATION → VISUAL_CONTRACT → PAGE_BUNDLE → PUBLICATION_DECISION</x:v>
      </x:c>
      <x:c r="J178" s="24" t="str">
        <x:v>No frontend surface should bypass the governed release package.</x:v>
      </x:c>
      <x:c r="K178" s="24" t="str">
        <x:v>/methodology + internal product governance</x:v>
      </x:c>
    </x:row>
    <x:row r="179">
      <x:c r="A179" s="24" t="str">
        <x:v>Q-014</x:v>
      </x:c>
      <x:c r="B179" s="24" t="str">
        <x:v>What mechanisms may sit behind an observed pattern — and what does the evidence still not prove?</x:v>
      </x:c>
      <x:c r="C179" s="24" t="str">
        <x:v>Adds qualitative explanation without fabricating prevalence or causality and makes interpretation itself traceable.</x:v>
      </x:c>
      <x:c r="D179" s="24" t="str">
        <x:v>DS-FINDEX-WB-OBS</x:v>
      </x:c>
      <x:c r="E179" s="24" t="str">
        <x:v>DS-PROVIDER-OBSERVABILITY</x:v>
      </x:c>
      <x:c r="F179" s="24" t="str">
        <x:v>DS-FIRM-FINANCE; DS-CBY-PAYMENTS; DS-REMITTANCES</x:v>
      </x:c>
      <x:c r="G179" s="24" t="str">
        <x:v>DS-FCP-ARCH; DS-EMONEY-REG; DS-REFORM-EVENTS</x:v>
      </x:c>
      <x:c r="H179" s="24" t="str">
        <x:v>DS-QUAL-EVIDENCE; DS-MECHANISM-TAXONOMY</x:v>
      </x:c>
      <x:c r="I179" s="24" t="str">
        <x:v>MEASURED_OBJECT ↔ GOVERNED_MECHANISM_LINKS ↔ SOURCE_METHOD ↔ ALLOWED/PROHIBITED_INFERENCE</x:v>
      </x:c>
      <x:c r="J179" s="24" t="str">
        <x:v>Qualitative coverage is not yet comprehensive across all mechanisms/populations/geographies; links must remain source-bounded.</x:v>
      </x:c>
      <x:c r="K179" s="24" t="str">
        <x:v>/people + /firms + /evidence</x:v>
      </x:c>
    </x:row>
    <x:row r="180">
      <x:c r="A180" s="24" t="str">
        <x:v>Q-015</x:v>
      </x:c>
      <x:c r="B180" s="24" t="str">
        <x:v>Can this evidence object survive publication without losing meaning, provenance, rights controls or accessibility?</x:v>
      </x:c>
      <x:c r="C180" s="24" t="str">
        <x:v>Turns release readiness into an auditable evidence question rather than a final editorial checklist.</x:v>
      </x:c>
      <x:c r="D180" s="24" t="str">
        <x:v>DS-RC0-FIXTURE</x:v>
      </x:c>
      <x:c r="E180" s="24" t="str">
        <x:v>DS-RC0-PASSPORTS</x:v>
      </x:c>
      <x:c r="F180" s="24" t="str">
        <x:v>DS-RC0-RIGHTS</x:v>
      </x:c>
      <x:c r="G180" s="24" t="str">
        <x:v>DS-RC0-VISUAL-BINDINGS; DS-PUBLICATION-ELIGIBILITY</x:v>
      </x:c>
      <x:c r="H180" s="24" t="str">
        <x:v>DS-S05-RECON-GATE</x:v>
      </x:c>
      <x:c r="I180" s="24" t="str">
        <x:v>OBJECT → PASSPORT → RIGHTS/INTENDED_USE → VISUAL/FALLBACK → ACCEPTANCE_TEST → RELEASE_STATE</x:v>
      </x:c>
      <x:c r="J180" s="24" t="str">
        <x:v>Global site rights backfill, non-fixture D1 bindings and later bilingual design/implementation gates remain open.</x:v>
      </x:c>
      <x:c r="K180" s="24" t="str">
        <x:v>/methodology + internal release governance</x:v>
      </x:c>
    </x:row>
    <x:row r="181">
      <x:c r="A181" s="24" t="str">
        <x:v>Q-016</x:v>
      </x:c>
      <x:c r="B181" s="24" t="str">
        <x:v>What can demand-side evidence tell us beyond account ownership — and which parts are still computation-gated?</x:v>
      </x:c>
      <x:c r="C181" s="24" t="str">
        <x:v>Separates currently publishable weighted anchors from a much richer but correctly withheld microdata panel, while making subgroup and denominator constraints explicit.</x:v>
      </x:c>
      <x:c r="D181" s="24" t="str">
        <x:v>DS-FINDEX-WB-OBS; DS-FINDEX-PANEL-CATALOG; DS-FINDEX-SUBGROUP-MATRIX; DS-FINDEX-DENOMINATOR-STRESS</x:v>
      </x:c>
      <x:c r="E181" s="24"/>
      <x:c r="F181" s="24"/>
      <x:c r="G181" s="24"/>
      <x:c r="H181" s="24"/>
      <x:c r="I181" s="24" t="str">
        <x:v>PUBLISHED_ANCHOR → PANEL_CONTRACT → DENOMINATOR/SUBGROUP_GATE → WEIGHTED_MICRODATA_REPLICATION → PUBLIC_OBJECT</x:v>
      </x:c>
      <x:c r="J181" s="24" t="str">
        <x:v>Respondent microdata require authorized login and are not yet in controlled YFSI custody; custom weighted estimates remain withheld.</x:v>
      </x:c>
      <x:c r="K181" s="24" t="str">
        <x:v>/people + /methodology + /evidence</x:v>
      </x:c>
    </x:row>
    <x:row r="182">
      <x:c r="A182" s="24" t="str">
        <x:v>Q-017</x:v>
      </x:c>
      <x:c r="B182" s="24" t="str">
        <x:v>What should the public product show first — and what should remain deep-dive, conditional or held?</x:v>
      </x:c>
      <x:c r="C182" s="24" t="str">
        <x:v>Turns product scope into a governed analytical decision so backend richness does not become interface clutter.</x:v>
      </x:c>
      <x:c r="D182" s="24"/>
      <x:c r="E182" s="24"/>
      <x:c r="F182" s="24"/>
      <x:c r="G182" s="24"/>
      <x:c r="H182" s="24" t="str">
        <x:v>DS-PRODUCT-IDENTITY</x:v>
      </x:c>
      <x:c r="I182" s="24" t="str">
        <x:v>CANONICAL_EVIDENCE → RELEASE_ELIGIBILITY → ROUTE/QUESTION → EDITORIAL_TIER → BILINGUAL/INTERACTION_CONTRACT → PUBLIC_SURFACE</x:v>
      </x:c>
      <x:c r="J182" s="24" t="str">
        <x:v>D2 usability testing and B0 compiler/static-package fixture remain to validate the frozen contract in a real bilingual build.</x:v>
      </x:c>
      <x:c r="K182" s="24" t="str">
        <x:v>/methodology + internal product governance</x:v>
      </x:c>
    </x:row>
    <x:row r="183">
      <x:c r="A183" s="24" t="str">
        <x:v>Q-018</x:v>
      </x:c>
      <x:c r="B183" s="24" t="str">
        <x:v>Can the frozen evidence/product contract survive compilation and a real bilingual screen without losing semantics?</x:v>
      </x:c>
      <x:c r="C183" s="24" t="str">
        <x:v>Connects canonical evidence governance to implementation proof: immutable package, object compiler chain, machine tests and screen-level acceptance.</x:v>
      </x:c>
      <x:c r="D183" s="24"/>
      <x:c r="E183" s="24"/>
      <x:c r="F183" s="24" t="str">
        <x:v>DS-B0-PACKAGE-MANIFEST; DS-B0-OBJECT-COMPILER-MAP</x:v>
      </x:c>
      <x:c r="G183" s="24"/>
      <x:c r="H183" s="24" t="str">
        <x:v>DS-D2-SCREEN-CONTRACT</x:v>
      </x:c>
      <x:c r="I183" s="24" t="str">
        <x:v>CANONICAL_OBJECT → IMMUTABLE_PACKAGE → PASSPORT/RIGHTS/VISUAL_BINDING → SCHEMA_TEST → D2_SCREEN_ACCEPTANCE → BUILD_PASS/FAIL</x:v>
      </x:c>
      <x:c r="J183" s="24" t="str">
        <x:v>Actual D2 high-fidelity prototype has not yet passed the 12-screen contract; global public-release gates remain independent.</x:v>
      </x:c>
      <x:c r="K183" s="24" t="str">
        <x:v>/methodology + internal compiler/design governance</x:v>
      </x:c>
    </x:row>
    <x:row r="184">
      <x:c r="A184" s="24" t="str">
        <x:v>Q-019</x:v>
      </x:c>
      <x:c r="B184" s="24" t="str">
        <x:v>Does the implementation preserve the frozen evidence contract in both languages and constrained device modes?</x:v>
      </x:c>
      <x:c r="C184" s="24" t="str">
        <x:v>Turns the actual prototype into a governed implementation object rather than an untracked design artifact.</x:v>
      </x:c>
      <x:c r="D184" s="24"/>
      <x:c r="E184" s="24"/>
      <x:c r="F184" s="24" t="str">
        <x:v>DS-D2-PROTOTYPE-MANIFEST</x:v>
      </x:c>
      <x:c r="G184" s="24"/>
      <x:c r="H184" s="24"/>
      <x:c r="I184" s="24" t="str">
        <x:v>STATIC_FIXTURE_PACKAGE → PROTOTYPE_CODE → BILINGUAL/ROUTE/PASSPORT BINDING → STATIC_TESTS → RUNTIME_VISUAL/A11Y_GATE</x:v>
      </x:c>
      <x:c r="J184" s="24" t="str">
        <x:v>Runtime browser visual/usability/accessibility QA remains open.</x:v>
      </x:c>
      <x:c r="K184" s="24" t="str">
        <x:v>/methodology + internal design/build governance</x:v>
      </x:c>
    </x:row>
    <x:row r="185">
      <x:c r="A185" s="24" t="str">
        <x:v>Q-020</x:v>
      </x:c>
      <x:c r="B185" s="24" t="str">
        <x:v>What weighted people-side evidence can YFSI publish now without respondent microdata — and how old is it by financial function?</x:v>
      </x:c>
      <x:c r="C185" s="24" t="str">
        <x:v>Separates historical weighted-public evidence from latest-wave computation gates and turns evidence vintage into part of the analysis.</x:v>
      </x:c>
      <x:c r="D185" s="24" t="str">
        <x:v>DS-FINDEX-PUBLIC-HISTORY; DS-FINDEX-WB-OBS</x:v>
      </x:c>
      <x:c r="E185" s="24"/>
      <x:c r="F185" s="24" t="str">
        <x:v>DS-FINDEX-PUBLIC-HISTORY</x:v>
      </x:c>
      <x:c r="G185" s="24"/>
      <x:c r="H185" s="24" t="str">
        <x:v>DS-DEMAND-VINTAGE-LENS</x:v>
      </x:c>
      <x:c r="I185" s="24" t="str">
        <x:v>PUBLISHED_WEIGHTED_HISTORY → FUNCTION_EVIDENCE_CLOCK → LATEST_WAVE_CONTRACT/HOLD → PUBLIC_SURFACE</x:v>
      </x:c>
      <x:c r="J185" s="24" t="str">
        <x:v>Current weighted values for resilience/barriers/latest saving/borrowing/remittance/digital-use remain unavailable; historical values cannot be relabeled current.</x:v>
      </x:c>
      <x:c r="K185" s="24" t="str">
        <x:v>/people + /evidence</x:v>
      </x:c>
    </x:row>
    <x:row r="186">
      <x:c r="A186" s="24" t="str">
        <x:v>Q-021</x:v>
      </x:c>
      <x:c r="B186" s="24" t="str">
        <x:v>What happens when canonical evidence improves after an immutable B0 package and D2 prototype candidate already exist?</x:v>
      </x:c>
      <x:c r="C186" s="24" t="str">
        <x:v>Prevents content enrichment from either invalidating real package-integrity proofs or silently creating a stale-content release.</x:v>
      </x:c>
      <x:c r="D186" s="24"/>
      <x:c r="E186" s="24"/>
      <x:c r="F186" s="24" t="str">
        <x:v>DS-POST-B0-CONTENT-DELTA</x:v>
      </x:c>
      <x:c r="G186" s="24"/>
      <x:c r="H186" s="24"/>
      <x:c r="I186" s="24" t="str">
        <x:v>CANONICAL_EVIDENCE_DELTA → PACKAGE_SCOPE_CHECK → PROTOTYPE_SCOPE_CHECK → SELECT/RECOMPILE BEFORE B1</x:v>
      </x:c>
      <x:c r="J186" s="24" t="str">
        <x:v>The current prototype/package remains a valid implementation-test artifact but does not contain v0.17 historical demand objects.</x:v>
      </x:c>
      <x:c r="K186" s="24" t="str">
        <x:v>/methodology + internal build governance</x:v>
      </x:c>
    </x:row>
    <x:row r="187">
      <x:c r="A187" s="24" t="str">
        <x:v>Q-022</x:v>
      </x:c>
      <x:c r="B187" s="24" t="str">
        <x:v>How far is a financial-inclusion object from a measured outcome for people or firms?</x:v>
      </x:c>
      <x:c r="C187" s="24" t="str">
        <x:v>Prevents access, activity, regulation and programme delivery from being interpreted as welfare/resilience/economic outcomes.</x:v>
      </x:c>
      <x:c r="D187" s="24" t="str">
        <x:v>DS-FINDEX-WB-OBS; DS-FINDEX-PUBLIC-HISTORY</x:v>
      </x:c>
      <x:c r="E187" s="24" t="str">
        <x:v>DS-PROVIDER-OBSERVABILITY</x:v>
      </x:c>
      <x:c r="F187" s="24" t="str">
        <x:v>DS-CBY-PAYMENTS; DS-FIRM-FINANCE</x:v>
      </x:c>
      <x:c r="G187" s="24" t="str">
        <x:v>DS-REFORM-EVENTS; DS-FCP-ARCH</x:v>
      </x:c>
      <x:c r="H187" s="24" t="str">
        <x:v>DS-QUAL-EVIDENCE</x:v>
      </x:c>
      <x:c r="I187" s="24" t="str">
        <x:v>EVIDENCE_OBJECT → ACCESS/ACTIVITY/RULE/IMPLEMENTATION CLASS → OUTCOME_DISTANCE → ALLOWED CLAIM</x:v>
      </x:c>
      <x:c r="J187" s="24" t="str">
        <x:v>Direct outcome/evaluation evidence is sparse for several reform/activity pathways.</x:v>
      </x:c>
      <x:c r="K187" s="24" t="str">
        <x:v>/methodology + relevant domain</x:v>
      </x:c>
    </x:row>
    <x:row r="188">
      <x:c r="A188" s="24" t="str">
        <x:v>Q-023</x:v>
      </x:c>
      <x:c r="B188" s="24" t="str">
        <x:v>How can different stakeholders use the same evidence without YFSI pretending to perform their institutional role?</x:v>
      </x:c>
      <x:c r="C188" s="24" t="str">
        <x:v>Makes stakeholder utility and role boundaries explicit so this resource can serve regulators, providers, DFIs, researchers and the public without becoming an authority/rating system.</x:v>
      </x:c>
      <x:c r="D188" s="24" t="str">
        <x:v>DS-FINDEX-WB-OBS</x:v>
      </x:c>
      <x:c r="E188" s="24" t="str">
        <x:v>DS-PROVIDER-OBSERVABILITY</x:v>
      </x:c>
      <x:c r="F188" s="24" t="str">
        <x:v>DS-CBY-PAYMENTS; DS-FIRM-FINANCE</x:v>
      </x:c>
      <x:c r="G188" s="24" t="str">
        <x:v>DS-PRIMARY-AUTHORITY</x:v>
      </x:c>
      <x:c r="H188" s="24" t="str">
        <x:v>DS-STRATEGIC-INSIGHTS</x:v>
      </x:c>
      <x:c r="I188" s="24" t="str">
        <x:v>USER QUESTION → GOVERNED EVIDENCE → SAFE DECISION USE → EXPLICIT NON_ROLE</x:v>
      </x:c>
      <x:c r="J188" s="24" t="str">
        <x:v>Public identity must remain clear that CauseWay integrates and analyses evidence but does not issue regulatory/compliance findings.</x:v>
      </x:c>
      <x:c r="K188" s="24" t="str">
        <x:v>/ + /methodology</x:v>
      </x:c>
    </x:row>
    <x:row r="189">
      <x:c r="A189" s="24" t="str">
        <x:v>Q-024</x:v>
      </x:c>
      <x:c r="B189" s="24" t="str">
        <x:v>Which advanced analytical experiences genuinely add decision value and which should remain held?</x:v>
      </x:c>
      <x:c r="C189" s="24" t="str">
        <x:v>Stops innovation theatre by requiring novelty to pass evidence, denominator, causal, rights, usability and stakeholder tests.</x:v>
      </x:c>
      <x:c r="D189" s="24" t="str">
        <x:v>DS-FINDEX-PUBLIC-HISTORY</x:v>
      </x:c>
      <x:c r="E189" s="24" t="str">
        <x:v>DS-PROVIDER-OBSERVABILITY</x:v>
      </x:c>
      <x:c r="F189" s="24" t="str">
        <x:v>DS-CBY-PAYMENTS; DS-FIRM-FINANCE; DS-REMITTANCES</x:v>
      </x:c>
      <x:c r="G189" s="24" t="str">
        <x:v>DS-REFORM-EVENTS</x:v>
      </x:c>
      <x:c r="H189" s="24" t="str">
        <x:v>DS-MFI-TEMPORAL-SPINE</x:v>
      </x:c>
      <x:c r="I189" s="24" t="str">
        <x:v>ANALYTICAL IDEA → METHOD MINIMUM → CURRENT EVIDENCE STATE → VISUAL GRAMMAR → SELECT/HOLD</x:v>
      </x:c>
      <x:c r="J189" s="24" t="str">
        <x:v>Several attractive ideas remain held because unique-user, causal, geographic or flow-width conditions are not satisfied.</x:v>
      </x:c>
      <x:c r="K189" s="24" t="str">
        <x:v>/methodology + internal product governance</x:v>
      </x:c>
    </x:row>
    <x:row r="190">
      <x:c r="A190" s="24" t="str">
        <x:v>Q-025</x:v>
      </x:c>
      <x:c r="B190" s="24" t="str">
        <x:v>Which post-B0 canonical additions enter the next immutable package before B1?</x:v>
      </x:c>
      <x:c r="C190" s="24" t="str">
        <x:v>Creates an explicit evidence/content selection gate after D2 rather than silently shipping every new canonical object.</x:v>
      </x:c>
      <x:c r="D190" s="24" t="str">
        <x:v>DS-FINDEX-PUBLIC-HISTORY</x:v>
      </x:c>
      <x:c r="E190" s="24"/>
      <x:c r="F190" s="24"/>
      <x:c r="G190" s="24"/>
      <x:c r="H190" s="24" t="str">
        <x:v>DS-DEMAND-VINTAGE-LENS</x:v>
      </x:c>
      <x:c r="I190" s="24" t="str">
        <x:v>CANONICAL DELTA → PUBLICATION/RIGHTS → EDITORIAL TIER → PACKAGE SELECTION → NEW IMMUTABLE PACKAGE → B1</x:v>
      </x:c>
      <x:c r="J190" s="24" t="str">
        <x:v>Selected objects still require actual package compilation and implementation acceptance.</x:v>
      </x:c>
      <x:c r="K190" s="24" t="str">
        <x:v>internal build governance</x:v>
      </x:c>
    </x:row>
    <x:row r="191">
      <x:c r="A191" s="24" t="str">
        <x:v>Q-026</x:v>
      </x:c>
      <x:c r="B191" s="24" t="str">
        <x:v>How does YFSI compare with leading financial-inclusion measurement systems without becoming a copy of them?</x:v>
      </x:c>
      <x:c r="C191" s="24" t="str">
        <x:v>Uses benchmarks as method challenge while keeping Yemen evidence/source authority primary.</x:v>
      </x:c>
      <x:c r="D191" s="24"/>
      <x:c r="E191" s="24"/>
      <x:c r="F191" s="24"/>
      <x:c r="G191" s="24"/>
      <x:c r="H191" s="24" t="str">
        <x:v>DS-GLOBAL-BENCHMARK-CHALLENGE</x:v>
      </x:c>
      <x:c r="I191" s="24" t="str">
        <x:v>GLOBAL_METHOD → YEMEN_SOURCE_REALITY → ADOPT/EXCEED/HOLD</x:v>
      </x:c>
      <x:c r="J191" s="24" t="str">
        <x:v>Benchmarks cannot create missing Yemen observations.</x:v>
      </x:c>
      <x:c r="K191" s="24" t="str">
        <x:v>/methodology</x:v>
      </x:c>
    </x:row>
    <x:row r="192">
      <x:c r="A192" s="24" t="str">
        <x:v>Q-027</x:v>
      </x:c>
      <x:c r="B192" s="24" t="str">
        <x:v>How should YFSI relate to the institutions already working on financial inclusion, cash, livelihoods, infrastructure and macro stability in Yemen?</x:v>
      </x:c>
      <x:c r="C192" s="24" t="str">
        <x:v>Clarifies value-add and prevents institutional overreach.</x:v>
      </x:c>
      <x:c r="D192" s="24"/>
      <x:c r="E192" s="24" t="str">
        <x:v>DS-PROVIDER-OBSERVABILITY</x:v>
      </x:c>
      <x:c r="F192" s="24"/>
      <x:c r="G192" s="24" t="str">
        <x:v>DS-REFORM-EVENTS</x:v>
      </x:c>
      <x:c r="H192" s="24" t="str">
        <x:v>DS-YEMEN-ECOSYSTEM-ALIGNMENT</x:v>
      </x:c>
      <x:c r="I192" s="24" t="str">
        <x:v>ACTOR_ROLE → SOURCE_ROLE → YFSI_COMPLEMENT → NON_ROLE</x:v>
      </x:c>
      <x:c r="J192" s="24" t="str">
        <x:v>Partnership role cannot upgrade evidence state or authority.</x:v>
      </x:c>
      <x:c r="K192" s="24" t="str">
        <x:v>/ + /methodology</x:v>
      </x:c>
    </x:row>
    <x:row r="193">
      <x:c r="A193" s="24" t="str">
        <x:v>Q-028</x:v>
      </x:c>
      <x:c r="B193" s="24" t="str">
        <x:v>What does independent review require before an advanced analysis or visualization reaches the public interface?</x:v>
      </x:c>
      <x:c r="C193" s="24" t="str">
        <x:v>Creates three separate challenge lanes instead of one self-review.</x:v>
      </x:c>
      <x:c r="D193" s="24"/>
      <x:c r="E193" s="24"/>
      <x:c r="F193" s="24"/>
      <x:c r="G193" s="24"/>
      <x:c r="H193" s="24"/>
      <x:c r="I193" s="24" t="str">
        <x:v>FI_METHOD + DATA_SCIENCE + PUBLIC_INTEREST → CONSENSUS/HOLD → B1</x:v>
      </x:c>
      <x:c r="J193" s="24" t="str">
        <x:v>Passing one review lane cannot override a failure in another.</x:v>
      </x:c>
      <x:c r="K193" s="24" t="str">
        <x:v>internal / methodology</x:v>
      </x:c>
    </x:row>
    <x:row r="194">
      <x:c r="A194" s="24" t="str">
        <x:v>Q-029</x:v>
      </x:c>
      <x:c r="B194" s="24" t="str">
        <x:v>Is the current selected canonical delta compiled into an immutable package that can enter implementation?</x:v>
      </x:c>
      <x:c r="C194" s="24" t="str">
        <x:v>Closes the package integrity/rights/schema gap before B1.</x:v>
      </x:c>
      <x:c r="D194" s="24"/>
      <x:c r="E194" s="24"/>
      <x:c r="F194" s="24"/>
      <x:c r="G194" s="24"/>
      <x:c r="H194" s="24"/>
      <x:c r="I194" s="24" t="str">
        <x:v>SELECTION → ASSET MANIFEST → SCHEMA/SEMANTIC/RIGHTS TESTS → IMMUTABLE ZIP → IMPLEMENT</x:v>
      </x:c>
      <x:c r="J194" s="24" t="str">
        <x:v>Package PASS still does not equal B1 build acceptance.</x:v>
      </x:c>
      <x:c r="K194" s="24" t="str">
        <x:v>internal build governance</x:v>
      </x:c>
    </x:row>
    <x:row r="195">
      <x:c r="A195" s="24" t="str">
        <x:v>Q-030</x:v>
      </x:c>
      <x:c r="B195" s="24" t="str">
        <x:v>Have all legacy assets been either used, superseded, held or rejected — rather than silently ignored?</x:v>
      </x:c>
      <x:c r="C195" s="24" t="str">
        <x:v>Turns 'use all data' into an auditable legacy-coverage decision instead of indiscriminate ingestion.</x:v>
      </x:c>
      <x:c r="D195" s="24"/>
      <x:c r="E195" s="24"/>
      <x:c r="F195" s="24"/>
      <x:c r="G195" s="24"/>
      <x:c r="H195" s="24" t="str">
        <x:v>DS-LEGACY-COVERAGE; DS-LEGACY-RESCUE</x:v>
      </x:c>
      <x:c r="I195" s="24" t="str">
        <x:v>LEGACY_ASSET → CURRENT_AUTHORITY/METHOD_CHECK → ADMIT/SUPERSEDE/SALVAGE/HOLD/REJECT → NAMED_YFSI_DESTINATION</x:v>
      </x:c>
      <x:c r="J195" s="24" t="str">
        <x:v>Bayan 4 large archive remains only partially reviewable; some source candidates require primary/currentness/rights verification.</x:v>
      </x:c>
      <x:c r="K195" s="24" t="str">
        <x:v>internal governance</x:v>
      </x:c>
    </x:row>
    <x:row r="196">
      <x:c r="A196" s="24" t="str">
        <x:v>Q-031</x:v>
      </x:c>
      <x:c r="B196" s="24" t="str">
        <x:v>Does every priority audience have a recurring decision/job that YFSI can actually help with?</x:v>
      </x:c>
      <x:c r="C196" s="24" t="str">
        <x:v>Prevents stakeholder-name lists from masquerading as product strategy.</x:v>
      </x:c>
      <x:c r="D196" s="24"/>
      <x:c r="E196" s="24" t="str">
        <x:v>DS-CBY-DECISION-UTILITY</x:v>
      </x:c>
      <x:c r="F196" s="24"/>
      <x:c r="G196" s="24"/>
      <x:c r="H196" s="24" t="str">
        <x:v>DS-AUDIENCE-DECISION-PRODUCTS; DS-GOVT-DONOR-DECISION-ROOMS</x:v>
      </x:c>
      <x:c r="I196" s="24" t="str">
        <x:v>AUDIENCE → JOB_TO_BE_DONE → EVIDENCE_AVAILABLE → PRODUCT → NON_ROLE → ACCEPTANCE_TEST</x:v>
      </x:c>
      <x:c r="J196" s="24" t="str">
        <x:v>Some products require partner/primary data and cannot be fully public today.</x:v>
      </x:c>
      <x:c r="K196" s="24" t="str">
        <x:v>/ + /methodology</x:v>
      </x:c>
    </x:row>
    <x:row r="197">
      <x:c r="A197" s="24" t="str">
        <x:v>Q-032</x:v>
      </x:c>
      <x:c r="B197" s="24" t="str">
        <x:v>How can YFSI explain the economic cost of exclusion or no action without inventing a macro impact number?</x:v>
      </x:c>
      <x:c r="C197" s="24" t="str">
        <x:v>Creates useful plain-economics tools while separating arithmetic, scenarios, forecasts and causal counterfactuals.</x:v>
      </x:c>
      <x:c r="D197" s="24" t="str">
        <x:v>DS-FINDEX-PUBLIC-HISTORY</x:v>
      </x:c>
      <x:c r="E197" s="24"/>
      <x:c r="F197" s="24" t="str">
        <x:v>DS-FIRM-FINANCE; DS-REMITTANCES</x:v>
      </x:c>
      <x:c r="G197" s="24"/>
      <x:c r="H197" s="24" t="str">
        <x:v>DS-PUBLIC-ECONOMICS-LAB</x:v>
      </x:c>
      <x:c r="I197" s="24" t="str">
        <x:v>PUBLIC_QUESTION → MODEL_CLASS → INPUT_STATE → ASSUMPTION_LEDGER → ALLOWED_OUTPUT / FORBIDDEN_INFERENCE</x:v>
      </x:c>
      <x:c r="J197" s="24" t="str">
        <x:v>National GDP-loss/peace-dividend counterfactual remains HOLD absent separately validated causal model.</x:v>
      </x:c>
      <x:c r="K197" s="24" t="str">
        <x:v>/people + /firms + /payments + /methodology</x:v>
      </x:c>
    </x:row>
    <x:row r="198">
      <x:c r="A198" s="24" t="str">
        <x:v>Q-033</x:v>
      </x:c>
      <x:c r="B198" s="24" t="str">
        <x:v>Can a researcher cite, reproduce and audit a YFSI object without reverse-engineering the website?</x:v>
      </x:c>
      <x:c r="C198" s="24" t="str">
        <x:v>Moves YFSI toward journal-grade evidence infrastructure.</x:v>
      </x:c>
      <x:c r="D198" s="24" t="str">
        <x:v>DS-FINDEX-PUBLIC-HISTORY</x:v>
      </x:c>
      <x:c r="E198" s="24"/>
      <x:c r="F198" s="24"/>
      <x:c r="G198" s="24"/>
      <x:c r="H198" s="24" t="str">
        <x:v>DS-RESEARCH-REPRODUCIBILITY</x:v>
      </x:c>
      <x:c r="I198" s="24" t="str">
        <x:v>OBJECT_ID → SOURCE/VERSION → METHOD/DENOMINATOR → RIGHTS → MACHINE_DATA / RECIPE → CITATION / RELEASE_DIFF</x:v>
      </x:c>
      <x:c r="J198" s="24" t="str">
        <x:v>Raw or rights-restricted inputs cannot be redistributed merely for reproducibility.</x:v>
      </x:c>
      <x:c r="K198" s="24" t="str">
        <x:v>/data + /methodology + /evidence</x:v>
      </x:c>
    </x:row>
    <x:row r="199">
      <x:c r="A199" s="24" t="str">
        <x:v>Q-034</x:v>
      </x:c>
      <x:c r="B199" s="24" t="str">
        <x:v>What can YFSI provide to CBY leadership that is genuinely decision-useful without becoming a shadow supervisory system?</x:v>
      </x:c>
      <x:c r="C199" s="24" t="str">
        <x:v>Transforms public/authorized evidence into definition, currentness, gap and reform utilities while preserving CBY authority.</x:v>
      </x:c>
      <x:c r="D199" s="24" t="str">
        <x:v>DS-FINDEX-WB-OBS</x:v>
      </x:c>
      <x:c r="E199" s="24" t="str">
        <x:v>DS-PROVIDER-OBSERVABILITY</x:v>
      </x:c>
      <x:c r="F199" s="24" t="str">
        <x:v>DS-CBY-PAYMENTS</x:v>
      </x:c>
      <x:c r="G199" s="24" t="str">
        <x:v>DS-REFORM-EVENTS; DS-FCP-ARCH</x:v>
      </x:c>
      <x:c r="H199" s="24" t="str">
        <x:v>DS-CBY-DECISION-UTILITY</x:v>
      </x:c>
      <x:c r="I199" s="24" t="str">
        <x:v>PUBLIC_OR_AUTHORIZED_EVIDENCE → DECISION_QUESTION → DEFINITION/CURRENTNESS/GAP/STATE → DATA_REQUEST / BRIEF</x:v>
      </x:c>
      <x:c r="J199" s="24" t="str">
        <x:v>No supervisory finding, compliance certification, institution ranking or non-public operational assertion.</x:v>
      </x:c>
      <x:c r="K199" s="24" t="str">
        <x:v>/payments + /providers + /reforms + /evidence</x:v>
      </x:c>
    </x:row>
    <x:row r="200">
      <x:c r="A200" s="24" t="str">
        <x:v>Q-035</x:v>
      </x:c>
      <x:c r="B200" s="24" t="str">
        <x:v>How can CauseWay use YFSI in the live World Bank NFID Diagnostic opportunity without pretending the platform replaces the required primary study?</x:v>
      </x:c>
      <x:c r="C200" s="24" t="str">
        <x:v>Maps TOR workstreams to existing infrastructure, missing primary collection and secure delivery tools.</x:v>
      </x:c>
      <x:c r="D200" s="24" t="str">
        <x:v>DS-FINDEX-WB-OBS</x:v>
      </x:c>
      <x:c r="E200" s="24" t="str">
        <x:v>DS-PROVIDER-OBSERVABILITY</x:v>
      </x:c>
      <x:c r="F200" s="24" t="str">
        <x:v>DS-FIRM-FINANCE</x:v>
      </x:c>
      <x:c r="G200" s="24" t="str">
        <x:v>DS-REFORM-EVENTS; DS-FCP-ARCH</x:v>
      </x:c>
      <x:c r="H200" s="24" t="str">
        <x:v>DS-NFID-EOI-ALIGNMENT</x:v>
      </x:c>
      <x:c r="I200" s="24" t="str">
        <x:v>TOR_REQUIREMENT → EXISTING_YFSI_ASSET → NEW_PRIMARY_DATA_REQUIRED → BID/DELIVERY_TOOL → CONFIDENTIALITY_BOUNDARY</x:v>
      </x:c>
      <x:c r="J200" s="24" t="str">
        <x:v>FSP survey/interview evidence does not yet exist; assignment-confidential data must remain outside public YFSI unless approved for release.</x:v>
      </x:c>
      <x:c r="K200" s="24" t="str">
        <x:v>internal partnership / bid</x:v>
      </x:c>
    </x:row>
    <x:row r="201">
      <x:c r="A201" s="24" t="str">
        <x:v>Q-036</x:v>
      </x:c>
      <x:c r="B201" s="24" t="str">
        <x:v>Is the current B1 product expressing the analytical power of the canon clearly enough for people, researchers and decision-makers?</x:v>
      </x:c>
      <x:c r="C201" s="24" t="str">
        <x:v>Makes product usefulness an independent gate in addition to technical correctness.</x:v>
      </x:c>
      <x:c r="D201" s="24" t="str">
        <x:v>DS-FINDEX-PUBLIC-HISTORY</x:v>
      </x:c>
      <x:c r="E201" s="24" t="str">
        <x:v>DS-PROVIDER-OBSERVABILITY</x:v>
      </x:c>
      <x:c r="F201" s="24" t="str">
        <x:v>DS-CBY-PAYMENTS; DS-REMITTANCES</x:v>
      </x:c>
      <x:c r="G201" s="24" t="str">
        <x:v>DS-REFORM-EVENTS</x:v>
      </x:c>
      <x:c r="H201" s="24" t="str">
        <x:v>DS-B1-PRODUCT-CHALLENGE</x:v>
      </x:c>
      <x:c r="I201" s="24" t="str">
        <x:v>CANONICAL_POWER → CURRENT_RENDERED_PRODUCT → AUDIENCE_TASK_TEST → FIX/ELEVATE/HOLD</x:v>
      </x:c>
      <x:c r="J201" s="24" t="str">
        <x:v>B1 v0.3 fixes known state-label/borrowing defects but strategic audience-product testing remains open.</x:v>
      </x:c>
      <x:c r="K201" s="24" t="str">
        <x:v>internal / product</x:v>
      </x:c>
    </x:row>
    <x:row r="202">
      <x:c r="A202" s="24" t="str">
        <x:v>Q-037</x:v>
      </x:c>
      <x:c r="B202" s="24" t="str">
        <x:v>Can a public financial-inclusion tool be useful without turning assumptions into facts?</x:v>
      </x:c>
      <x:c r="C202" s="24" t="str">
        <x:v>Tests whether plain-economics calculators preserve model class, assumptions and causal boundaries.</x:v>
      </x:c>
      <x:c r="D202" s="24" t="str">
        <x:v>DS-FINDEX-PUBLIC-HISTORY</x:v>
      </x:c>
      <x:c r="E202" s="24"/>
      <x:c r="F202" s="24" t="str">
        <x:v>DS-REMITTANCES</x:v>
      </x:c>
      <x:c r="G202" s="24"/>
      <x:c r="H202" s="24" t="str">
        <x:v>DS-PUBLIC-ECONOMICS-IMPL</x:v>
      </x:c>
      <x:c r="I202" s="24" t="str">
        <x:v>USER_INPUT / ELIGIBLE_FACT → MODEL_CLASS → ASSUMPTION_LEDGER → ARITHMETIC/SCENARIO OUTPUT → EXPLICIT NON_CAUSAL BOUNDARY</x:v>
      </x:c>
      <x:c r="J202" s="24" t="str">
        <x:v>No validated national causal cost-of-exclusion model.</x:v>
      </x:c>
      <x:c r="K202" s="24" t="str">
        <x:v>/learn + /methodology</x:v>
      </x:c>
    </x:row>
    <x:row r="203">
      <x:c r="A203" s="24" t="str">
        <x:v>Q-038</x:v>
      </x:c>
      <x:c r="B203" s="24" t="str">
        <x:v>Can a researcher cite, download and audit the exact YFSI object without redistributing restricted source data?</x:v>
      </x:c>
      <x:c r="C203" s="24" t="str">
        <x:v>Converts research reproducibility from architecture into a tested product behavior.</x:v>
      </x:c>
      <x:c r="D203" s="24" t="str">
        <x:v>DS-FINDEX-PUBLIC-HISTORY</x:v>
      </x:c>
      <x:c r="E203" s="24"/>
      <x:c r="F203" s="24"/>
      <x:c r="G203" s="24"/>
      <x:c r="H203" s="24" t="str">
        <x:v>DS-RESEARCH-LAB-IMPL</x:v>
      </x:c>
      <x:c r="I203" s="24" t="str">
        <x:v>OBJECT_ID → SOURCE/PASSPORT → RIGHTS → CITATION / SAFE_EXPORT → RELEASE_VERSION</x:v>
      </x:c>
      <x:c r="J203" s="24" t="str">
        <x:v>Persistent R0 URLs, release diff and full derivation recipes remain open.</x:v>
      </x:c>
      <x:c r="K203" s="24" t="str">
        <x:v>/research + /data</x:v>
      </x:c>
    </x:row>
    <x:row r="204">
      <x:c r="A204" s="24" t="str">
        <x:v>Q-039</x:v>
      </x:c>
      <x:c r="B204" s="24" t="str">
        <x:v>Can CBY-facing decision utility improve definitions and evidence readiness without imitating supervision?</x:v>
      </x:c>
      <x:c r="C204" s="24" t="str">
        <x:v>Tests the strongest institutional value proposition against the permanent non-authority boundary.</x:v>
      </x:c>
      <x:c r="D204" s="24"/>
      <x:c r="E204" s="24" t="str">
        <x:v>DS-PROVIDER-OBSERVABILITY</x:v>
      </x:c>
      <x:c r="F204" s="24" t="str">
        <x:v>DS-CBY-PAYMENTS</x:v>
      </x:c>
      <x:c r="G204" s="24" t="str">
        <x:v>DS-FCP-ARCH; DS-REFORM-EVENTS</x:v>
      </x:c>
      <x:c r="H204" s="24" t="str">
        <x:v>DS-CBY-UTILITY-IMPL</x:v>
      </x:c>
      <x:c r="I204" s="24" t="str">
        <x:v>PUBLIC/AUTHORIZED EVIDENCE → DEFINITION/CURRENTNESS/UNIVERSE GAP → DATA SPEC/KPI CONTRACT → DECISION SUPPORT</x:v>
      </x:c>
      <x:c r="J204" s="24" t="str">
        <x:v>Authorized operational/provider data remain absent; no supervisory conclusion allowed.</x:v>
      </x:c>
      <x:c r="K204" s="24" t="str">
        <x:v>/decision/cby + /payments + /providers</x:v>
      </x:c>
    </x:row>
    <x:row r="205">
      <x:c r="A205" s="24" t="str">
        <x:v>Q-040</x:v>
      </x:c>
      <x:c r="B205" s="24" t="str">
        <x:v>Is the NFID primary-data architecture ready to collect new evidence without contaminating public YFSI with confidential project data?</x:v>
      </x:c>
      <x:c r="C205" s="24" t="str">
        <x:v>Makes the procurement opportunity a secure data-design test rather than a reason to overclaim existing coverage.</x:v>
      </x:c>
      <x:c r="D205" s="24"/>
      <x:c r="E205" s="24" t="str">
        <x:v>DS-PROVIDER-OBSERVABILITY</x:v>
      </x:c>
      <x:c r="F205" s="24" t="str">
        <x:v>DS-FIRM-FINANCE</x:v>
      </x:c>
      <x:c r="G205" s="24" t="str">
        <x:v>DS-FCP-ARCH; DS-REFORM-EVENTS</x:v>
      </x:c>
      <x:c r="H205" s="24" t="str">
        <x:v>DS-NFID-SECURE-ARCH</x:v>
      </x:c>
      <x:c r="I205" s="24" t="str">
        <x:v>TOR → MODULE/FIELD/VALIDATION → SECURE RESPONSE WORKSPACE → ANALYSIS/VALIDATION → APPROVED AGGREGATE/PUBLICATION GATE</x:v>
      </x:c>
      <x:c r="J205" s="24" t="str">
        <x:v>No FSP/interview responses exist; award/clarifications/security terms may change requirements.</x:v>
      </x:c>
      <x:c r="K205" s="24" t="str">
        <x:v>internal secure project / bid</x:v>
      </x:c>
    </x:row>
    <x:row r="206">
      <x:c r="A206" s="24" t="str">
        <x:v>Q-041</x:v>
      </x:c>
      <x:c r="B206" s="24" t="str">
        <x:v>Has B1 v0.4 earned promotion from concept to a controlled production candidate?</x:v>
      </x:c>
      <x:c r="C206" s="24" t="str">
        <x:v>Joins static QA, browser runtime, asset hashes and visual review into one implementation gate.</x:v>
      </x:c>
      <x:c r="D206" s="24"/>
      <x:c r="E206" s="24"/>
      <x:c r="F206" s="24"/>
      <x:c r="G206" s="24"/>
      <x:c r="H206" s="24" t="str">
        <x:v>DS-B1-V04-ASSET-MANIFEST</x:v>
      </x:c>
      <x:c r="I206" s="24" t="str">
        <x:v>IMMUTABLE ASSETS → STATIC QA → CHROMIUM QA → VISUAL QA → PASS/REOPEN → NEXT PRODUCTION INCREMENT</x:v>
      </x:c>
      <x:c r="J206" s="24" t="str">
        <x:v>External task/usability testing, full accessibility matrix and R0 remain open.</x:v>
      </x:c>
      <x:c r="K206" s="24" t="str">
        <x:v>internal build governance</x:v>
      </x:c>
    </x:row>
    <x:row r="207">
      <x:c r="A207" s="24" t="str">
        <x:v>Q-042</x:v>
      </x:c>
      <x:c r="B207" s="24" t="str">
        <x:v>Can every declared public/launch object be compiled without bypassing publication, provenance, rights, semantic or HOLD controls?</x:v>
      </x:c>
      <x:c r="C207" s="24" t="str">
        <x:v>Turns release eligibility into an executable object compiler rather than a collection of disconnected spreadsheets.</x:v>
      </x:c>
      <x:c r="D207" s="24"/>
      <x:c r="E207" s="24"/>
      <x:c r="F207" s="24"/>
      <x:c r="G207" s="24"/>
      <x:c r="H207" s="24" t="str">
        <x:v>DS-FULL-LAUNCH-COMPILER</x:v>
      </x:c>
      <x:c r="I207" s="24" t="str">
        <x:v>PUBLICATION_ELIGIBILITY → PASSPORT/TRACEABILITY → ROUTE/LAUNCH → COMPILER_ACTION → FAIL_CLOSED_PACKAGE</x:v>
      </x:c>
      <x:c r="J207" s="24" t="str">
        <x:v>Full frontend implementation and Arabic authoring remain open.</x:v>
      </x:c>
      <x:c r="K207" s="24" t="str">
        <x:v>internal compiler / methodology</x:v>
      </x:c>
    </x:row>
    <x:row r="208">
      <x:c r="A208" s="24" t="str">
        <x:v>Q-043</x:v>
      </x:c>
      <x:c r="B208" s="24" t="str">
        <x:v>Can the full launch package be consumed by routes without hand-copying evidence or creating route drift?</x:v>
      </x:c>
      <x:c r="C208" s="24" t="str">
        <x:v>Binds immutable release input to governed route contracts and makes missing route state a build failure.</x:v>
      </x:c>
      <x:c r="D208" s="24"/>
      <x:c r="E208" s="24"/>
      <x:c r="F208" s="24"/>
      <x:c r="G208" s="24"/>
      <x:c r="H208" s="24" t="str">
        <x:v>DS-ROUTE-OBJECT-BINDINGS</x:v>
      </x:c>
      <x:c r="I208" s="24" t="str">
        <x:v>IMMUTABLE_PACKAGE → ROUTE_CONTRACT → OBJECT_BINDING → COMPONENT_RENDER / HOLD_GAP</x:v>
      </x:c>
      <x:c r="J208" s="24" t="str">
        <x:v>Binding contract exists; B1 full frontend implementation is next.</x:v>
      </x:c>
      <x:c r="K208" s="24" t="str">
        <x:v>internal build governance</x:v>
      </x:c>
    </x:row>
    <x:row r="209">
      <x:c r="A209" s="24" t="str">
        <x:v>Q-044</x:v>
      </x:c>
      <x:c r="B209" s="24" t="str">
        <x:v>Is bilingual expansion governed object-by-object rather than treated as a final translation pass?</x:v>
      </x:c>
      <x:c r="C209" s="24" t="str">
        <x:v>Makes Arabic a release gate while preserving one language-neutral factual/evidence object.</x:v>
      </x:c>
      <x:c r="D209" s="24" t="str">
        <x:v>DS-FINDEX-PUBLIC-HISTORY</x:v>
      </x:c>
      <x:c r="E209" s="24"/>
      <x:c r="F209" s="24"/>
      <x:c r="G209" s="24"/>
      <x:c r="H209" s="24" t="str">
        <x:v>DS-BILINGUAL-AUTHORING-GATE</x:v>
      </x:c>
      <x:c r="I209" s="24" t="str">
        <x:v>CANONICAL_OBJECT → NATIVE_AR_AUTHORING → TERMINOLOGY_QA → EVIDENCE_INVARIANCE → BROWSER_QA</x:v>
      </x:c>
      <x:c r="J209" s="24" t="str">
        <x:v>Non-P0 Arabic claim narratives are not fully authored yet; R0 remains blocked.</x:v>
      </x:c>
      <x:c r="K209" s="24" t="str">
        <x:v>Arabic full-route implementation</x:v>
      </x:c>
    </x:row>
    <x:row r="210">
      <x:c r="A210" s="24" t="str">
        <x:v>Q-045</x:v>
      </x:c>
      <x:c r="B210" s="24" t="str">
        <x:v>Has the canonical evidence/product system reached the point where full B1 frontend implementation can proceed without reopening evidence truth?</x:v>
      </x:c>
      <x:c r="C210" s="24" t="str">
        <x:v>Joins publication completeness, package integrity, routes, HOLD behavior and bilingual gating into one next-lane decision.</x:v>
      </x:c>
      <x:c r="D210" s="24"/>
      <x:c r="E210" s="24"/>
      <x:c r="F210" s="24"/>
      <x:c r="G210" s="24"/>
      <x:c r="H210" s="24" t="str">
        <x:v>DS-V022-RECON-GATE</x:v>
      </x:c>
      <x:c r="I210" s="24" t="str">
        <x:v>CANONICAL_TRUTH → FULL_LAUNCH_COMPILER → IMMUTABLE_PACKAGE → B1_FULL_IMPLEMENTATION</x:v>
      </x:c>
      <x:c r="J210" s="24" t="str">
        <x:v>Audience task acceptance, full accessibility/device regression and R0 remain open.</x:v>
      </x:c>
      <x:c r="K210" s="24" t="str">
        <x:v>internal release control</x:v>
      </x:c>
    </x:row>
    <x:row r="211">
      <x:c r="A211" s="24" t="str">
        <x:v>Q-046</x:v>
      </x:c>
      <x:c r="B211" s="24" t="str">
        <x:v>How much is remitted to Yemen, and why do credible estimates differ?</x:v>
      </x:c>
      <x:c r="C211" s="24" t="str">
        <x:v>Prevents a false single-number baseline and identifies conclusions robust to method/scope.</x:v>
      </x:c>
      <x:c r="D211" s="24" t="str">
        <x:v>Household/remittance context</x:v>
      </x:c>
      <x:c r="E211" s="24"/>
      <x:c r="F211" s="24" t="str">
        <x:v>CBY/IMF/CCY flows</x:v>
      </x:c>
      <x:c r="G211" s="24"/>
      <x:c r="H211" s="24" t="str">
        <x:v>World Bank/IGC history</x:v>
      </x:c>
      <x:c r="I211" s="24" t="str">
        <x:v>REGIME → COMPONENT_METHOD → SCOPE → MODEL/OBSERVATION → RESIDUAL → ROBUST_CONCLUSION</x:v>
      </x:c>
      <x:c r="J211" s="24" t="str">
        <x:v>Exact remittance formula/CBY scope crosswalk.</x:v>
      </x:c>
      <x:c r="K211" s="24" t="str">
        <x:v>/remittances + /evidence/compare</x:v>
      </x:c>
    </x:row>
    <x:row r="212">
      <x:c r="A212" s="24" t="str">
        <x:v>Q-047</x:v>
      </x:c>
      <x:c r="B212" s="24" t="str">
        <x:v>Can CBY and IMF external-sector tables be converted into each other?</x:v>
      </x:c>
      <x:c r="C212" s="24" t="str">
        <x:v>Answers the crosswalk question component-by-component rather than with an invented scalar.</x:v>
      </x:c>
      <x:c r="D212" s="24"/>
      <x:c r="E212" s="24"/>
      <x:c r="F212" s="24" t="str">
        <x:v>CBY/IMF BOP components</x:v>
      </x:c>
      <x:c r="G212" s="24"/>
      <x:c r="H212" s="24" t="str">
        <x:v>IMF method history</x:v>
      </x:c>
      <x:c r="I212" s="24" t="str">
        <x:v>COMPONENT → CONCEPT → SIGN → SOURCE → TRANSFORM → GEOGRAPHY → COMPARABILITY_CLASS</x:v>
      </x:c>
      <x:c r="J212" s="24" t="str">
        <x:v>Detailed mission crosswalk and financial-account mapping.</x:v>
      </x:c>
      <x:c r="K212" s="24" t="str">
        <x:v>/external-sector + /methodology</x:v>
      </x:c>
    </x:row>
    <x:row r="213">
      <x:c r="A213" s="24" t="str">
        <x:v>Q-048</x:v>
      </x:c>
      <x:c r="B213" s="24" t="str">
        <x:v>How should Yemen's external-flow uncertainty change a decision?</x:v>
      </x:c>
      <x:c r="C213" s="24" t="str">
        <x:v>Makes E&amp;O and stock-flow reconciliation visible before precise flow ranking.</x:v>
      </x:c>
      <x:c r="D213" s="24"/>
      <x:c r="E213" s="24"/>
      <x:c r="F213" s="24" t="str">
        <x:v>BOP/IIP/residual evidence</x:v>
      </x:c>
      <x:c r="G213" s="24"/>
      <x:c r="H213" s="24" t="str">
        <x:v>BPM standard</x:v>
      </x:c>
      <x:c r="I213" s="24" t="str">
        <x:v>FLOW → RESIDUAL_SCALE → COMPONENT_RECON → STOCK_FLOW_TEST → CONFIDENCE_BOUNDARY</x:v>
      </x:c>
      <x:c r="J213" s="24" t="str">
        <x:v>Component-level E&amp;O and IIP reconciliation inputs.</x:v>
      </x:c>
      <x:c r="K213" s="24" t="str">
        <x:v>/external-sector + /evidence</x:v>
      </x:c>
    </x:row>
    <x:row r="214">
      <x:c r="A214" s="24" t="str">
        <x:v>Q-049</x:v>
      </x:c>
      <x:c r="B214" s="24" t="str">
        <x:v>When does a cash payment become durable financial inclusion?</x:v>
      </x:c>
      <x:c r="C214" s="24" t="str">
        <x:v>Separates delivery success from persistent active use and outcome.</x:v>
      </x:c>
      <x:c r="D214" s="24" t="str">
        <x:v>Programme/household evidence</x:v>
      </x:c>
      <x:c r="E214" s="24" t="str">
        <x:v>Rail/provider evidence</x:v>
      </x:c>
      <x:c r="F214" s="24" t="str">
        <x:v>Cash/payment evidence</x:v>
      </x:c>
      <x:c r="G214" s="24" t="str">
        <x:v>Project/regulatory state</x:v>
      </x:c>
      <x:c r="H214" s="24" t="str">
        <x:v>CCY/REACH/WB context</x:v>
      </x:c>
      <x:c r="I214" s="24" t="str">
        <x:v>DELIVERY → USABILITY → RESILIENCE → LINKAGES → FORMAL_ACCESS → DURABLE_USE → OUTCOME</x:v>
      </x:c>
      <x:c r="J214" s="24" t="str">
        <x:v>Longitudinal post-transfer transaction data.</x:v>
      </x:c>
      <x:c r="K214" s="24" t="str">
        <x:v>/cash + /people + /payments</x:v>
      </x:c>
    </x:row>
    <x:row r="215">
      <x:c r="A215" s="24" t="str">
        <x:v>Q-050</x:v>
      </x:c>
      <x:c r="B215" s="24" t="str">
        <x:v>How does Saudi support move from announcement to economic use?</x:v>
      </x:c>
      <x:c r="C215" s="24" t="str">
        <x:v>Prevents double count and distinguishes fiscal, reserve, import-finance and project channels.</x:v>
      </x:c>
      <x:c r="D215" s="24"/>
      <x:c r="E215" s="24"/>
      <x:c r="F215" s="24" t="str">
        <x:v>Budget/deposit/auction flows</x:v>
      </x:c>
      <x:c r="G215" s="24"/>
      <x:c r="H215" s="24" t="str">
        <x:v>AidData history</x:v>
      </x:c>
      <x:c r="I215" s="24" t="str">
        <x:v>PLEDGE/COMMITMENT → CUSTODY/AGREEMENT → AVAILABLE/DISBURSED → AUCTION/IN_KIND/PROJECT_USE</x:v>
      </x:c>
      <x:c r="J215" s="24" t="str">
        <x:v>Reconciled parent-package/tranche/disbursement ledger.</x:v>
      </x:c>
      <x:c r="K215" s="24" t="str">
        <x:v>/external-support + /system</x:v>
      </x:c>
    </x:row>
  </x:sheetData>
  <x:mergeCells>
    <x:mergeCell ref="A1:N1"/>
    <x:mergeCell ref="A2:N2"/>
    <x:mergeCell ref="A4:K4"/>
    <x:mergeCell ref="A40:I40"/>
    <x:mergeCell ref="A106:H106"/>
    <x:mergeCell ref="A152:N152"/>
    <x:mergeCell ref="A164:K164"/>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Mar-2025–Jun-2026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For April 2026→May 2026, the May source graphic displays +2.4% for terminals and +9.9% for transactions, which the published totals (1,583→1,636; 30,559→36,201) do not yield; because the source contradicts itself, no change is derived for that month (owner note, 3 October 2026). A smaller source-internal mismatch also appears in June 2025: 733→791 terminals imply approximately +7.91%, while the June graphic displays +7.6%. The February 2026 release displays +1.9% for terminals and −2.3% for value where the totals give about +1.97% and −2.38%; these differences are under 0.1 point and are recorded, not flagged. From the January 2026 release onward the YER value tile is labelled “billion” (مليار), while earlier releases state million YER. Every release writes the decimal mark as a comma (April 2025 prints 317,639 under million: 317.639 million; January 2026 prints 1,262 under billion: 1.262 billion = YER 1,262 million), so the series is kept in YER million. Month-on-month percentages cannot tell the two scales apart; the comma reading, and a value per transaction close to the Q3 2024 report's (about YER 52,500), do. The February–June 2026 releases are listed on the Arabic payments page only.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and May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Reported history 2018–2024 (staff calculations); estimate 2025; projection 2026–2030</x:v>
      </x:c>
      <x:c r="G8" s="24" t="str">
        <x:v>External-sector macro concept; IMF analytical scope for areas under the internationally recognized government</x:v>
      </x:c>
      <x:c r="H8" s="24" t="str">
        <x:v>Source-reported/staff calculations</x:v>
      </x:c>
      <x:c r="I8" s="24" t="str">
        <x:v>Not payment-system settlement throughput and not directly measured hawala volume</x:v>
      </x:c>
      <x:c r="J8" s="24" t="str">
        <x:v>PRIMARY_OFFICIAL_MACRO</x:v>
      </x:c>
      <x:c r="K8" s="24" t="str">
        <x:v>/remittances/</x:v>
      </x:c>
      <x:c r="L8" s="24" t="str">
        <x:v>Reported-history, estimate and projection states must be visually separate,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decision number, entity class or branch type, and action, with the annual-roster context and the fact that current operation requires entity-level reconciliation. Entity names are non-public lineage and are not shown.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143</x:v>
      </x:c>
      <x:c r="D5" s="24" t="n">
        <x:f>COUNTA('02_SITE_MAP'!A5:A300)</x:f>
        <x:v>143</x:v>
      </x:c>
      <x:c r="E5" s="24" t="str">
        <x:f>IF(D5=C5,"READY","REVIEW")</x:f>
        <x:v>READY</x:v>
      </x:c>
      <x:c r="F5" s="24" t="str">
        <x:v>02_SITE_MAP</x:v>
      </x:c>
      <x:c r="G5" s="24" t="str">
        <x:v>Every site page instance is represented.</x:v>
      </x:c>
    </x:row>
    <x:row r="6">
      <x:c r="A6" s="24" t="str">
        <x:v>Site</x:v>
      </x:c>
      <x:c r="B6" s="24" t="str">
        <x:v>Bilingual page sections</x:v>
      </x:c>
      <x:c r="C6" s="24" t="n">
        <x:v>574</x:v>
      </x:c>
      <x:c r="D6" s="24" t="n">
        <x:v>574</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110</x:v>
      </x:c>
      <x:c r="D8" s="24" t="n">
        <x:f>COUNTA('06_EVIDENCE_OBJECTS'!A5:A300)</x:f>
        <x:v>110</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10</x:v>
      </x:c>
      <x:c r="D10" s="24" t="n">
        <x:f>COUNTA('08_READINGS'!A5:A50)</x:f>
        <x:v>10</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36</x:v>
      </x:c>
      <x:c r="D12" s="24" t="n">
        <x:f>COUNTA('11_VISUAL_LIBRARY'!A5:A100)</x:f>
        <x:v>36</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23</x:v>
      </x:c>
      <x:c r="D14" s="24" t="n">
        <x:v>23</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165</x:v>
      </x:c>
      <x:c r="D15" s="24" t="n">
        <x:v>165</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216</x:v>
      </x:c>
      <x:c r="D17" s="24" t="n">
        <x:f>COUNTA('17_INDICATOR_LIBRARY'!A5:A400)</x:f>
        <x:v>216</x:v>
      </x:c>
      <x:c r="E17" s="24" t="str">
        <x:f>IF(D17=C17,"READY","REVIEW")</x:f>
        <x:v>READY</x:v>
      </x:c>
      <x:c r="F17" s="24" t="str">
        <x:v>17_INDICATOR_LIBRARY</x:v>
      </x:c>
      <x:c r="G17" s="24" t="str">
        <x:v>Indicators and metrics are centralised.</x:v>
      </x:c>
    </x:row>
    <x:row r="18">
      <x:c r="A18" s="24" t="str">
        <x:v>Data</x:v>
      </x:c>
      <x:c r="B18" s="24" t="str">
        <x:v>CBY monetary observations</x:v>
      </x:c>
      <x:c r="C18" s="24" t="n">
        <x:v>686</x:v>
      </x:c>
      <x:c r="D18" s="24" t="n">
        <x:f>COUNTA('18_CBY_MONETARY'!A5:A900)</x:f>
        <x:v>686</x:v>
      </x:c>
      <x:c r="E18" s="24" t="str">
        <x:f>IF(D18=C18,"READY","REVIEW")</x:f>
        <x:v>READY</x:v>
      </x:c>
      <x:c r="F18" s="24" t="str">
        <x:v>18_CBY_MONETARY</x:v>
      </x:c>
      <x:c r="G18" s="24" t="str">
        <x:v>Monetary and banking context is preserved.</x:v>
      </x:c>
    </x:row>
    <x:row r="19">
      <x:c r="A19" s="24" t="str">
        <x:v>Data</x:v>
      </x:c>
      <x:c r="B19" s="24" t="str">
        <x:v>Payment observations</x:v>
      </x:c>
      <x:c r="C19" s="24" t="n">
        <x:v>97</x:v>
      </x:c>
      <x:c r="D19" s="24" t="n">
        <x:f>COUNTA('19_PAYMENTS_DATA'!A5:A200)</x:f>
        <x:v>97</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23</x:v>
      </x:c>
      <x:c r="D21" s="24" t="n">
        <x:f>COUNTA('23_REMITTANCES'!A5:A100)</x:f>
        <x:v>23</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