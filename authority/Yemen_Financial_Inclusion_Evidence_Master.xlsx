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141</x:v>
      </x:c>
      <x:c r="C14" s="23" t="n">
        <x:v>141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572</x:v>
      </x:c>
      <x:c r="C15" s="23" t="n">
        <x:v>572</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108</x:v>
      </x:c>
      <x:c r="C17" s="23" t="n">
        <x:v>108</x:v>
      </x:c>
    </x:row>
    <x:row r="18">
      <x:c r="A18" s="23" t="str">
        <x:v>Public claims</x:v>
      </x:c>
      <x:c r="B18" s="23" t="n">
        <x:f>COUNTA('07_PUBLIC_CLAIMS'!A5:A200)</x:f>
        <x:v>59</x:v>
      </x:c>
      <x:c r="C18" s="23" t="n">
        <x:v>59</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24</x:v>
      </x:c>
      <x:c r="C23" s="23" t="n">
        <x:v>24</x:v>
      </x:c>
    </x:row>
    <x:row r="24">
      <x:c r="A24" s="23" t="str">
        <x:v>Sources</x:v>
      </x:c>
      <x:c r="B24" s="23" t="n">
        <x:v>159</x:v>
      </x:c>
      <x:c r="C24" s="23" t="n">
        <x:v>159</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1473</x:v>
      </x:c>
      <x:c r="C36" s="23" t="str">
        <x:v>count</x:v>
      </x:c>
      <x:c r="D36" s="23" t="str">
        <x:v>Jan-2026</x:v>
      </x:c>
      <x:c r="E36" s="23" t="str">
        <x:v>SRC-CBY-POS-2026-01</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24-event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x:c r="H5" s="28"/>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x:c r="H6" s="28"/>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x:c r="H8" s="28"/>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x:c r="H10" s="28"/>
    </x:row>
    <x:row r="11">
      <x:c r="A11" s="24" t="str">
        <x:v>/evidence/CLM-001/</x:v>
      </x:c>
      <x:c r="B11" s="24" t="str">
        <x:v>evidence_detail</x:v>
      </x:c>
      <x:c r="C11" s="24" t="str">
        <x:v>/evidence/[id]</x:v>
      </x:c>
      <x:c r="D11" s="24" t="str">
        <x:v>CLM-001</x:v>
      </x:c>
      <x:c r="E11" s="24"/>
      <x:c r="F11" s="28"/>
      <x:c r="G11" s="24"/>
      <x:c r="H11" s="28"/>
    </x:row>
    <x:row r="12">
      <x:c r="A12" s="24" t="str">
        <x:v>/evidence/CLM-002/</x:v>
      </x:c>
      <x:c r="B12" s="24" t="str">
        <x:v>evidence_detail</x:v>
      </x:c>
      <x:c r="C12" s="24" t="str">
        <x:v>/evidence/[id]</x:v>
      </x:c>
      <x:c r="D12" s="24" t="str">
        <x:v>CLM-002</x:v>
      </x:c>
      <x:c r="E12" s="24"/>
      <x:c r="F12" s="28"/>
      <x:c r="G12" s="24"/>
      <x:c r="H12" s="28"/>
    </x:row>
    <x:row r="13">
      <x:c r="A13" s="24" t="str">
        <x:v>/evidence/CLM-003/</x:v>
      </x:c>
      <x:c r="B13" s="24" t="str">
        <x:v>evidence_detail</x:v>
      </x:c>
      <x:c r="C13" s="24" t="str">
        <x:v>/evidence/[id]</x:v>
      </x:c>
      <x:c r="D13" s="24" t="str">
        <x:v>CLM-003</x:v>
      </x:c>
      <x:c r="E13" s="24"/>
      <x:c r="F13" s="28"/>
      <x:c r="G13" s="24"/>
      <x:c r="H13" s="28"/>
    </x:row>
    <x:row r="14">
      <x:c r="A14" s="24" t="str">
        <x:v>/evidence/CLM-004/</x:v>
      </x:c>
      <x:c r="B14" s="24" t="str">
        <x:v>evidence_detail</x:v>
      </x:c>
      <x:c r="C14" s="24" t="str">
        <x:v>/evidence/[id]</x:v>
      </x:c>
      <x:c r="D14" s="24" t="str">
        <x:v>CLM-004</x:v>
      </x:c>
      <x:c r="E14" s="24"/>
      <x:c r="F14" s="28"/>
      <x:c r="G14" s="24"/>
      <x:c r="H14" s="28"/>
    </x:row>
    <x:row r="15">
      <x:c r="A15" s="24" t="str">
        <x:v>/evidence/CLM-005/</x:v>
      </x:c>
      <x:c r="B15" s="24" t="str">
        <x:v>evidence_detail</x:v>
      </x:c>
      <x:c r="C15" s="24" t="str">
        <x:v>/evidence/[id]</x:v>
      </x:c>
      <x:c r="D15" s="24" t="str">
        <x:v>CLM-005</x:v>
      </x:c>
      <x:c r="E15" s="24"/>
      <x:c r="F15" s="28"/>
      <x:c r="G15" s="24"/>
      <x:c r="H15" s="28"/>
    </x:row>
    <x:row r="16">
      <x:c r="A16" s="24" t="str">
        <x:v>/evidence/CLM-006/</x:v>
      </x:c>
      <x:c r="B16" s="24" t="str">
        <x:v>evidence_detail</x:v>
      </x:c>
      <x:c r="C16" s="24" t="str">
        <x:v>/evidence/[id]</x:v>
      </x:c>
      <x:c r="D16" s="24" t="str">
        <x:v>CLM-006</x:v>
      </x:c>
      <x:c r="E16" s="24"/>
      <x:c r="F16" s="28"/>
      <x:c r="G16" s="24"/>
      <x:c r="H16" s="28"/>
    </x:row>
    <x:row r="17">
      <x:c r="A17" s="24" t="str">
        <x:v>/evidence/CLM-007/</x:v>
      </x:c>
      <x:c r="B17" s="24" t="str">
        <x:v>evidence_detail</x:v>
      </x:c>
      <x:c r="C17" s="24" t="str">
        <x:v>/evidence/[id]</x:v>
      </x:c>
      <x:c r="D17" s="24" t="str">
        <x:v>CLM-007</x:v>
      </x:c>
      <x:c r="E17" s="24"/>
      <x:c r="F17" s="28"/>
      <x:c r="G17" s="24"/>
      <x:c r="H17" s="28"/>
    </x:row>
    <x:row r="18">
      <x:c r="A18" s="24" t="str">
        <x:v>/evidence/CLM-008/</x:v>
      </x:c>
      <x:c r="B18" s="24" t="str">
        <x:v>evidence_detail</x:v>
      </x:c>
      <x:c r="C18" s="24" t="str">
        <x:v>/evidence/[id]</x:v>
      </x:c>
      <x:c r="D18" s="24" t="str">
        <x:v>CLM-008</x:v>
      </x:c>
      <x:c r="E18" s="24"/>
      <x:c r="F18" s="28"/>
      <x:c r="G18" s="24"/>
      <x:c r="H18" s="28"/>
    </x:row>
    <x:row r="19">
      <x:c r="A19" s="24" t="str">
        <x:v>/evidence/CLM-009/</x:v>
      </x:c>
      <x:c r="B19" s="24" t="str">
        <x:v>evidence_detail</x:v>
      </x:c>
      <x:c r="C19" s="24" t="str">
        <x:v>/evidence/[id]</x:v>
      </x:c>
      <x:c r="D19" s="24" t="str">
        <x:v>CLM-009</x:v>
      </x:c>
      <x:c r="E19" s="24"/>
      <x:c r="F19" s="28"/>
      <x:c r="G19" s="24"/>
      <x:c r="H19" s="28"/>
    </x:row>
    <x:row r="20">
      <x:c r="A20" s="24" t="str">
        <x:v>/evidence/CLM-010/</x:v>
      </x:c>
      <x:c r="B20" s="24" t="str">
        <x:v>evidence_detail</x:v>
      </x:c>
      <x:c r="C20" s="24" t="str">
        <x:v>/evidence/[id]</x:v>
      </x:c>
      <x:c r="D20" s="24" t="str">
        <x:v>CLM-010</x:v>
      </x:c>
      <x:c r="E20" s="24"/>
      <x:c r="F20" s="28"/>
      <x:c r="G20" s="24"/>
      <x:c r="H20" s="28"/>
    </x:row>
    <x:row r="21">
      <x:c r="A21" s="24" t="str">
        <x:v>/evidence/CLM-011/</x:v>
      </x:c>
      <x:c r="B21" s="24" t="str">
        <x:v>evidence_detail</x:v>
      </x:c>
      <x:c r="C21" s="24" t="str">
        <x:v>/evidence/[id]</x:v>
      </x:c>
      <x:c r="D21" s="24" t="str">
        <x:v>CLM-011</x:v>
      </x:c>
      <x:c r="E21" s="24"/>
      <x:c r="F21" s="28"/>
      <x:c r="G21" s="24"/>
      <x:c r="H21" s="28"/>
    </x:row>
    <x:row r="22">
      <x:c r="A22" s="24" t="str">
        <x:v>/evidence/CLM-012/</x:v>
      </x:c>
      <x:c r="B22" s="24" t="str">
        <x:v>evidence_detail</x:v>
      </x:c>
      <x:c r="C22" s="24" t="str">
        <x:v>/evidence/[id]</x:v>
      </x:c>
      <x:c r="D22" s="24" t="str">
        <x:v>CLM-012</x:v>
      </x:c>
      <x:c r="E22" s="24"/>
      <x:c r="F22" s="28"/>
      <x:c r="G22" s="24"/>
      <x:c r="H22" s="28"/>
    </x:row>
    <x:row r="23">
      <x:c r="A23" s="24" t="str">
        <x:v>/evidence/CLM-013/</x:v>
      </x:c>
      <x:c r="B23" s="24" t="str">
        <x:v>evidence_detail</x:v>
      </x:c>
      <x:c r="C23" s="24" t="str">
        <x:v>/evidence/[id]</x:v>
      </x:c>
      <x:c r="D23" s="24" t="str">
        <x:v>CLM-013</x:v>
      </x:c>
      <x:c r="E23" s="24"/>
      <x:c r="F23" s="28"/>
      <x:c r="G23" s="24"/>
      <x:c r="H23" s="28"/>
    </x:row>
    <x:row r="24">
      <x:c r="A24" s="24" t="str">
        <x:v>/evidence/CLM-014/</x:v>
      </x:c>
      <x:c r="B24" s="24" t="str">
        <x:v>evidence_detail</x:v>
      </x:c>
      <x:c r="C24" s="24" t="str">
        <x:v>/evidence/[id]</x:v>
      </x:c>
      <x:c r="D24" s="24" t="str">
        <x:v>CLM-014</x:v>
      </x:c>
      <x:c r="E24" s="24"/>
      <x:c r="F24" s="28"/>
      <x:c r="G24" s="24"/>
      <x:c r="H24" s="28"/>
    </x:row>
    <x:row r="25">
      <x:c r="A25" s="24" t="str">
        <x:v>/evidence/CLM-015/</x:v>
      </x:c>
      <x:c r="B25" s="24" t="str">
        <x:v>evidence_detail</x:v>
      </x:c>
      <x:c r="C25" s="24" t="str">
        <x:v>/evidence/[id]</x:v>
      </x:c>
      <x:c r="D25" s="24" t="str">
        <x:v>CLM-015</x:v>
      </x:c>
      <x:c r="E25" s="24"/>
      <x:c r="F25" s="28"/>
      <x:c r="G25" s="24"/>
      <x:c r="H25" s="28"/>
    </x:row>
    <x:row r="26">
      <x:c r="A26" s="24" t="str">
        <x:v>/evidence/CLM-016/</x:v>
      </x:c>
      <x:c r="B26" s="24" t="str">
        <x:v>evidence_detail</x:v>
      </x:c>
      <x:c r="C26" s="24" t="str">
        <x:v>/evidence/[id]</x:v>
      </x:c>
      <x:c r="D26" s="24" t="str">
        <x:v>CLM-016</x:v>
      </x:c>
      <x:c r="E26" s="24"/>
      <x:c r="F26" s="28"/>
      <x:c r="G26" s="24"/>
      <x:c r="H26" s="28"/>
    </x:row>
    <x:row r="27">
      <x:c r="A27" s="24" t="str">
        <x:v>/evidence/CLM-017/</x:v>
      </x:c>
      <x:c r="B27" s="24" t="str">
        <x:v>evidence_detail</x:v>
      </x:c>
      <x:c r="C27" s="24" t="str">
        <x:v>/evidence/[id]</x:v>
      </x:c>
      <x:c r="D27" s="24" t="str">
        <x:v>CLM-017</x:v>
      </x:c>
      <x:c r="E27" s="24"/>
      <x:c r="F27" s="28"/>
      <x:c r="G27" s="24"/>
      <x:c r="H27" s="28"/>
    </x:row>
    <x:row r="28">
      <x:c r="A28" s="24" t="str">
        <x:v>/evidence/CLM-018/</x:v>
      </x:c>
      <x:c r="B28" s="24" t="str">
        <x:v>evidence_detail</x:v>
      </x:c>
      <x:c r="C28" s="24" t="str">
        <x:v>/evidence/[id]</x:v>
      </x:c>
      <x:c r="D28" s="24" t="str">
        <x:v>CLM-018</x:v>
      </x:c>
      <x:c r="E28" s="24"/>
      <x:c r="F28" s="28"/>
      <x:c r="G28" s="24"/>
      <x:c r="H28" s="28"/>
    </x:row>
    <x:row r="29">
      <x:c r="A29" s="24" t="str">
        <x:v>/evidence/CLM-019/</x:v>
      </x:c>
      <x:c r="B29" s="24" t="str">
        <x:v>evidence_detail</x:v>
      </x:c>
      <x:c r="C29" s="24" t="str">
        <x:v>/evidence/[id]</x:v>
      </x:c>
      <x:c r="D29" s="24" t="str">
        <x:v>CLM-019</x:v>
      </x:c>
      <x:c r="E29" s="24"/>
      <x:c r="F29" s="28"/>
      <x:c r="G29" s="24"/>
      <x:c r="H29" s="28"/>
    </x:row>
    <x:row r="30">
      <x:c r="A30" s="24" t="str">
        <x:v>/evidence/CLM-020/</x:v>
      </x:c>
      <x:c r="B30" s="24" t="str">
        <x:v>evidence_detail</x:v>
      </x:c>
      <x:c r="C30" s="24" t="str">
        <x:v>/evidence/[id]</x:v>
      </x:c>
      <x:c r="D30" s="24" t="str">
        <x:v>CLM-020</x:v>
      </x:c>
      <x:c r="E30" s="24"/>
      <x:c r="F30" s="28"/>
      <x:c r="G30" s="24"/>
      <x:c r="H30" s="28"/>
    </x:row>
    <x:row r="31">
      <x:c r="A31" s="24" t="str">
        <x:v>/evidence/CLM-021/</x:v>
      </x:c>
      <x:c r="B31" s="24" t="str">
        <x:v>evidence_detail</x:v>
      </x:c>
      <x:c r="C31" s="24" t="str">
        <x:v>/evidence/[id]</x:v>
      </x:c>
      <x:c r="D31" s="24" t="str">
        <x:v>CLM-021</x:v>
      </x:c>
      <x:c r="E31" s="24"/>
      <x:c r="F31" s="28"/>
      <x:c r="G31" s="24"/>
      <x:c r="H31" s="28"/>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x:c r="H33" s="28"/>
    </x:row>
    <x:row r="34">
      <x:c r="A34" s="24" t="str">
        <x:v>/evidence/CLM-024/</x:v>
      </x:c>
      <x:c r="B34" s="24" t="str">
        <x:v>evidence_detail</x:v>
      </x:c>
      <x:c r="C34" s="24" t="str">
        <x:v>/evidence/[id]</x:v>
      </x:c>
      <x:c r="D34" s="24" t="str">
        <x:v>CLM-024</x:v>
      </x:c>
      <x:c r="E34" s="24"/>
      <x:c r="F34" s="28"/>
      <x:c r="G34" s="24"/>
      <x:c r="H34" s="28"/>
    </x:row>
    <x:row r="35">
      <x:c r="A35" s="24" t="str">
        <x:v>/evidence/CLM-025/</x:v>
      </x:c>
      <x:c r="B35" s="24" t="str">
        <x:v>evidence_detail</x:v>
      </x:c>
      <x:c r="C35" s="24" t="str">
        <x:v>/evidence/[id]</x:v>
      </x:c>
      <x:c r="D35" s="24" t="str">
        <x:v>CLM-025</x:v>
      </x:c>
      <x:c r="E35" s="24"/>
      <x:c r="F35" s="28"/>
      <x:c r="G35" s="24"/>
      <x:c r="H35" s="28"/>
    </x:row>
    <x:row r="36">
      <x:c r="A36" s="24" t="str">
        <x:v>/evidence/CLM-026/</x:v>
      </x:c>
      <x:c r="B36" s="24" t="str">
        <x:v>evidence_detail</x:v>
      </x:c>
      <x:c r="C36" s="24" t="str">
        <x:v>/evidence/[id]</x:v>
      </x:c>
      <x:c r="D36" s="24" t="str">
        <x:v>CLM-026</x:v>
      </x:c>
      <x:c r="E36" s="24"/>
      <x:c r="F36" s="28"/>
      <x:c r="G36" s="24"/>
      <x:c r="H36" s="28"/>
    </x:row>
    <x:row r="37">
      <x:c r="A37" s="24" t="str">
        <x:v>/evidence/CLM-027/</x:v>
      </x:c>
      <x:c r="B37" s="24" t="str">
        <x:v>evidence_detail</x:v>
      </x:c>
      <x:c r="C37" s="24" t="str">
        <x:v>/evidence/[id]</x:v>
      </x:c>
      <x:c r="D37" s="24" t="str">
        <x:v>CLM-027</x:v>
      </x:c>
      <x:c r="E37" s="24"/>
      <x:c r="F37" s="28"/>
      <x:c r="G37" s="24"/>
      <x:c r="H37" s="28"/>
    </x:row>
    <x:row r="38">
      <x:c r="A38" s="24" t="str">
        <x:v>/evidence/CLM-028/</x:v>
      </x:c>
      <x:c r="B38" s="24" t="str">
        <x:v>evidence_detail</x:v>
      </x:c>
      <x:c r="C38" s="24" t="str">
        <x:v>/evidence/[id]</x:v>
      </x:c>
      <x:c r="D38" s="24" t="str">
        <x:v>CLM-028</x:v>
      </x:c>
      <x:c r="E38" s="24"/>
      <x:c r="F38" s="28"/>
      <x:c r="G38" s="24"/>
      <x:c r="H38" s="28"/>
    </x:row>
    <x:row r="39">
      <x:c r="A39" s="24" t="str">
        <x:v>/evidence/CLM-029/</x:v>
      </x:c>
      <x:c r="B39" s="24" t="str">
        <x:v>evidence_detail</x:v>
      </x:c>
      <x:c r="C39" s="24" t="str">
        <x:v>/evidence/[id]</x:v>
      </x:c>
      <x:c r="D39" s="24" t="str">
        <x:v>CLM-029</x:v>
      </x:c>
      <x:c r="E39" s="24"/>
      <x:c r="F39" s="28"/>
      <x:c r="G39" s="24"/>
      <x:c r="H39" s="28"/>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x:c r="H41" s="28"/>
    </x:row>
    <x:row r="42">
      <x:c r="A42" s="24" t="str">
        <x:v>/evidence/CLM-032/</x:v>
      </x:c>
      <x:c r="B42" s="24" t="str">
        <x:v>evidence_detail</x:v>
      </x:c>
      <x:c r="C42" s="24" t="str">
        <x:v>/evidence/[id]</x:v>
      </x:c>
      <x:c r="D42" s="24" t="str">
        <x:v>CLM-032</x:v>
      </x:c>
      <x:c r="E42" s="24"/>
      <x:c r="F42" s="28"/>
      <x:c r="G42" s="24"/>
      <x:c r="H42" s="28"/>
    </x:row>
    <x:row r="43">
      <x:c r="A43" s="24" t="str">
        <x:v>/evidence/CLM-033/</x:v>
      </x:c>
      <x:c r="B43" s="24" t="str">
        <x:v>evidence_detail</x:v>
      </x:c>
      <x:c r="C43" s="24" t="str">
        <x:v>/evidence/[id]</x:v>
      </x:c>
      <x:c r="D43" s="24" t="str">
        <x:v>CLM-033</x:v>
      </x:c>
      <x:c r="E43" s="24"/>
      <x:c r="F43" s="28"/>
      <x:c r="G43" s="24"/>
      <x:c r="H43" s="28"/>
    </x:row>
    <x:row r="44">
      <x:c r="A44" s="24" t="str">
        <x:v>/evidence/CLM-034/</x:v>
      </x:c>
      <x:c r="B44" s="24" t="str">
        <x:v>evidence_detail</x:v>
      </x:c>
      <x:c r="C44" s="24" t="str">
        <x:v>/evidence/[id]</x:v>
      </x:c>
      <x:c r="D44" s="24" t="str">
        <x:v>CLM-034</x:v>
      </x:c>
      <x:c r="E44" s="24"/>
      <x:c r="F44" s="28"/>
      <x:c r="G44" s="24"/>
      <x:c r="H44" s="28"/>
    </x:row>
    <x:row r="45">
      <x:c r="A45" s="24" t="str">
        <x:v>/evidence/CLM-035/</x:v>
      </x:c>
      <x:c r="B45" s="24" t="str">
        <x:v>evidence_detail</x:v>
      </x:c>
      <x:c r="C45" s="24" t="str">
        <x:v>/evidence/[id]</x:v>
      </x:c>
      <x:c r="D45" s="24" t="str">
        <x:v>CLM-035</x:v>
      </x:c>
      <x:c r="E45" s="24"/>
      <x:c r="F45" s="28"/>
      <x:c r="G45" s="24"/>
      <x:c r="H45" s="28"/>
    </x:row>
    <x:row r="46">
      <x:c r="A46" s="24" t="str">
        <x:v>/evidence/CLM-036/</x:v>
      </x:c>
      <x:c r="B46" s="24" t="str">
        <x:v>evidence_detail</x:v>
      </x:c>
      <x:c r="C46" s="24" t="str">
        <x:v>/evidence/[id]</x:v>
      </x:c>
      <x:c r="D46" s="24" t="str">
        <x:v>CLM-036</x:v>
      </x:c>
      <x:c r="E46" s="24"/>
      <x:c r="F46" s="28"/>
      <x:c r="G46" s="24"/>
      <x:c r="H46" s="28"/>
    </x:row>
    <x:row r="47">
      <x:c r="A47" s="24" t="str">
        <x:v>/evidence/CLM-037/</x:v>
      </x:c>
      <x:c r="B47" s="24" t="str">
        <x:v>evidence_detail</x:v>
      </x:c>
      <x:c r="C47" s="24" t="str">
        <x:v>/evidence/[id]</x:v>
      </x:c>
      <x:c r="D47" s="24" t="str">
        <x:v>CLM-037</x:v>
      </x:c>
      <x:c r="E47" s="24"/>
      <x:c r="F47" s="28"/>
      <x:c r="G47" s="24"/>
      <x:c r="H47" s="28"/>
    </x:row>
    <x:row r="48">
      <x:c r="A48" s="24" t="str">
        <x:v>/evidence/CLM-038/</x:v>
      </x:c>
      <x:c r="B48" s="24" t="str">
        <x:v>evidence_detail</x:v>
      </x:c>
      <x:c r="C48" s="24" t="str">
        <x:v>/evidence/[id]</x:v>
      </x:c>
      <x:c r="D48" s="24" t="str">
        <x:v>CLM-038</x:v>
      </x:c>
      <x:c r="E48" s="24"/>
      <x:c r="F48" s="28"/>
      <x:c r="G48" s="24"/>
      <x:c r="H48" s="28"/>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x:c r="H50" s="28"/>
    </x:row>
    <x:row r="51">
      <x:c r="A51" s="24" t="str">
        <x:v>/evidence/CLM-041/</x:v>
      </x:c>
      <x:c r="B51" s="24" t="str">
        <x:v>evidence_detail</x:v>
      </x:c>
      <x:c r="C51" s="24" t="str">
        <x:v>/evidence/[id]</x:v>
      </x:c>
      <x:c r="D51" s="24" t="str">
        <x:v>CLM-041</x:v>
      </x:c>
      <x:c r="E51" s="24"/>
      <x:c r="F51" s="28"/>
      <x:c r="G51" s="24"/>
      <x:c r="H51" s="28"/>
    </x:row>
    <x:row r="52">
      <x:c r="A52" s="24" t="str">
        <x:v>/evidence/CLM-042/</x:v>
      </x:c>
      <x:c r="B52" s="24" t="str">
        <x:v>evidence_detail</x:v>
      </x:c>
      <x:c r="C52" s="24" t="str">
        <x:v>/evidence/[id]</x:v>
      </x:c>
      <x:c r="D52" s="24" t="str">
        <x:v>CLM-042</x:v>
      </x:c>
      <x:c r="E52" s="24"/>
      <x:c r="F52" s="28"/>
      <x:c r="G52" s="24"/>
      <x:c r="H52" s="28"/>
    </x:row>
    <x:row r="53">
      <x:c r="A53" s="24" t="str">
        <x:v>/evidence/CLM-043/</x:v>
      </x:c>
      <x:c r="B53" s="24" t="str">
        <x:v>evidence_detail</x:v>
      </x:c>
      <x:c r="C53" s="24" t="str">
        <x:v>/evidence/[id]</x:v>
      </x:c>
      <x:c r="D53" s="24" t="str">
        <x:v>CLM-043</x:v>
      </x:c>
      <x:c r="E53" s="24"/>
      <x:c r="F53" s="28"/>
      <x:c r="G53" s="24"/>
      <x:c r="H53" s="28"/>
    </x:row>
    <x:row r="54">
      <x:c r="A54" s="24" t="str">
        <x:v>/evidence/CLM-044/</x:v>
      </x:c>
      <x:c r="B54" s="24" t="str">
        <x:v>evidence_detail</x:v>
      </x:c>
      <x:c r="C54" s="24" t="str">
        <x:v>/evidence/[id]</x:v>
      </x:c>
      <x:c r="D54" s="24" t="str">
        <x:v>CLM-044</x:v>
      </x:c>
      <x:c r="E54" s="24"/>
      <x:c r="F54" s="28"/>
      <x:c r="G54" s="24"/>
      <x:c r="H54" s="28"/>
    </x:row>
    <x:row r="55">
      <x:c r="A55" s="24" t="str">
        <x:v>/evidence/CLM-045/</x:v>
      </x:c>
      <x:c r="B55" s="24" t="str">
        <x:v>evidence_detail</x:v>
      </x:c>
      <x:c r="C55" s="24" t="str">
        <x:v>/evidence/[id]</x:v>
      </x:c>
      <x:c r="D55" s="24" t="str">
        <x:v>CLM-045</x:v>
      </x:c>
      <x:c r="E55" s="24"/>
      <x:c r="F55" s="28"/>
      <x:c r="G55" s="24"/>
      <x:c r="H55" s="28"/>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x:c r="H57" s="28"/>
    </x:row>
    <x:row r="58">
      <x:c r="A58" s="24" t="str">
        <x:v>/evidence/CLM-048/</x:v>
      </x:c>
      <x:c r="B58" s="24" t="str">
        <x:v>evidence_detail</x:v>
      </x:c>
      <x:c r="C58" s="24" t="str">
        <x:v>/evidence/[id]</x:v>
      </x:c>
      <x:c r="D58" s="24" t="str">
        <x:v>CLM-048</x:v>
      </x:c>
      <x:c r="E58" s="24"/>
      <x:c r="F58" s="28"/>
      <x:c r="G58" s="24"/>
      <x:c r="H58" s="28"/>
    </x:row>
    <x:row r="59">
      <x:c r="A59" s="24" t="str">
        <x:v>/evidence/CLM-049/</x:v>
      </x:c>
      <x:c r="B59" s="24" t="str">
        <x:v>evidence_detail</x:v>
      </x:c>
      <x:c r="C59" s="24" t="str">
        <x:v>/evidence/[id]</x:v>
      </x:c>
      <x:c r="D59" s="24" t="str">
        <x:v>CLM-049</x:v>
      </x:c>
      <x:c r="E59" s="24"/>
      <x:c r="F59" s="28"/>
      <x:c r="G59" s="24"/>
      <x:c r="H59" s="28"/>
    </x:row>
    <x:row r="60">
      <x:c r="A60" s="24" t="str">
        <x:v>/evidence/CLM-050/</x:v>
      </x:c>
      <x:c r="B60" s="24" t="str">
        <x:v>evidence_detail</x:v>
      </x:c>
      <x:c r="C60" s="24" t="str">
        <x:v>/evidence/[id]</x:v>
      </x:c>
      <x:c r="D60" s="24" t="str">
        <x:v>CLM-050</x:v>
      </x:c>
      <x:c r="E60" s="24"/>
      <x:c r="F60" s="28"/>
      <x:c r="G60" s="24"/>
      <x:c r="H60" s="28"/>
    </x:row>
    <x:row r="61">
      <x:c r="A61" s="24" t="str">
        <x:v>/evidence/CLM-051/</x:v>
      </x:c>
      <x:c r="B61" s="24" t="str">
        <x:v>evidence_detail</x:v>
      </x:c>
      <x:c r="C61" s="24" t="str">
        <x:v>/evidence/[id]</x:v>
      </x:c>
      <x:c r="D61" s="24" t="str">
        <x:v>CLM-051</x:v>
      </x:c>
      <x:c r="E61" s="24"/>
      <x:c r="F61" s="28"/>
      <x:c r="G61" s="24"/>
      <x:c r="H61" s="28"/>
    </x:row>
    <x:row r="62">
      <x:c r="A62" s="24" t="str">
        <x:v>/evidence/CLM-052/</x:v>
      </x:c>
      <x:c r="B62" s="24" t="str">
        <x:v>evidence_detail</x:v>
      </x:c>
      <x:c r="C62" s="24" t="str">
        <x:v>/evidence/[id]</x:v>
      </x:c>
      <x:c r="D62" s="24" t="str">
        <x:v>CLM-052</x:v>
      </x:c>
      <x:c r="E62" s="24"/>
      <x:c r="F62" s="28"/>
      <x:c r="G62" s="24"/>
      <x:c r="H62" s="28"/>
    </x:row>
    <x:row r="63">
      <x:c r="A63" s="24" t="str">
        <x:v>/evidence/CLM-053/</x:v>
      </x:c>
      <x:c r="B63" s="24" t="str">
        <x:v>evidence_detail</x:v>
      </x:c>
      <x:c r="C63" s="24" t="str">
        <x:v>/evidence/[id]</x:v>
      </x:c>
      <x:c r="D63" s="24" t="str">
        <x:v>CLM-053</x:v>
      </x:c>
      <x:c r="E63" s="24"/>
      <x:c r="F63" s="28"/>
      <x:c r="G63" s="24"/>
      <x:c r="H63" s="28"/>
    </x:row>
    <x:row r="64">
      <x:c r="A64" s="24" t="str">
        <x:v>/evidence/CLM-054/</x:v>
      </x:c>
      <x:c r="B64" s="24" t="str">
        <x:v>evidence_detail</x:v>
      </x:c>
      <x:c r="C64" s="24" t="str">
        <x:v>/evidence/[id]</x:v>
      </x:c>
      <x:c r="D64" s="24" t="str">
        <x:v>CLM-054</x:v>
      </x:c>
      <x:c r="E64" s="24"/>
      <x:c r="F64" s="28"/>
      <x:c r="G64" s="24"/>
      <x:c r="H64" s="28"/>
    </x:row>
    <x:row r="65">
      <x:c r="A65" s="24" t="str">
        <x:v>/evidence/CLM-055/</x:v>
      </x:c>
      <x:c r="B65" s="24" t="str">
        <x:v>evidence_detail</x:v>
      </x:c>
      <x:c r="C65" s="24" t="str">
        <x:v>/evidence/[id]</x:v>
      </x:c>
      <x:c r="D65" s="24" t="str">
        <x:v>CLM-055</x:v>
      </x:c>
      <x:c r="E65" s="24"/>
      <x:c r="F65" s="28"/>
      <x:c r="G65" s="24"/>
      <x:c r="H65" s="28"/>
    </x:row>
    <x:row r="66">
      <x:c r="A66" s="24" t="str">
        <x:v>/evidence/CLM-056/</x:v>
      </x:c>
      <x:c r="B66" s="24" t="str">
        <x:v>evidence_detail</x:v>
      </x:c>
      <x:c r="C66" s="24" t="str">
        <x:v>/evidence/[id]</x:v>
      </x:c>
      <x:c r="D66" s="24" t="str">
        <x:v>CLM-056</x:v>
      </x:c>
      <x:c r="E66" s="24"/>
      <x:c r="F66" s="28"/>
      <x:c r="G66" s="24"/>
      <x:c r="H66" s="28"/>
    </x:row>
    <x:row r="67">
      <x:c r="A67" s="24" t="str">
        <x:v>/evidence/CLM-057/</x:v>
      </x:c>
      <x:c r="B67" s="24" t="str">
        <x:v>evidence_detail</x:v>
      </x:c>
      <x:c r="C67" s="24" t="str">
        <x:v>/evidence/[id]</x:v>
      </x:c>
      <x:c r="D67" s="24" t="str">
        <x:v>CLM-057</x:v>
      </x:c>
      <x:c r="E67" s="24"/>
      <x:c r="F67" s="28"/>
      <x:c r="G67" s="24"/>
      <x:c r="H67" s="28"/>
    </x:row>
    <x:row r="68">
      <x:c r="A68" s="24" t="str">
        <x:v>/evidence/CLM-058/</x:v>
      </x:c>
      <x:c r="B68" s="24" t="str">
        <x:v>evidence_detail</x:v>
      </x:c>
      <x:c r="C68" s="24" t="str">
        <x:v>/evidence/[id]</x:v>
      </x:c>
      <x:c r="D68" s="24" t="str">
        <x:v>CLM-058</x:v>
      </x:c>
      <x:c r="E68" s="24"/>
      <x:c r="F68" s="28"/>
      <x:c r="G68" s="24"/>
      <x:c r="H68" s="28"/>
    </x:row>
    <x:row r="69">
      <x:c r="A69" s="24" t="str">
        <x:v>/evidence/CLM-059/</x:v>
      </x:c>
      <x:c r="B69" s="24" t="str">
        <x:v>evidence_detail</x:v>
      </x:c>
      <x:c r="C69" s="24" t="str">
        <x:v>/evidence/[id]</x:v>
      </x:c>
      <x:c r="D69" s="24" t="str">
        <x:v>CLM-059</x:v>
      </x:c>
      <x:c r="E69" s="24"/>
      <x:c r="F69" s="28"/>
      <x:c r="G69" s="24"/>
      <x:c r="H69" s="28"/>
    </x:row>
    <x:row r="70">
      <x:c r="A70" s="24" t="str">
        <x:v>/evidence/CLM-060/</x:v>
      </x:c>
      <x:c r="B70" s="24" t="str">
        <x:v>evidence_detail</x:v>
      </x:c>
      <x:c r="C70" s="24" t="str">
        <x:v>/evidence/[id]</x:v>
      </x:c>
      <x:c r="D70" s="24" t="str">
        <x:v>CLM-060</x:v>
      </x:c>
      <x:c r="E70" s="24"/>
      <x:c r="F70" s="28"/>
      <x:c r="G70" s="24"/>
      <x:c r="H70" s="28"/>
    </x:row>
    <x:row r="71">
      <x:c r="A71" s="24" t="str">
        <x:v>/evidence/DS-DEMAND-VINTAGE-LENS/</x:v>
      </x:c>
      <x:c r="B71" s="24" t="str">
        <x:v>evidence_detail</x:v>
      </x:c>
      <x:c r="C71" s="24" t="str">
        <x:v>/evidence/[id]</x:v>
      </x:c>
      <x:c r="D71" s="24" t="str">
        <x:v>DS-DEMAND-VINTAGE-LENS</x:v>
      </x:c>
      <x:c r="E71" s="24"/>
      <x:c r="F71" s="28"/>
      <x:c r="G71" s="24"/>
      <x:c r="H71" s="28"/>
    </x:row>
    <x:row r="72">
      <x:c r="A72" s="24" t="str">
        <x:v>/evidence/DS-FCP-ARCH/</x:v>
      </x:c>
      <x:c r="B72" s="24" t="str">
        <x:v>evidence_detail</x:v>
      </x:c>
      <x:c r="C72" s="24" t="str">
        <x:v>/evidence/[id]</x:v>
      </x:c>
      <x:c r="D72" s="24" t="str">
        <x:v>DS-FCP-ARCH</x:v>
      </x:c>
      <x:c r="E72" s="24"/>
      <x:c r="F72" s="28"/>
      <x:c r="G72" s="24"/>
      <x:c r="H72" s="28"/>
    </x:row>
    <x:row r="73">
      <x:c r="A73" s="24" t="str">
        <x:v>/evidence/DS-FINDEX-HISTORY-CROSSWALK/</x:v>
      </x:c>
      <x:c r="B73" s="24" t="str">
        <x:v>evidence_detail</x:v>
      </x:c>
      <x:c r="C73" s="24" t="str">
        <x:v>/evidence/[id]</x:v>
      </x:c>
      <x:c r="D73" s="24" t="str">
        <x:v>DS-FINDEX-HISTORY-CROSSWALK</x:v>
      </x:c>
      <x:c r="E73" s="24"/>
      <x:c r="F73" s="28"/>
      <x:c r="G73" s="24"/>
      <x:c r="H73" s="28"/>
    </x:row>
    <x:row r="74">
      <x:c r="A74" s="24" t="str">
        <x:v>/evidence/DS-FINDEX-PUBLIC-HISTORY/</x:v>
      </x:c>
      <x:c r="B74" s="24" t="str">
        <x:v>evidence_detail</x:v>
      </x:c>
      <x:c r="C74" s="24" t="str">
        <x:v>/evidence/[id]</x:v>
      </x:c>
      <x:c r="D74" s="24" t="str">
        <x:v>DS-FINDEX-PUBLIC-HISTORY</x:v>
      </x:c>
      <x:c r="E74" s="24"/>
      <x:c r="F74" s="28"/>
      <x:c r="G74" s="24"/>
      <x:c r="H74" s="28"/>
    </x:row>
    <x:row r="75">
      <x:c r="A75" s="24" t="str">
        <x:v>/evidence/DS-QUAL-EVIDENCE/</x:v>
      </x:c>
      <x:c r="B75" s="24" t="str">
        <x:v>evidence_detail</x:v>
      </x:c>
      <x:c r="C75" s="24" t="str">
        <x:v>/evidence/[id]</x:v>
      </x:c>
      <x:c r="D75" s="24" t="str">
        <x:v>DS-QUAL-EVIDENCE</x:v>
      </x:c>
      <x:c r="E75" s="24"/>
      <x:c r="F75" s="28"/>
      <x:c r="G75" s="24"/>
      <x:c r="H75" s="28"/>
    </x:row>
    <x:row r="76">
      <x:c r="A76" s="24" t="str">
        <x:v>/evidence/MF-ORIG-001+002/</x:v>
      </x:c>
      <x:c r="B76" s="24" t="str">
        <x:v>evidence_detail</x:v>
      </x:c>
      <x:c r="C76" s="24" t="str">
        <x:v>/evidence/[id]</x:v>
      </x:c>
      <x:c r="D76" s="24" t="str">
        <x:v>MF-ORIG-001+002</x:v>
      </x:c>
      <x:c r="E76" s="24"/>
      <x:c r="F76" s="28"/>
      <x:c r="G76" s="24"/>
      <x:c r="H76" s="28"/>
    </x:row>
    <x:row r="77">
      <x:c r="A77" s="24" t="str">
        <x:v>/evidence/MFI-SPINE-2015-Q4/</x:v>
      </x:c>
      <x:c r="B77" s="24" t="str">
        <x:v>evidence_detail</x:v>
      </x:c>
      <x:c r="C77" s="24" t="str">
        <x:v>/evidence/[id]</x:v>
      </x:c>
      <x:c r="D77" s="24" t="str">
        <x:v>MFI-SPINE-2015-Q4</x:v>
      </x:c>
      <x:c r="E77" s="24"/>
      <x:c r="F77" s="28"/>
      <x:c r="G77" s="24"/>
      <x:c r="H77" s="28"/>
    </x:row>
    <x:row r="78">
      <x:c r="A78" s="24" t="str">
        <x:v>/evidence/NEG-EW-011/</x:v>
      </x:c>
      <x:c r="B78" s="24" t="str">
        <x:v>evidence_detail</x:v>
      </x:c>
      <x:c r="C78" s="24" t="str">
        <x:v>/evidence/[id]</x:v>
      </x:c>
      <x:c r="D78" s="24" t="str">
        <x:v>NEG-EW-011</x:v>
      </x:c>
      <x:c r="E78" s="24"/>
      <x:c r="F78" s="28"/>
      <x:c r="G78" s="24"/>
      <x:c r="H78" s="28"/>
    </x:row>
    <x:row r="79">
      <x:c r="A79" s="24" t="str">
        <x:v>/evidence/PSE-011/</x:v>
      </x:c>
      <x:c r="B79" s="24" t="str">
        <x:v>evidence_detail</x:v>
      </x:c>
      <x:c r="C79" s="24" t="str">
        <x:v>/evidence/[id]</x:v>
      </x:c>
      <x:c r="D79" s="24" t="str">
        <x:v>PSE-011</x:v>
      </x:c>
      <x:c r="E79" s="24"/>
      <x:c r="F79" s="28"/>
      <x:c r="G79" s="24"/>
      <x:c r="H79" s="28"/>
    </x:row>
    <x:row r="80">
      <x:c r="A80" s="24" t="str">
        <x:v>/evidence/QUAL-001/</x:v>
      </x:c>
      <x:c r="B80" s="24" t="str">
        <x:v>evidence_detail</x:v>
      </x:c>
      <x:c r="C80" s="24" t="str">
        <x:v>/evidence/[id]</x:v>
      </x:c>
      <x:c r="D80" s="24" t="str">
        <x:v>QUAL-001</x:v>
      </x:c>
      <x:c r="E80" s="24"/>
      <x:c r="F80" s="28"/>
      <x:c r="G80" s="24"/>
      <x:c r="H80" s="28"/>
    </x:row>
    <x:row r="81">
      <x:c r="A81" s="24" t="str">
        <x:v>/evidence/VIS-BORROWING-SOURCES-2014/</x:v>
      </x:c>
      <x:c r="B81" s="24" t="str">
        <x:v>evidence_detail</x:v>
      </x:c>
      <x:c r="C81" s="24" t="str">
        <x:v>/evidence/[id]</x:v>
      </x:c>
      <x:c r="D81" s="24" t="str">
        <x:v>VIS-BORROWING-SOURCES-2014</x:v>
      </x:c>
      <x:c r="E81" s="24"/>
      <x:c r="F81" s="28"/>
      <x:c r="G81" s="24"/>
      <x:c r="H81" s="28"/>
    </x:row>
    <x:row r="82">
      <x:c r="A82" s="24" t="str">
        <x:v>/evidence/VIS-CAPITAL-CONTEXT/</x:v>
      </x:c>
      <x:c r="B82" s="24" t="str">
        <x:v>evidence_detail</x:v>
      </x:c>
      <x:c r="C82" s="24" t="str">
        <x:v>/evidence/[id]</x:v>
      </x:c>
      <x:c r="D82" s="24" t="str">
        <x:v>VIS-CAPITAL-CONTEXT</x:v>
      </x:c>
      <x:c r="E82" s="24"/>
      <x:c r="F82" s="28"/>
      <x:c r="G82" s="24"/>
      <x:c r="H82" s="28"/>
    </x:row>
    <x:row r="83">
      <x:c r="A83" s="24" t="str">
        <x:v>/evidence/VIS-DEMAND-VINTAGE-LADDER/</x:v>
      </x:c>
      <x:c r="B83" s="24" t="str">
        <x:v>evidence_detail</x:v>
      </x:c>
      <x:c r="C83" s="24" t="str">
        <x:v>/evidence/[id]</x:v>
      </x:c>
      <x:c r="D83" s="24" t="str">
        <x:v>VIS-DEMAND-VINTAGE-LADDER</x:v>
      </x:c>
      <x:c r="E83" s="24"/>
      <x:c r="F83" s="28"/>
      <x:c r="G83" s="24"/>
      <x:c r="H83" s="28"/>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x:c r="H85" s="28"/>
    </x:row>
    <x:row r="86">
      <x:c r="A86" s="24" t="str">
        <x:v>/evidence/VIS-EVIDENCE-CLASS-LADDER/</x:v>
      </x:c>
      <x:c r="B86" s="24" t="str">
        <x:v>evidence_detail</x:v>
      </x:c>
      <x:c r="C86" s="24" t="str">
        <x:v>/evidence/[id]</x:v>
      </x:c>
      <x:c r="D86" s="24" t="str">
        <x:v>VIS-EVIDENCE-CLASS-LADDER</x:v>
      </x:c>
      <x:c r="E86" s="24"/>
      <x:c r="F86" s="28"/>
      <x:c r="G86" s="24"/>
      <x:c r="H86" s="28"/>
    </x:row>
    <x:row r="87">
      <x:c r="A87" s="24" t="str">
        <x:v>/evidence/VIS-EVIDENCE-FRESHNESS/</x:v>
      </x:c>
      <x:c r="B87" s="24" t="str">
        <x:v>evidence_detail</x:v>
      </x:c>
      <x:c r="C87" s="24" t="str">
        <x:v>/evidence/[id]</x:v>
      </x:c>
      <x:c r="D87" s="24" t="str">
        <x:v>VIS-EVIDENCE-FRESHNESS</x:v>
      </x:c>
      <x:c r="E87" s="24"/>
      <x:c r="F87" s="28"/>
      <x:c r="G87" s="24"/>
      <x:c r="H87" s="28"/>
    </x:row>
    <x:row r="88">
      <x:c r="A88" s="24" t="str">
        <x:v>/evidence/VIS-EVIDENCE-GAPS/</x:v>
      </x:c>
      <x:c r="B88" s="24" t="str">
        <x:v>evidence_detail</x:v>
      </x:c>
      <x:c r="C88" s="24" t="str">
        <x:v>/evidence/[id]</x:v>
      </x:c>
      <x:c r="D88" s="24" t="str">
        <x:v>VIS-EVIDENCE-GAPS</x:v>
      </x:c>
      <x:c r="E88" s="24"/>
      <x:c r="F88" s="28"/>
      <x:c r="G88" s="24"/>
      <x:c r="H88" s="28"/>
    </x:row>
    <x:row r="89">
      <x:c r="A89" s="24" t="str">
        <x:v>/evidence/VIS-FCP-REDRESS-PATH/</x:v>
      </x:c>
      <x:c r="B89" s="24" t="str">
        <x:v>evidence_detail</x:v>
      </x:c>
      <x:c r="C89" s="24" t="str">
        <x:v>/evidence/[id]</x:v>
      </x:c>
      <x:c r="D89" s="24" t="str">
        <x:v>VIS-FCP-REDRESS-PATH</x:v>
      </x:c>
      <x:c r="E89" s="24"/>
      <x:c r="F89" s="28"/>
      <x:c r="G89" s="24"/>
      <x:c r="H89" s="28"/>
    </x:row>
    <x:row r="90">
      <x:c r="A90" s="24" t="str">
        <x:v>/evidence/VIS-FINDEX-ACCESS-USE/</x:v>
      </x:c>
      <x:c r="B90" s="24" t="str">
        <x:v>evidence_detail</x:v>
      </x:c>
      <x:c r="C90" s="24" t="str">
        <x:v>/evidence/[id]</x:v>
      </x:c>
      <x:c r="D90" s="24" t="str">
        <x:v>VIS-FINDEX-ACCESS-USE</x:v>
      </x:c>
      <x:c r="E90" s="24"/>
      <x:c r="F90" s="28"/>
      <x:c r="G90" s="24"/>
      <x:c r="H90" s="28"/>
    </x:row>
    <x:row r="91">
      <x:c r="A91" s="24" t="str">
        <x:v>/evidence/VIS-FINDEX-BARRIERS/</x:v>
      </x:c>
      <x:c r="B91" s="24" t="str">
        <x:v>evidence_detail</x:v>
      </x:c>
      <x:c r="C91" s="24" t="str">
        <x:v>/evidence/[id]</x:v>
      </x:c>
      <x:c r="D91" s="24" t="str">
        <x:v>VIS-FINDEX-BARRIERS</x:v>
      </x:c>
      <x:c r="E91" s="24"/>
      <x:c r="F91" s="28"/>
      <x:c r="G91" s="24"/>
      <x:c r="H91" s="28"/>
    </x:row>
    <x:row r="92">
      <x:c r="A92" s="24" t="str">
        <x:v>/evidence/VIS-FINDEX-FLOW-CHANNELS/</x:v>
      </x:c>
      <x:c r="B92" s="24" t="str">
        <x:v>evidence_detail</x:v>
      </x:c>
      <x:c r="C92" s="24" t="str">
        <x:v>/evidence/[id]</x:v>
      </x:c>
      <x:c r="D92" s="24" t="str">
        <x:v>VIS-FINDEX-FLOW-CHANNELS</x:v>
      </x:c>
      <x:c r="E92" s="24"/>
      <x:c r="F92" s="28"/>
      <x:c r="G92" s="24"/>
      <x:c r="H92" s="28"/>
    </x:row>
    <x:row r="93">
      <x:c r="A93" s="24" t="str">
        <x:v>/evidence/VIS-FINDEX-GAPS/</x:v>
      </x:c>
      <x:c r="B93" s="24" t="str">
        <x:v>evidence_detail</x:v>
      </x:c>
      <x:c r="C93" s="24" t="str">
        <x:v>/evidence/[id]</x:v>
      </x:c>
      <x:c r="D93" s="24" t="str">
        <x:v>VIS-FINDEX-GAPS</x:v>
      </x:c>
      <x:c r="E93" s="24"/>
      <x:c r="F93" s="28"/>
      <x:c r="G93" s="24"/>
      <x:c r="H93" s="28"/>
    </x:row>
    <x:row r="94">
      <x:c r="A94" s="24" t="str">
        <x:v>/evidence/VIS-FINDEX-OBSERVED-WAVES/</x:v>
      </x:c>
      <x:c r="B94" s="24" t="str">
        <x:v>evidence_detail</x:v>
      </x:c>
      <x:c r="C94" s="24" t="str">
        <x:v>/evidence/[id]</x:v>
      </x:c>
      <x:c r="D94" s="24" t="str">
        <x:v>VIS-FINDEX-OBSERVED-WAVES</x:v>
      </x:c>
      <x:c r="E94" s="24"/>
      <x:c r="F94" s="28"/>
      <x:c r="G94" s="24"/>
      <x:c r="H94" s="28"/>
    </x:row>
    <x:row r="95">
      <x:c r="A95" s="24" t="str">
        <x:v>/evidence/VIS-FINDEX-RESILIENCE/</x:v>
      </x:c>
      <x:c r="B95" s="24" t="str">
        <x:v>evidence_detail</x:v>
      </x:c>
      <x:c r="C95" s="24" t="str">
        <x:v>/evidence/[id]</x:v>
      </x:c>
      <x:c r="D95" s="24" t="str">
        <x:v>VIS-FINDEX-RESILIENCE</x:v>
      </x:c>
      <x:c r="E95" s="24"/>
      <x:c r="F95" s="28"/>
      <x:c r="G95" s="24"/>
      <x:c r="H95" s="28"/>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x:c r="H97" s="28"/>
    </x:row>
    <x:row r="98">
      <x:c r="A98" s="24" t="str">
        <x:v>/evidence/VIS-FIRM-FINANCE-PATH/</x:v>
      </x:c>
      <x:c r="B98" s="24" t="str">
        <x:v>evidence_detail</x:v>
      </x:c>
      <x:c r="C98" s="24" t="str">
        <x:v>/evidence/[id]</x:v>
      </x:c>
      <x:c r="D98" s="24" t="str">
        <x:v>VIS-FIRM-FINANCE-PATH</x:v>
      </x:c>
      <x:c r="E98" s="24"/>
      <x:c r="F98" s="28"/>
      <x:c r="G98" s="24"/>
      <x:c r="H98" s="28"/>
    </x:row>
    <x:row r="99">
      <x:c r="A99" s="24" t="str">
        <x:v>/evidence/VIS-FIRM-FINANCE-SEVERITY/</x:v>
      </x:c>
      <x:c r="B99" s="24" t="str">
        <x:v>evidence_detail</x:v>
      </x:c>
      <x:c r="C99" s="24" t="str">
        <x:v>/evidence/[id]</x:v>
      </x:c>
      <x:c r="D99" s="24" t="str">
        <x:v>VIS-FIRM-FINANCE-SEVERITY</x:v>
      </x:c>
      <x:c r="E99" s="24"/>
      <x:c r="F99" s="28"/>
      <x:c r="G99" s="24"/>
      <x:c r="H99" s="28"/>
    </x:row>
    <x:row r="100">
      <x:c r="A100" s="24" t="str">
        <x:v>/evidence/VIS-FL-EVIDENCE-LADDER/</x:v>
      </x:c>
      <x:c r="B100" s="24" t="str">
        <x:v>evidence_detail</x:v>
      </x:c>
      <x:c r="C100" s="24" t="str">
        <x:v>/evidence/[id]</x:v>
      </x:c>
      <x:c r="D100" s="24" t="str">
        <x:v>VIS-FL-EVIDENCE-LADDER</x:v>
      </x:c>
      <x:c r="E100" s="24"/>
      <x:c r="F100" s="28"/>
      <x:c r="G100" s="24"/>
      <x:c r="H100" s="28"/>
    </x:row>
    <x:row r="101">
      <x:c r="A101" s="24" t="str">
        <x:v>/evidence/VIS-INCLUSION-TRANSMISSION/</x:v>
      </x:c>
      <x:c r="B101" s="24" t="str">
        <x:v>evidence_detail</x:v>
      </x:c>
      <x:c r="C101" s="24" t="str">
        <x:v>/evidence/[id]</x:v>
      </x:c>
      <x:c r="D101" s="24" t="str">
        <x:v>VIS-INCLUSION-TRANSMISSION</x:v>
      </x:c>
      <x:c r="E101" s="24"/>
      <x:c r="F101" s="28"/>
      <x:c r="G101" s="24"/>
      <x:c r="H101" s="28"/>
    </x:row>
    <x:row r="102">
      <x:c r="A102" s="24" t="str">
        <x:v>/evidence/VIS-MECHANISM-METRIC-BRIDGE/</x:v>
      </x:c>
      <x:c r="B102" s="24" t="str">
        <x:v>evidence_detail</x:v>
      </x:c>
      <x:c r="C102" s="24" t="str">
        <x:v>/evidence/[id]</x:v>
      </x:c>
      <x:c r="D102" s="24" t="str">
        <x:v>VIS-MECHANISM-METRIC-BRIDGE</x:v>
      </x:c>
      <x:c r="E102" s="24"/>
      <x:c r="F102" s="28"/>
      <x:c r="G102" s="24"/>
      <x:c r="H102" s="28"/>
    </x:row>
    <x:row r="103">
      <x:c r="A103" s="24" t="str">
        <x:v>/evidence/VIS-MFI-2014-PANEL/</x:v>
      </x:c>
      <x:c r="B103" s="24" t="str">
        <x:v>evidence_detail</x:v>
      </x:c>
      <x:c r="C103" s="24" t="str">
        <x:v>/evidence/[id]</x:v>
      </x:c>
      <x:c r="D103" s="24" t="str">
        <x:v>VIS-MFI-2014-PANEL</x:v>
      </x:c>
      <x:c r="E103" s="24"/>
      <x:c r="F103" s="28"/>
      <x:c r="G103" s="24"/>
      <x:c r="H103" s="28"/>
    </x:row>
    <x:row r="104">
      <x:c r="A104" s="24" t="str">
        <x:v>/evidence/VIS-MFI-RUPTURE-LENS/</x:v>
      </x:c>
      <x:c r="B104" s="24" t="str">
        <x:v>evidence_detail</x:v>
      </x:c>
      <x:c r="C104" s="24" t="str">
        <x:v>/evidence/[id]</x:v>
      </x:c>
      <x:c r="D104" s="24" t="str">
        <x:v>VIS-MFI-RUPTURE-LENS</x:v>
      </x:c>
      <x:c r="E104" s="24"/>
      <x:c r="F104" s="28"/>
      <x:c r="G104" s="24"/>
      <x:c r="H104" s="28"/>
    </x:row>
    <x:row r="105">
      <x:c r="A105" s="24" t="str">
        <x:v>/evidence/VIS-MFI-SPINE/</x:v>
      </x:c>
      <x:c r="B105" s="24" t="str">
        <x:v>evidence_detail</x:v>
      </x:c>
      <x:c r="C105" s="24" t="str">
        <x:v>/evidence/[id]</x:v>
      </x:c>
      <x:c r="D105" s="24" t="str">
        <x:v>VIS-MFI-SPINE</x:v>
      </x:c>
      <x:c r="E105" s="24"/>
      <x:c r="F105" s="28"/>
      <x:c r="G105" s="24"/>
      <x:c r="H105" s="28"/>
    </x:row>
    <x:row r="106">
      <x:c r="A106" s="24" t="str">
        <x:v>/evidence/VIS-OECD-FCP-TIMELINE/</x:v>
      </x:c>
      <x:c r="B106" s="24" t="str">
        <x:v>evidence_detail</x:v>
      </x:c>
      <x:c r="C106" s="24" t="str">
        <x:v>/evidence/[id]</x:v>
      </x:c>
      <x:c r="D106" s="24" t="str">
        <x:v>VIS-OECD-FCP-TIMELINE</x:v>
      </x:c>
      <x:c r="E106" s="24"/>
      <x:c r="F106" s="28"/>
      <x:c r="G106" s="24"/>
      <x:c r="H106" s="28"/>
    </x:row>
    <x:row r="107">
      <x:c r="A107" s="24" t="str">
        <x:v>/evidence/VIS-PAYMENT-ANATOMY/</x:v>
      </x:c>
      <x:c r="B107" s="24" t="str">
        <x:v>evidence_detail</x:v>
      </x:c>
      <x:c r="C107" s="24" t="str">
        <x:v>/evidence/[id]</x:v>
      </x:c>
      <x:c r="D107" s="24" t="str">
        <x:v>VIS-PAYMENT-ANATOMY</x:v>
      </x:c>
      <x:c r="E107" s="24"/>
      <x:c r="F107" s="28"/>
      <x:c r="G107" s="24"/>
      <x:c r="H107" s="28"/>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x:c r="H109" s="28"/>
    </x:row>
    <x:row r="110">
      <x:c r="A110" s="24" t="str">
        <x:v>/evidence/VIS-POS-TRANSACTIONS/</x:v>
      </x:c>
      <x:c r="B110" s="24" t="str">
        <x:v>evidence_detail</x:v>
      </x:c>
      <x:c r="C110" s="24" t="str">
        <x:v>/evidence/[id]</x:v>
      </x:c>
      <x:c r="D110" s="24" t="str">
        <x:v>VIS-POS-TRANSACTIONS</x:v>
      </x:c>
      <x:c r="E110" s="24"/>
      <x:c r="F110" s="28"/>
      <x:c r="G110" s="24"/>
      <x:c r="H110" s="28"/>
    </x:row>
    <x:row r="111">
      <x:c r="A111" s="24" t="str">
        <x:v>/evidence/VIS-POS-VALUE/</x:v>
      </x:c>
      <x:c r="B111" s="24" t="str">
        <x:v>evidence_detail</x:v>
      </x:c>
      <x:c r="C111" s="24" t="str">
        <x:v>/evidence/[id]</x:v>
      </x:c>
      <x:c r="D111" s="24" t="str">
        <x:v>VIS-POS-VALUE</x:v>
      </x:c>
      <x:c r="E111" s="24"/>
      <x:c r="F111" s="28"/>
      <x:c r="G111" s="24"/>
      <x:c r="H111" s="28"/>
    </x:row>
    <x:row r="112">
      <x:c r="A112" s="24" t="str">
        <x:v>/evidence/VIS-PROVIDER-OBSERVABILITY/</x:v>
      </x:c>
      <x:c r="B112" s="24" t="str">
        <x:v>evidence_detail</x:v>
      </x:c>
      <x:c r="C112" s="24" t="str">
        <x:v>/evidence/[id]</x:v>
      </x:c>
      <x:c r="D112" s="24" t="str">
        <x:v>VIS-PROVIDER-OBSERVABILITY</x:v>
      </x:c>
      <x:c r="E112" s="24"/>
      <x:c r="F112" s="28"/>
      <x:c r="G112" s="24"/>
      <x:c r="H112" s="28"/>
    </x:row>
    <x:row r="113">
      <x:c r="A113" s="24" t="str">
        <x:v>/evidence/VIS-PROVIDER-TIME/</x:v>
      </x:c>
      <x:c r="B113" s="24" t="str">
        <x:v>evidence_detail</x:v>
      </x:c>
      <x:c r="C113" s="24" t="str">
        <x:v>/evidence/[id]</x:v>
      </x:c>
      <x:c r="D113" s="24" t="str">
        <x:v>VIS-PROVIDER-TIME</x:v>
      </x:c>
      <x:c r="E113" s="24"/>
      <x:c r="F113" s="28"/>
      <x:c r="G113" s="24"/>
      <x:c r="H113" s="28"/>
    </x:row>
    <x:row r="114">
      <x:c r="A114" s="24" t="str">
        <x:v>/evidence/VIS-REMITTANCE-COST/</x:v>
      </x:c>
      <x:c r="B114" s="24" t="str">
        <x:v>evidence_detail</x:v>
      </x:c>
      <x:c r="C114" s="24" t="str">
        <x:v>/evidence/[id]</x:v>
      </x:c>
      <x:c r="D114" s="24" t="str">
        <x:v>VIS-REMITTANCE-COST</x:v>
      </x:c>
      <x:c r="E114" s="24"/>
      <x:c r="F114" s="28"/>
      <x:c r="G114" s="24"/>
      <x:c r="H114" s="28"/>
    </x:row>
    <x:row r="115">
      <x:c r="A115" s="24" t="str">
        <x:v>/evidence/VIS-REMITTANCE-MACRO/</x:v>
      </x:c>
      <x:c r="B115" s="24" t="str">
        <x:v>evidence_detail</x:v>
      </x:c>
      <x:c r="C115" s="24" t="str">
        <x:v>/evidence/[id]</x:v>
      </x:c>
      <x:c r="D115" s="24" t="str">
        <x:v>VIS-REMITTANCE-MACRO</x:v>
      </x:c>
      <x:c r="E115" s="24"/>
      <x:c r="F115" s="28"/>
      <x:c r="G115" s="24"/>
      <x:c r="H115" s="28"/>
    </x:row>
    <x:row r="116">
      <x:c r="A116" s="24" t="str">
        <x:v>/evidence/VIS-SOURCE-COMPARISON/</x:v>
      </x:c>
      <x:c r="B116" s="24" t="str">
        <x:v>evidence_detail</x:v>
      </x:c>
      <x:c r="C116" s="24" t="str">
        <x:v>/evidence/[id]</x:v>
      </x:c>
      <x:c r="D116" s="24" t="str">
        <x:v>VIS-SOURCE-COMPARISON</x:v>
      </x:c>
      <x:c r="E116" s="24"/>
      <x:c r="F116" s="28"/>
      <x:c r="G116" s="24"/>
      <x:c r="H116" s="28"/>
    </x:row>
    <x:row r="117">
      <x:c r="A117" s="24" t="str">
        <x:v>/evidence/VIS-TARGET-RESULT-STATE/</x:v>
      </x:c>
      <x:c r="B117" s="24" t="str">
        <x:v>evidence_detail</x:v>
      </x:c>
      <x:c r="C117" s="24" t="str">
        <x:v>/evidence/[id]</x:v>
      </x:c>
      <x:c r="D117" s="24" t="str">
        <x:v>VIS-TARGET-RESULT-STATE</x:v>
      </x:c>
      <x:c r="E117" s="24"/>
      <x:c r="F117" s="28"/>
      <x:c r="G117" s="24"/>
      <x:c r="H117" s="28"/>
    </x:row>
    <x:row r="118">
      <x:c r="A118" s="24" t="str">
        <x:v>/evidence/XW-FMIIP-005/</x:v>
      </x:c>
      <x:c r="B118" s="24" t="str">
        <x:v>evidence_detail</x:v>
      </x:c>
      <x:c r="C118" s="24" t="str">
        <x:v>/evidence/[id]</x:v>
      </x:c>
      <x:c r="D118" s="24" t="str">
        <x:v>XW-FMIIP-005</x:v>
      </x:c>
      <x:c r="E118" s="24"/>
      <x:c r="F118" s="28"/>
      <x:c r="G118" s="24"/>
      <x:c r="H118" s="28"/>
    </x:row>
    <x:row r="119">
      <x:c r="A119" s="24" t="str">
        <x:v>/evidence/compare/</x:v>
      </x:c>
      <x:c r="B119" s="24" t="str">
        <x:v>static</x:v>
      </x:c>
      <x:c r="C119" s="24" t="str">
        <x:v>/evidence/compare</x:v>
      </x:c>
      <x:c r="D119" s="24"/>
      <x:c r="E119" s="24" t="str">
        <x:v>Compare evidence without forcing unlike objects onto one scale</x:v>
      </x:c>
      <x:c r="F119" s="28" t="str">
        <x:v>قارن الأدلة من دون فرض مقاييس غير متكافئة على مقياس واحد</x:v>
      </x:c>
      <x:c r="G119" s="24"/>
      <x:c r="H119" s="28"/>
    </x:row>
    <x:row r="120">
      <x:c r="A120" s="24" t="str">
        <x:v>/evidence/</x:v>
      </x:c>
      <x:c r="B120" s="24" t="str">
        <x:v>static</x:v>
      </x:c>
      <x:c r="C120" s="24" t="str">
        <x:v>/evidence</x:v>
      </x:c>
      <x:c r="D120" s="24"/>
      <x:c r="E120" s="24" t="str">
        <x:v>Inspect the evidence behind the answer</x:v>
      </x:c>
      <x:c r="F120" s="28" t="str">
        <x:v>افحص الدليل خلف الإجابة</x:v>
      </x:c>
      <x:c r="G120" s="24"/>
      <x:c r="H120" s="28"/>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نمو الأرصدة ونمو الحسابات ونمو أعداد المدخرين ثلاثة أمور مختلفة، ولا يعني أيٌّ منها تلقائيًا تعمّق الشمول المالي.</x:v>
      </x:c>
      <x:c r="G122" s="24"/>
      <x:c r="H122" s="28"/>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المسؤولة</x:v>
      </x:c>
      <x:c r="G123" s="24"/>
      <x:c r="H123" s="28"/>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x:c r="H124" s="28"/>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x:c r="H125" s="28"/>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x:c r="H126" s="28"/>
    </x:row>
    <x:row r="127">
      <x:c r="A127" s="24" t="str">
        <x:v>/payments/</x:v>
      </x:c>
      <x:c r="B127" s="24" t="str">
        <x:v>static</x:v>
      </x:c>
      <x:c r="C127" s="24" t="str">
        <x:v>/payments</x:v>
      </x:c>
      <x:c r="D127" s="24"/>
      <x:c r="E127" s="24" t="str">
        <x:v>Payments: POS terminals reported by the Central Bank of Yemen – Aden rose from 561 to 1,473 between March 2025 and January 2026; how many people use them is not measured</x:v>
      </x:c>
      <x:c r="F127" s="28" t="str">
        <x:v>المدفوعات: ارتفع عدد أجهزة نقاط البيع التي يُبلغ عنها البنك المركزي اليمني – عدن من 561 إلى 1,473 بين مارس 2025 ويناير 2026؛ أما عدد من يستخدمونها فغير مقيس</x:v>
      </x:c>
      <x:c r="G127" s="24"/>
      <x:c r="H127" s="28"/>
    </x:row>
    <x:row r="128">
      <x:c r="A128" s="24" t="str">
        <x:v>/people/</x:v>
      </x:c>
      <x:c r="B128" s="24" t="str">
        <x:v>static</x:v>
      </x:c>
      <x:c r="C128" s="24" t="str">
        <x:v>/people</x:v>
      </x:c>
      <x:c r="D128" s="24"/>
      <x:c r="E128" s="24" t="str">
        <x:v>People: one population, several evidence clocks</x:v>
      </x:c>
      <x:c r="F128" s="28" t="str">
        <x:v>الأفراد: مجتمع سكاني واحد، وأدلة من تواريخ مختلفة</x:v>
      </x:c>
      <x:c r="G128" s="24"/>
      <x:c r="H128" s="28"/>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x:c r="H130" s="28"/>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x:c r="H132" s="28"/>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x:c r="H134" s="28"/>
    </x:row>
    <x:row r="135">
      <x:c r="A135" s="24" t="str">
        <x:v>/readings/finance-constraint-different-questions/</x:v>
      </x:c>
      <x:c r="B135" s="24" t="str">
        <x:v>reading_detail</x:v>
      </x:c>
      <x:c r="C135" s="24" t="str">
        <x:v>/readings/[reading_id]</x:v>
      </x:c>
      <x:c r="D135" s="24" t="str">
        <x:v>finance-constraint-different-questions</x:v>
      </x:c>
      <x:c r="E135" s="24"/>
      <x:c r="F135" s="28"/>
      <x:c r="G135" s="24"/>
      <x:c r="H135" s="28"/>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x:c r="H137" s="28"/>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x:c r="H139" s="28"/>
    </x:row>
    <x:row r="140">
      <x:c r="A140" s="24" t="str">
        <x:v>/readings/reforms-newer-than-people-evidence/</x:v>
      </x:c>
      <x:c r="B140" s="24" t="str">
        <x:v>reading_detail</x:v>
      </x:c>
      <x:c r="C140" s="24" t="str">
        <x:v>/readings/[reading_id]</x:v>
      </x:c>
      <x:c r="D140" s="24" t="str">
        <x:v>reforms-newer-than-people-evidence</x:v>
      </x:c>
      <x:c r="E140" s="24"/>
      <x:c r="F140" s="28"/>
      <x:c r="G140" s="24"/>
      <x:c r="H140" s="28"/>
    </x:row>
    <x:row r="141">
      <x:c r="A141" s="24" t="str">
        <x:v>/readings/same-year-different-number/</x:v>
      </x:c>
      <x:c r="B141" s="24" t="str">
        <x:v>reading_detail</x:v>
      </x:c>
      <x:c r="C141" s="24" t="str">
        <x:v>/readings/[reading_id]</x:v>
      </x:c>
      <x:c r="D141" s="24" t="str">
        <x:v>same-year-different-number</x:v>
      </x:c>
      <x:c r="E141" s="24"/>
      <x:c r="F141" s="28"/>
      <x:c r="G141" s="24"/>
      <x:c r="H141" s="28"/>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x:c r="H142" s="28"/>
    </x:row>
    <x:row r="143">
      <x:c r="A143" s="24" t="str">
        <x:v>/remittances/</x:v>
      </x:c>
      <x:c r="B143" s="24" t="str">
        <x:v>static</x:v>
      </x:c>
      <x:c r="C143" s="24" t="str">
        <x:v>/remittances</x:v>
      </x:c>
      <x:c r="D143" s="24"/>
      <x:c r="E143" s="24" t="str">
        <x:v>Remittances: each figure depends on its source, concept and publication vintage</x:v>
      </x:c>
      <x:c r="F143" s="28" t="str">
        <x:v>لا رقمَ واحدًا للحوالات ما لم يُحدَّد المصدر والمفهوم ونسخة البيانات.</x:v>
      </x:c>
      <x:c r="G143" s="24"/>
      <x:c r="H143" s="28"/>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x:c r="H146" s="28"/>
    </x:row>
    <x:row r="147">
      <x:c r="A147" s="24" t="str">
        <x:v>/evidence/FMIIP-BASELINE-2025-01/</x:v>
      </x:c>
      <x:c r="B147" s="24" t="str">
        <x:v>evidence_detail</x:v>
      </x:c>
      <x:c r="C147" s="24" t="str">
        <x:v>/evidence/[id]</x:v>
      </x:c>
      <x:c r="D147" s="24" t="str">
        <x:v>FMIIP-BASELINE-2025-01</x:v>
      </x:c>
      <x:c r="E147" s="24"/>
      <x:c r="F147" s="28"/>
      <x:c r="G147" s="24"/>
      <x:c r="H147" s="28"/>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 signals</x:v>
      </x:c>
      <x:c r="D8" s="24" t="str">
        <x:v>Three figures, three different things measured</x:v>
      </x:c>
      <x:c r="E8" s="24" t="str">
        <x:v>The latest representative population measure is the World Bank’s Global Findex 2021 survey of Yemen (fieldwork November 2022 to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POS terminals reported by the Central Bank of Yemen – Aden (CBY-Aden) rose from 561 in March 2025 to 1,473 in January 2026, within CBY-Aden’s reporting scope. These are different measures: people, a disparity within one survey, and infrastructure. None substitutes for another.</x:v>
      </x:c>
      <x:c r="F8" s="28"/>
      <x:c r="G8" s="28"/>
    </x:row>
    <x:row r="9">
      <x:c r="A9" s="24" t="str">
        <x:v>/</x:v>
      </x:c>
      <x:c r="B9" s="24" t="n">
        <x:v>3</x:v>
      </x:c>
      <x:c r="C9" s="24" t="str">
        <x:v>إشارات من الأدلة</x:v>
      </x:c>
      <x:c r="D9" s="24"/>
      <x:c r="E9" s="24"/>
      <x:c r="F9" s="28" t="str">
        <x:v>ثلاثة أرقام تقيس ثلاثة أشياء مختلفة</x:v>
      </x:c>
      <x:c r="G9" s="28" t="str">
        <x:v>أحدث قياس سكاني ممثل هو مسح المؤشر العالمي للشمول المالي (Global Findex) لعام 2021 في اليمن، الصادر عن البنك الدولي (نُفذ العمل الميداني من نوفمبر 2022 إلى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1,473 في يناير 2026، ضمن نطاق الإبلاغ لديه.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والقيود المُمكِّنة أو المعطِّلة، لكنها ليست أشياء قابلة للاستبدال. وتوضح الروابط السياق أو الاعتماد أو آليات محتملة عندما تسندها الأدلة؛ ولا تُعرض كأسهم سببية أو كمؤشر مركب.</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ويحافظ كل مسار على ارتباط الإجابة بحدودها وطريق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Figures are held in evidence records, each of which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تجميعها واشتقاقاتها الموثقة وتحليلها التحريري، وعن تصحيح الأخطاء.
من يبقى المرجع: تبقى الجهات الناشرة الأصلية هي المرجع لما تصدره من بيانات ومنشورات، ولا يجعل تنظيم الأدلة من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تجميع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1,473 POS terminals in January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1,473 جهاز نقاط بيع أبلغ عنه في يناير 2026 ضمن نطاق الإبلاغ لديه،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إثبات إجماليات وطنية أو خاصة بالنظام في تواريخ محددة.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1,473 in January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1,473 جهازًا في يناير 2026.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this resource is designed and tested against.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ويُختبر وفقه.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تبقى قابلة للتعرف؛ وإذا تعذر ذلك، توثق ملاحظة التصحيح ما يكفي لشرح التغيير.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 material earlier state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locator and, where recorded, its title, publisher and date; reuse terms have not yet been assessed for any source. The figures themselves are held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القياس،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definition, universe, period, geography, source authority, derivation, state/currentness,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القياس،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original locator: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evidence states.</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وكسور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تكون «غير قابلة للمقارنة» نتيجة صحيحة.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universes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مسار إلى الإجابة ذات الصلة وحدودها وطريق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والمحفظة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pointer-only years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فصلية ونقاط نهاية عام محددة،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المحفظة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anchors are 1.611 million savers/depositors and YER 33.379 billion; “active savers” and “savers/depositors” have not been shown to be the same measure. Both portfolio figures are nominal rials. Between December 2020 and December 2023 the average market rate published by the Central Bank in Aden moved from 792.69 to 1,529.4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period bridge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والمحفظة الاسمية لا يشكلون اتجاهًا واحدًا منسجمًا</x:v>
      </x:c>
      <x:c r="G100" s="28" t="str">
        <x:v>تسجل القيم المرجعية الموثقة 93,118 مقترضًا نشطًا في نهاية 2015 و88,445 في نهاية 2020، بينما يورد مصدر ثانوي قوي منشور في 2024 عددًا قدره 78,686 في نهاية 2023. ويورد المصدر نفسه ما يسميه 3.3 مليون «مدخر نشط» ومحفظة اسمية تقارب 44 مليار ريال في 2023. أما النقاط المرجعية الموثقة لعام 2020 فهي 1.611 مليون مدخر/مودع ومحفظة قدرها 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792.69 إلى 1,529.4 ريال للدولار، ولا تسجل قاعدة الأدلة أساس التقييم بالريال الذي تستخدمه أرقام المحفظة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والجسر الزمني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annual-report vintage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also has financial states that cannot be added indiscriminately</x:v>
      </x:c>
      <x:c r="E105" s="24" t="str">
        <x:v>A pledge, commitment, signed agreement, deposit, amount made available, budget disbursement, FX-auction use, in-kind support and project cost are different states. They may describe the same support pathway at different stages or overlapping components. This resource therefore does not manufacture a cumulative finance total by adding unlike states.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split-cash/payment episode;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same-year remittance revisions are kept separate from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same-year restatement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المحفظة الاسمية لا يعني تعمقًا حقيقيًا للائتمان. وإدراج بنك تمويل أصغر لا يثبت التشغيل أو الوصول. كما أن إعادة عرض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والمحفظة لا تساوي عدد المقترضين، والمقترضون لا يساوون بالضرورة أسرًا فريدة، وزيادة حجم التمويل لا تعني اتساع الوصول.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CBY-Aden bank list,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firm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المصفاة،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القياس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whose financial state (funding committed or disbursed) is not specified in the evidence base.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برامجي قدره 54.7 مليون دولار، لا تحدد قاعدة الأدلة حالته المالية (تمويل ملتزم به أم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the combined evidence changes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evidence product;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affected routes and decisions,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أولويات القياس الحالية</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people-side wave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فموجة سكانية جديدة تستطيع تحديث صفحة الناس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missing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المفقودة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evidence-sequencing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أُسندت تسمية ترتيب فجوة الدليل،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published figure has been checked against the source it is attributed to. A figure that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رُوجِع كل رقم منشور هنا مقابل المصدر المنسوب إليه. ويُحجب الرقم الذي 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the object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Several evidence clocks can be true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النتيجة والتحقق منها.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universe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القياس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متجاوزًا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locator/version, unit, population or calculation base, geography, period, method and rights/publication state.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وموقعه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من دون تنبيه إلى عدد أشخاص فريدين أو إلى نتيجة للشمول المالي.</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1,473 between March 2025 and January 2026, transaction counts from 8,015 to 24,026 (after a high of 27,187 in July 2025) and nominal transaction value from YER 320 million to YER 1.262 billion. This page keeps these three objects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بين مارس 2025 ويناير 2026 ارتفع العدد المنشور لأجهزة نقاط البيع من 561 إلى 1,473 جهازًا، وعدد المعاملات من 8,015 إلى 24,026 (بعد ذروة بلغت 27,187 معاملة في يوليو 2025)، والقيمة الاسمية من 320 مليون ريال إلى 1.262 مليار ريال.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January 2026 was the latest monthly POS release on the CBY-Aden payments page as checked on 26 September 2026</x:v>
      </x:c>
      <x:c r="E177" s="24" t="str">
        <x:v>The payments page of the Central Bank of Yemen – Aden (CBY-Aden), as checked on 26 September 2026, publishes monthly POS releases from March 2025 through January 2026. This resource therefore stops the monthly series at January 2026. That does not mean activity stopped; it means no later monthly release had been published on that page when it was checked.</x:v>
      </x:c>
      <x:c r="F177" s="28"/>
      <x:c r="G177" s="28"/>
    </x:row>
    <x:row r="178">
      <x:c r="A178" s="24" t="str">
        <x:v>/payments/</x:v>
      </x:c>
      <x:c r="B178" s="24" t="n">
        <x:v>3</x:v>
      </x:c>
      <x:c r="C178" s="24" t="str">
        <x:v>الدليل</x:v>
      </x:c>
      <x:c r="D178" s="24"/>
      <x:c r="E178" s="24"/>
      <x:c r="F178" s="28" t="str">
        <x:v>يناير 2026 هو أحدث إصدار شهري لنقاط البيع في صفحة البنك المركزي اليمني – عدن، كما اطُّلع عليها في 26 سبتمبر 2026</x:v>
      </x:c>
      <x:c r="G178" s="28" t="str">
        <x:v>تعرض صفحة المدفوعات لدى البنك المركزي اليمني – عدن، كما اطُّلع عليها في 26 سبتمبر 2026، إصدارات شهرية لنقاط البيع من مارس 2025 حتى يناير 2026. لذلك تنتهي السلسلة الشهرية عند يناير 2026. ولا يعني ذلك أن النشاط توقف؛ بل يعني أن الصفحة المصدر،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are different measurement objects.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وحدات قياس مختلفة.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مستدامًا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نحو 57.03% للإيداع والسحب النقدي، و29.97% للحركة بين الحسابات المصرفية والإلكترونية، ونحو 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في عدن في 2026 قرارًا بشأن رمز الاستجابة السريعة (QR) الوطني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الكامل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استخدامًا مرصودًا. كما أن نجاح دفع 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for a use story</x:v>
      </x:c>
      <x:c r="E187" s="24" t="str">
        <x:v>This resource still lacks a comparable, privacy-safe measure of unique and repeat payment users across providers and rails, with frequency, recency, transaction purpose, failed/abandoned attempts and clear active-use definitions. It also lacks the downstream usage series needed to measure adoption after major payment-rail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(Yemen fieldwork November 2022 to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التي نُفذ عملها الميداني في اليمن بين نوفمبر 2022 ويناير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سكاني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and income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the matching figure for adults with more education is not in the evidence base, so no education gap is stated.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بينما لا تتضمن قاعدة الأدلة الرقم المقابل لمن تلقوا تعليمًا أعلى، ولذلك لا تُذكر فجوة بحسب التعليم.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and the 9.0-point income difference do not establish their causes. Administrative counts of accounts, wallets, savers, transactions or devices cannot substitute for a weighted people-level measure. No confidence intervals for these subgroup values are held in the evidence base,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لا يثبتان أسبابهما.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منهم 51.7% من الأسرة أو الأصدقاء، و15.0% من مقرض خاص غير رسمي، و0.4% من مؤسسة مالية. وبشكل منفصل، أفاد 20.6% بأنهم ادخروا أي مبلغ، منهم 0.9%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between 7 November 2022 and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بين 7 نوفمبر 2022 و9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are different measurement objects.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وحدات قياس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it can return to Arabic or English;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حتى تعود إلى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local search and navigation do not require third-party analytics or advertising trackers. If non-essential analytics, cookies or identifiers are enabled later, they must be disclosed before activation and reflected in the applicable choice or consent mechanism.</x:v>
      </x:c>
      <x:c r="F213" s="28" t="str">
        <x:v>التحليلات وملفات الارتباط والتتبع من طرف ثالث</x:v>
      </x:c>
      <x:c r="G213" s="28" t="str">
        <x:v>لا يتطلب تصفح الأدلة أو البحث المحلي أو التنقل الأساسي تحليلات من طرف ثالث أو أدوات تتبع إعلانية. وإذا فُعّلت لاحقًا تحليلات غير ضرورية أو ملفات ارتباط أو معرفات، فيجب الإفصاح عنها قبل التفعيل وعكسها في آلية الاختيار أو الموافقة ذات الصلة.</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7 September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رُوجعت في 7 سبتمبر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7 September 2026, names 26 banks; 12 of them are classified as microfinance banks on the basis of their names in the source. These are formal list/classification states. They do not establish whether every institution is operating, which branches are active, what products are available, market share, payment-rail participation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in different dates and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نظيفة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هذا الوضع إلى 2026 أو استخدامها لاستنتاج القائمة الإيجابية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التاريخ المؤرخ لوضع 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within Yemen’s unconditional cash-transfer programme in eight districts,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تحويلة أو كلها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أكثر ما يخبرنا</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provides evidence of movement toward digital delivery and of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التجربة دليلًا على التقدم نحو الصرف الرقمي وعلى إتاحة حسابات قابلة للاستخدام للمستفيدين، أما تحوّل ذلك إلى علاقة مالية مستمرة فسؤال تجريبي مستقل.</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منذ 1996. ولا يثبت ذلك أن ترتيبات 1996 و2023 كانت متطابقة، لكنه يعني أن يناير 2023 لا ينبغي وصفه بأنه أول مرة يُستخدم فيها التقييم بسعر السوق في اليمن.
والصياغة القابلة للدفاع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محققة بندًا ببند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التعميم الدقيق الصادر في يناير 2023، مع جدول مطابقة يبين لكل بند متأثر في الميزانية:
- القيمة القديمة؛
- القيمة المعاد عرضها؛
- معالجة التقييم؛
- أي تغير في التصنيف أو في مجتمع 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financial objects,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أدوات مالية وبنية تحتية ونشاطًا،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1,473 between March 2025 and January 2026”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لدى 11.9% من البالغين في سن 15 عامًا فأكثر في المناطق التي شملها المسح حساب» (مسح Findex العالمي، العمل الميداني 2022–2023)، و«ارتفع عدد أجهزة نقاط البيع التي يبلغ عنها البنك المركزي اليمني – عدن من 561 إلى 1,473 بين مارس 2025 ويناير 2026»: ملاحظتان مشروعتان. الأولى عن أشخاص، مقدَّرة من مسح مرجّح. والثانية عن قطع من البنية التحتية تُعد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ونسب الحالات الخام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مشروع صالح للمتابعة.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the counted object,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فرضته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التمويل الرقمي فشل؛ ففي بيئة يصعب فيها تحريك القيمة بأمان أو بسهولة، لهذه الوظيفة منفعة اقتصادية حقيقية. لكن منظومة يغلب عليها الدخول إلى النقد والخروج منه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a 2022 custom survey covering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مخصص أُجري عام 2022 وشمل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standard Enterprise Survey “biggest obstacle” indicator, and it does not rank constraints by cause.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held in the evidence base.</x:v>
      </x:c>
      <x:c r="F258" s="28" t="str">
        <x:v>سؤالان ومجموعتان من المنشآت</x:v>
      </x:c>
      <x:c r="G258" s="28" t="str">
        <x:v>نسبة 22% مقارنة؛ فهي تضع التمويل بين الكهرباء والوقود والنقل والضرائب وعدم الاستقرار، وفق صياغة البنود في المسح نفسه، وليست مؤشر «أكبر عائق» المعياري في مسوح المنشآت،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حصص متوسطة،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1,473 in January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1,473 جهازًا في يناير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بعده.</x:v>
      </x:c>
    </x:row>
    <x:row r="265">
      <x:c r="A265" s="24" t="str">
        <x:v>/readings/from-rail-to-result-missing-middle/</x:v>
      </x:c>
      <x:c r="B265" s="24" t="n">
        <x:v>3</x:v>
      </x:c>
      <x:c r="C265" s="24"/>
      <x:c r="D265" s="24" t="str">
        <x:v>A reform passes through different evidence states</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بحالات مختلفة من الدليل</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الوصول السكاني،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The series has not failed because it cannot answer those questions;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البنية والمعاملات تجيب عن أسئلتها هي</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ولم تفشل هذه السلسلة لأنها لا تجيب عن تلك الأسئلة؛ فهي تجيب عن سؤال آخر.
أما المعاملة المسجلة فتقربنا من الاستخدام، إذ تثبت أن نشاطًا وقع داخل النظام الذي يرصده.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clocks are not synchronised. Regulation, institution-building and administrative payment data can move faster than representative evidence about people. Fragmented authority, infrastructure constraints and different reporting universes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لدى 18.35% من الرجال و5.44% من النساء في سن 15 عامًا فأكثر، في المناطق التي شملها المسح، حساب،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يُنتَج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الأسباب.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نقطة الوصول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تقف خلف هذه النقطة اللاحقة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التشخيصات المالية للقطاع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anchor records about 1.611 million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نحو 1.611 مليون مدخر أو مودع. وتورد الورقة نفسها الصادرة في 2024 ما تسميه 3.3 ملايين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ملايين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المحفظة الاسمية بُعد ثالث</x:v>
      </x:c>
      <x:c r="G277" t="str">
        <x:v>يُظهر السجل المتحقق منه لعام 2020 محفظة قائمة بنحو 33.379 مليار ريال، وتورد ورقة 2024 محفظة اسمية تقارب 44 مليار ريال لعام 2023. ولا يثبت كبر المحفظة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المحفظة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7 September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رُوجعت في 7 سبتمبر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وهذه عبارة عن مصدر الزيادة، وليست، في قاعدة الأدلة الحالية، حصة محققة من إجمالي رصيد المدخرين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المحفظة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قد تختلف الإجابات وتتعايش معًا.
وتتطلب الإجابة عنها لوحة بيانات موحدة على مستوى مقدمي الخدمة، بتعريفات ثابتة للمقترضين الفريدين النشطين، والمودعين أو المدخرين الفريدين النشطين، والأرصدة والتمويل القائم، وحجم القرض، وجودة المحفظة،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والمحافظ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between 7 November 2022 and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January 2026 count of POS terminals is current evidence of reported acceptance infrastructure. Neither is a 2026 population estimate.</x:v>
      </x:c>
      <x:c r="F281"/>
      <x:c r="G281" t="str">
        <x:v>يبقى أحدث قياس ممثل لامتلاك الحساب في اليمن عند 11.9% من البالغين في سن 15 عامًا فأكثر في المناطق التي شملها المسح، وفق العمل الميداني لمسح Findex العالمي الذي نُفذ بين 7 نوفمبر 2022 و9 يناير 2023.
لكن المنظومة المالية المحيطة بهذا القياس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يناير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1,473 in January 2026 within its reporting scope. That is meaningful administrative evidence, but it does not tell us how many terminals were routinely working, how many unique merchants or customers used them, how reliable or costly the service was, or whether use was repeated. The count has not failed because it cannot answer those questions;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توزيعه على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1,473 في يناير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ولم يفشل هذا العدد لأنه لا يجيب عن تلك الأسئلة؛ فهو لم يُصمَّم للإجابة عنها.
وتُعد خطوط الأساس والمستهدفات في البرامج أدلة إدارية قيّمة،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هل وصل التغيير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سكاني ممثل جديد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billion; the 2025 report restated 2024 at about USD 3.42 billion.
The gap is large, but the first thing it establishes is not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مختلفتين كثيرًا للتحويلات في السنة المرجعية نفسها. فقد قدّر تقرير 2024 التحويلات في عام 2024 بنحو 6.245 مليار دولار، ثم أعاد تقرير 2025 عرض قيمة عام 2024 عند 3.42 مليار دولار تقريبًا.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رقمين قياسيين (2021 = 100)، يكاد مساراهما يتطابقان حتى عام 2024؛ إذ لا يتجاوز أكبر فرق في معدل النمو السنوي خلال 2022–2024 نحو 0.0032 نقطة مئوية.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في السنة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The reform chain has distinct evidence states</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state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ويشغل كل إصلاح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صلاحيات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verify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states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للبنك المركزي في عدن بشأن رمز الاستجابة السريعة (QR) الوطني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الكامل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في عدن ولا مع قياسات امتلاك الحساب في المسوح.</x:v>
      </x:c>
    </x:row>
    <x:row r="303">
      <x:c r="A303" t="str">
        <x:v>/reforms/</x:v>
      </x:c>
      <x:c r="B303" t="n">
        <x:v>7</x:v>
      </x:c>
      <x:c r="C303" t="str">
        <x:v>Evidence</x:v>
      </x:c>
      <x:c r="D303" t="str">
        <x:v>The July 2026 SMP state is staff-level and conditional</x:v>
      </x:c>
      <x:c r="E303" t="str">
        <x:v>On July 16,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states must remain distinct inside reform and programme stories</x:v>
      </x:c>
      <x:c r="E305" t="str">
        <x:v>Pledge, commitment, signed agreement, deposit, amount made available, budget disbursement, FX-auction use, in-kind support and project cost are not interchangeable. A project target is likewise not an observed result. This resource uses state labels so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فعالية التظلم.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rail use,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evidence states</x:v>
      </x:c>
      <x:c r="E311" t="str">
        <x:v>The Central Bank of Yemen – Aden (CBY-Aden) announced its Financial Consumer Protection Regulatory Instructions on 28 August 2023. That establishes a documented regulatory state.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billion, and its 2025 annual report restated the same year at about US$3.42 billion: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مليار دولار، ثم أعاد تقريره السنوي 2025 عرض السنة نفسها عند نحو 3.42 مليار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evidence states</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vintage changes</x:v>
      </x:c>
      <x:c r="E316" t="str">
        <x:v>For the 2024 reference year, the 2024 annual report of the Central Bank of Yemen – Aden (CBY-Aden) gave US$6.245 billion, while its 2025 annual report restated 2024 at about US$3.42 billion.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مليار دولار، بينما أعاد تقرير 2025 عرض 2024 عند 3.42 مليار دولار تقريبًا.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Tested public CBY-Aden and IMF components do not support one universal conversion scalar.</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في عدن. ولا تدعم المكونات العامة المختبرة لدى البنك المركزي في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الأخطاء والسهو</x:v>
      </x:c>
      <x:c r="G325" t="str">
        <x:v>في التقرير السنوي 2025 للبنك المركزي اليمني – عدن يفوق صافي الأخطاء والسهو بندَ التحويلات المنشور في كل سنة من 2021 إلى 2025؛ وفي 2025 بلغ المتبقي نحو 7.117 مليار دولار مقابل 3.614 مليار دولار للتحويلات، أي قرابة 1.97 مرة. وصافي الأخطاء والسهو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about US$3.42 billion,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في عدن تحويلات بنحو 3.42 مليار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without granting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والأدلة المقتصرة على جزء من السكان أو على منطقة أو برنامج غير مقدمة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source-locator register.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تُثبت صراحة صلاحية 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7 September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7 سبتمبر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في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7 September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7 سبتمبر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under CBY-Aden lists, bank credit and other monetary statistics, and remittance prices in two corridors. Most people-side topics rest on the latest representative survey wave (fieldwork 2022–23) or on 2014 values, and several — frequency of use, financial resilience, digital capability, affordability and age — are defined in the 2021 survey data but not yet estimated. Payments, regulation and consumer protection are evidenced mainly through administrative and regulatory records, which show systems and rules rather than use or outcomes. There is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مسح ممثلة (نُفذ عملها الميداني خلال 2022–2023) أو إلى قيم 2014، كما أن عددًا منها — كتكرار الاستخدام والصمود المالي والقدرات الرقمية والقدرة على تحمل التكلفة والعمر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توجد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locator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ويسند الدليل الأولي المصدر والأحداث المؤرخة المتعلقة بالوضع الأرقامَ العامة مباشرة، أما الرقم الذي لا يُعرف إلا من مصدر ثانوي فلا يظهر إلا منسوبًا إلى مصدره وموسومًا بأنه ثانوي. وتُنسب الأدبيات التحليلية إلى أصحابها، وتفيد المراجع الدولية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7 September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كما تضم قائمته للبنوك المرخصة، كما اطُّلع عليها في 7 سبتمبر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(المرابين)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فتحقق من كل سجل مرتبط مقابل مصدره الخاص.</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وتحقق منه مقابل مصدره الخاص.</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فلا تُعامل أرقامه على أنها صالحة لإعادة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carried by an Evidence Record. Follow a record to its original sources before reusing a figure.</x:v>
      </x:c>
      <x:c r="C84" s="24" t="str">
        <x:v>كل مقولة تعتمد عليها هذه القراءة يحملها سجل دليل.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source material with no public original locator recorded here; it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source material for which no public original locator is recorded. That material is held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both are shown</x:v>
      </x:c>
      <x:c r="C104" s="24" t="str">
        <x:v>أرقام المصدر غير متسقة — يُعرض الرقمان</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وفق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is not a status elsewhere.</x:v>
      </x:c>
      <x:c r="C120" s="24" t="str">
        <x:v>وضعٌ كما سجلته الجهة المسماة وحدها؛ وعدم الإدراج في قائمتها لا يحدد وضعًا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original locator,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original locator,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نقاط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informal competitors</x:v>
      </x:c>
      <x:c r="C175" s="24" t="str">
        <x:v>ممارسات المنافسين غير الرسميين</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ومساهمة البنك المركزي في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ومنشآتها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is held</x:v>
      </x:c>
      <x:c r="C202" s="24" t="str">
        <x:v>لا توجد قائمة مضبوطة بأسماء الجهات المرخصة</x:v>
      </x:c>
      <x:c r="D202" s="24" t="str">
        <x:v>Pre-Tranche-C P4 (V-D5). Chart label: provider_named_state value 'POSITIVE_NAMES_NOT_CONTROLLED'.</x:v>
      </x:c>
    </x:row>
    <x:row r="203">
      <x:c r="A203" s="24" t="str">
        <x:v>UI-VIS-CAT-PRV-NAMED-PARTIAL</x:v>
      </x:c>
      <x:c r="B203" s="24" t="str">
        <x:v>Partial network membership, not the regulated universe</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أحداث 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أحداث وضع مختارة لعام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held in this evidence base</x:v>
      </x:c>
      <x:c r="C207" s="24" t="str">
        <x:v>لا تتضمن قاعدة الأدلة أحداثًا لوضع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(2025-09-10) and more than 9 event participants (2026-01-22).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(2025-09-10)، وأكثر من 9 مشاركين في فعالية (2026-01-22). وتبقى هذه الأعداد منفصلة، ولم تُحسم بعد قائمة حالية مسماة بالمحافظ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منشآت شركة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حُظر التعامل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Events, not people</x:v>
      </x:c>
      <x:c r="C235" s="24" t="str">
        <x:v>أحداث،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مؤشر،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أو قاعدة الاحتساب عند الحاجة، والفترة، والجغرافيا،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provider set not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المساران المؤشَّران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لا يُقارن بنشرة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Content version of 26 September 2026</x:v>
      </x:c>
      <x:c r="C256" s="24" t="str">
        <x:v>إصدار المحتوى بتاريخ 26 سبتمبر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وراء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Do not infer</x:v>
      </x:c>
      <x:c r="C284" s="24" t="str">
        <x:v>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Read this Reading</x:v>
      </x:c>
      <x:c r="C288" s="24" t="str">
        <x:v>اقرأ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4">
      <x:c r="A294" s="24" t="str">
        <x:v>Trust navigation</x:v>
      </x:c>
    </x:row>
    <x:row r="295">
      <x:c r="A295" s="24" t="str">
        <x:v>item_order</x:v>
      </x:c>
      <x:c r="B295" s="24" t="str">
        <x:v>label_en</x:v>
      </x:c>
      <x:c r="C295" s="24" t="str">
        <x:v>label_ar</x:v>
      </x:c>
      <x:c r="D295" s="24" t="str">
        <x:v>route</x:v>
      </x:c>
    </x:row>
    <x:row r="296">
      <x:c r="A296" s="24" t="n">
        <x:v>1</x:v>
      </x:c>
      <x:c r="B296" s="24" t="str">
        <x:v>About</x:v>
      </x:c>
      <x:c r="C296" s="24" t="str">
        <x:v>عن الموقع</x:v>
      </x:c>
      <x:c r="D296" s="24" t="str">
        <x:v>/about</x:v>
      </x:c>
    </x:row>
    <x:row r="297">
      <x:c r="A297" s="24" t="n">
        <x:v>2</x:v>
      </x:c>
      <x:c r="B297" s="24" t="str">
        <x:v>Corrections</x:v>
      </x:c>
      <x:c r="C297" s="24" t="str">
        <x:v>التصحيحات</x:v>
      </x:c>
      <x:c r="D297" s="24" t="str">
        <x:v>/corrections</x:v>
      </x:c>
    </x:row>
    <x:row r="298">
      <x:c r="A298" s="24" t="n">
        <x:v>3</x:v>
      </x:c>
      <x:c r="B298" s="24" t="str">
        <x:v>Rights &amp; reuse</x:v>
      </x:c>
      <x:c r="C298" s="24" t="str">
        <x:v>الحقوق وإعادة الاستخدام</x:v>
      </x:c>
      <x:c r="D298" s="24" t="str">
        <x:v>/rights</x:v>
      </x:c>
    </x:row>
    <x:row r="299">
      <x:c r="A299" s="24" t="n">
        <x:v>4</x:v>
      </x:c>
      <x:c r="B299" s="24" t="str">
        <x:v>Accessibility</x:v>
      </x:c>
      <x:c r="C299" s="24" t="str">
        <x:v>إتاحة الوصول</x:v>
      </x:c>
      <x:c r="D299" s="24" t="str">
        <x:v>/accessibility</x:v>
      </x:c>
    </x:row>
    <x:row r="300">
      <x:c r="A300" s="24" t="n">
        <x:v>5</x:v>
      </x:c>
      <x:c r="B300" s="24" t="str">
        <x:v>Privacy</x:v>
      </x:c>
      <x:c r="C300" s="24" t="str">
        <x:v>الخصوصية</x:v>
      </x:c>
      <x:c r="D300" s="24" t="str">
        <x:v>/privacy</x:v>
      </x:c>
    </x:row>
    <x:row r="301">
      <x:c r="A301" s="24" t="n">
        <x:v>6</x:v>
      </x:c>
      <x:c r="B301" s="24" t="str">
        <x:v>Terms</x:v>
      </x:c>
      <x:c r="C301" s="24" t="str">
        <x:v>شروط الاستخدام</x:v>
      </x:c>
      <x:c r="D301" s="24" t="str">
        <x:v>/terms</x:v>
      </x:c>
    </x:row>
    <x:row r="302">
      <x:c r="A302" s="24" t="n">
        <x:v>7</x:v>
      </x:c>
      <x:c r="B302" s="24" t="str">
        <x:v>Contact</x:v>
      </x:c>
      <x:c r="C302" s="24" t="str">
        <x:v>التواصل</x:v>
      </x:c>
      <x:c r="D302" s="24" t="str">
        <x:v>/contact</x:v>
      </x:c>
    </x:row>
    <x:row r="304">
      <x:c r="A304" s="24" t="str">
        <x:v>Search aliases</x:v>
      </x:c>
    </x:row>
    <x:row r="305">
      <x:c r="A305" s="24" t="str">
        <x:v>alias_id</x:v>
      </x:c>
      <x:c r="B305" s="24" t="str">
        <x:v>terms_en</x:v>
      </x:c>
      <x:c r="C305" s="24" t="str">
        <x:v>terms_ar</x:v>
      </x:c>
      <x:c r="D305" s="24" t="str">
        <x:v>targets</x:v>
      </x:c>
      <x:c r="E305" s="24" t="str">
        <x:v>boundary_note_en</x:v>
      </x:c>
      <x:c r="F305" s="38" t="str">
        <x:v>boundary_note_ar</x:v>
      </x:c>
    </x:row>
    <x:row r="306">
      <x:c r="A306" s="24" t="str">
        <x:v>SEARCH-ALIAS-001</x:v>
      </x:c>
      <x:c r="B306" s="24" t="str">
        <x:v>law; laws</x:v>
      </x:c>
      <x:c r="C306" s="24" t="str">
        <x:v>قانون; قوانين</x:v>
      </x:c>
      <x:c r="D306" s="24" t="str">
        <x:v>document_type:law | route:/reforms/ | route:/data/</x:v>
      </x:c>
    </x:row>
    <x:row r="307">
      <x:c r="A307" s="24" t="str">
        <x:v>SEARCH-ALIAS-002</x:v>
      </x:c>
      <x:c r="B307" s="24" t="str">
        <x:v>decision; decisions</x:v>
      </x:c>
      <x:c r="C307" s="24" t="str">
        <x:v>قرار; قرارات</x:v>
      </x:c>
      <x:c r="D307" s="24" t="str">
        <x:v>document_type:decision/enforcement | route:/providers/ | route:/reforms/</x:v>
      </x:c>
    </x:row>
    <x:row r="308">
      <x:c r="A308" s="24" t="str">
        <x:v>SEARCH-ALIAS-003</x:v>
      </x:c>
      <x:c r="B308" s="24" t="str">
        <x:v>circular; circulars</x:v>
      </x:c>
      <x:c r="C308" s="24" t="str">
        <x:v>تعميم; تعاميم</x:v>
      </x:c>
      <x:c r="D308" s="24" t="str">
        <x:v>document_type:instruction/circular | route:/reforms/</x:v>
      </x:c>
    </x:row>
    <x:row r="309">
      <x:c r="A309" s="24" t="str">
        <x:v>SEARCH-ALIAS-004</x:v>
      </x:c>
      <x:c r="B309" s="24" t="str">
        <x:v>regulation; regulations; instructions</x:v>
      </x:c>
      <x:c r="C309" s="24" t="str">
        <x:v>لائحة; لوائح; تعليمات</x:v>
      </x:c>
      <x:c r="D309" s="24" t="str">
        <x:v>document_type:regulation | document_type:instruction/circular | route:/reforms/ | route:/data/</x:v>
      </x:c>
    </x:row>
    <x:row r="310">
      <x:c r="A310" s="24" t="str">
        <x:v>SEARCH-ALIAS-005</x:v>
      </x:c>
      <x:c r="B310" s="24" t="str">
        <x:v>remittance; remittances</x:v>
      </x:c>
      <x:c r="C310" s="24" t="str">
        <x:v>حوالة; حوالات; تحويلات</x:v>
      </x:c>
      <x:c r="D310" s="24" t="str">
        <x:v>route:/remittances/</x:v>
      </x:c>
    </x:row>
    <x:row r="311">
      <x:c r="A311" s="24" t="str">
        <x:v>SEARCH-ALIAS-006</x:v>
      </x:c>
      <x:c r="B311" s="24" t="str">
        <x:v>exchange company; exchange companies</x:v>
      </x:c>
      <x:c r="C311" s="24" t="str">
        <x:v>صرافة; شركات الصرافة; منشآت الصرافة</x:v>
      </x:c>
      <x:c r="D311" s="24" t="str">
        <x:v>route:/providers/</x:v>
      </x:c>
    </x:row>
    <x:row r="312">
      <x:c r="A312" s="24" t="str">
        <x:v>SEARCH-ALIAS-007</x:v>
      </x:c>
      <x:c r="B312" s="24" t="str">
        <x:v>wallet; e-wallet; e-wallets; electronic wallet</x:v>
      </x:c>
      <x:c r="C312" s="24" t="str">
        <x:v>محفظة; محافظ; المحافظ الإلكترونية; المحفظة الإلكترونية</x:v>
      </x:c>
      <x:c r="D312" s="24" t="str">
        <x:v>route:/payments/</x:v>
      </x:c>
    </x:row>
    <x:row r="313">
      <x:c r="A313" s="24" t="str">
        <x:v>SEARCH-ALIAS-008</x:v>
      </x:c>
      <x:c r="B313" s="24" t="str">
        <x:v>POS; point of sale; POS terminals</x:v>
      </x:c>
      <x:c r="C313" s="24" t="str">
        <x:v>نقاط البيع; نقطة بيع</x:v>
      </x:c>
      <x:c r="D313" s="24" t="str">
        <x:v>route:/payments/</x:v>
      </x:c>
    </x:row>
    <x:row r="314">
      <x:c r="A314" s="24" t="str">
        <x:v>SEARCH-ALIAS-009</x:v>
      </x:c>
      <x:c r="B314" s="24" t="str">
        <x:v>microfinance; MFB; MFI</x:v>
      </x:c>
      <x:c r="C314" s="24" t="str">
        <x:v>التمويل الأصغر; تمويل أصغر</x:v>
      </x:c>
      <x:c r="D314" s="24" t="str">
        <x:v>route:/finance/</x:v>
      </x:c>
    </x:row>
    <x:row r="315">
      <x:c r="A315" s="24" t="str">
        <x:v>SEARCH-ALIAS-010</x:v>
      </x:c>
      <x:c r="B315" s="24" t="str">
        <x:v>exchange rate</x:v>
      </x:c>
      <x:c r="C315" s="24" t="str">
        <x:v>سعر الصرف; أسعار الصرف</x:v>
      </x:c>
      <x:c r="D315" s="24" t="str">
        <x:v>route:/finance/</x:v>
      </x:c>
    </x:row>
    <x:row r="316">
      <x:c r="A316" s="24" t="str">
        <x:v>SEARCH-ALIAS-011</x:v>
      </x:c>
      <x:c r="B316" s="24" t="str">
        <x:v>measurement; measurement agenda; measurement priorities</x:v>
      </x:c>
      <x:c r="C316" s="24" t="str">
        <x:v>أولويات القياس; أجندة القياس; القياس</x:v>
      </x:c>
      <x:c r="D316" s="24" t="str">
        <x:v>route:/measurement/</x:v>
      </x:c>
    </x:row>
    <x:row r="317">
      <x:c r="A317" s="24" t="str">
        <x:v>SEARCH-ALIAS-012</x:v>
      </x:c>
      <x:c r="B317" s="24" t="str">
        <x:v>financial literacy; financial education</x:v>
      </x:c>
      <x:c r="C317" s="24" t="str">
        <x:v>الثقافة المالية; التثقيف المالي</x:v>
      </x:c>
      <x:c r="D317" s="24" t="str">
        <x:v>route:/people/ | route:/reforms/</x:v>
      </x:c>
      <x:c r="E317" s="24" t="str">
        <x:v>Discovery aid only: financial-education activity is not literacy, capability or behaviour.</x:v>
      </x:c>
      <x:c r="F317" s="38" t="str">
        <x:v>وسيلة للعثور على المحتوى فقط: النشاط التثقيفي المالي ليس ثقافة مالية ولا قدرة ولا سلوكًا.</x:v>
      </x:c>
    </x:row>
    <x:row r="318">
      <x:c r="A318" s="24" t="str">
        <x:v>SEARCH-ALIAS-013</x:v>
      </x:c>
      <x:c r="B318" s="24" t="str">
        <x:v>income; income gap</x:v>
      </x:c>
      <x:c r="C318" s="24" t="str">
        <x:v>الدخل; فجوة الدخل</x:v>
      </x:c>
      <x:c r="D318" s="24" t="str">
        <x:v>route:/people/</x:v>
      </x:c>
    </x:row>
    <x:row r="319">
      <x:c r="A319" s="24" t="str">
        <x:v>SEARCH-ALIAS-014</x:v>
      </x:c>
      <x:c r="B319" s="24" t="str">
        <x:v>credit; lending</x:v>
      </x:c>
      <x:c r="C319" s="24" t="str">
        <x:v>الائتمان; الإقراض</x:v>
      </x:c>
      <x:c r="D319" s="24" t="str">
        <x:v>route:/finance/ | route:/firms/</x:v>
      </x:c>
    </x:row>
    <x:row r="320">
      <x:c r="A320" s="24" t="str">
        <x:v>SEARCH-ALIAS-015</x:v>
      </x:c>
      <x:c r="B320" s="24" t="str">
        <x:v>licensed banks; licensed bank; bank list</x:v>
      </x:c>
      <x:c r="C320" s="24" t="str">
        <x:v>البنوك المرخصة; بنوك مرخصة; قائمة البنوك</x:v>
      </x:c>
      <x:c r="D320" s="24" t="str">
        <x:v>route:/providers/</x:v>
      </x:c>
    </x:row>
    <x:row r="321">
      <x:c r="A321" s="24" t="str">
        <x:v>SEARCH-ALIAS-016</x:v>
      </x:c>
      <x:c r="B321" s="24" t="str">
        <x:v>remittance cost; remittance prices; transfer cost</x:v>
      </x:c>
      <x:c r="C321" s="24" t="str">
        <x:v>تكلفة التحويل; تكلفة الحوالات; رسوم التحويل</x:v>
      </x:c>
      <x:c r="D321" s="24" t="str">
        <x:v>route:/remittances/</x:v>
      </x:c>
    </x:row>
    <x:row r="322">
      <x:c r="A322" s="24" t="str">
        <x:v>SEARCH-ALIAS-017</x:v>
      </x:c>
      <x:c r="B322" s="24" t="str">
        <x:v>Aden; CBY Aden; CBY-Aden</x:v>
      </x:c>
      <x:c r="C322" s="24" t="str">
        <x:v>عدن; البنك المركزي في عدن</x:v>
      </x:c>
      <x:c r="D322" s="24" t="str">
        <x:v>route:/providers/ | route:/data/</x:v>
      </x:c>
      <x:c r="E322" s="24" t="str">
        <x:v>Discovery aid only: CBY-Aden lists, decisions and statistics carry the scope of that authority; they do not describe all of Yemen.</x:v>
      </x:c>
      <x:c r="F322" s="38" t="str">
        <x:v>وسيلة للعثور على المحتوى فقط: قوائم البنك المركزي اليمني في عدن وقراراته وإحصاءاته تحمل نطاق تلك السلطة، ولا تصف اليمن كله.</x:v>
      </x:c>
    </x:row>
    <x:row r="323">
      <x:c r="A323" s="24" t="str">
        <x:v>SEARCH-ALIAS-018</x:v>
      </x:c>
      <x:c r="B323" s="24" t="str">
        <x:v>deposits; deposit; bank deposits</x:v>
      </x:c>
      <x:c r="C323" s="24" t="str">
        <x:v>الودائع; ودائع; الودائع المصرفية</x:v>
      </x:c>
      <x:c r="D323" s="24" t="str">
        <x:v>route:/finance/</x:v>
      </x:c>
    </x:row>
    <x:row r="324">
      <x:c r="A324" s="24" t="str">
        <x:v>SEARCH-ALIAS-019</x:v>
      </x:c>
      <x:c r="B324" s="24" t="str">
        <x:v>SME finance; SME; SMEs; MSME; MSMEs; MSME finance; small business finance</x:v>
      </x:c>
      <x:c r="C324" s="24" t="str">
        <x:v>المنشآت الصغيرة والمتوسطة; تمويل المنشآت الصغيرة والمتوسطة; المنشآت الأصغر والصغيرة والمتوسطة; المنشآت الصغرى والصغيرة والمتوسطة</x:v>
      </x:c>
      <x:c r="D324" s="24" t="str">
        <x:v>route:/firms/</x:v>
      </x:c>
    </x:row>
    <x:row r="325">
      <x:c r="A325" s="24" t="str">
        <x:v>SEARCH-ALIAS-020</x:v>
      </x:c>
      <x:c r="B325" s="24" t="str">
        <x:v>RTGS; real-time gross settlement; real time gross settlement</x:v>
      </x:c>
      <x:c r="C325" s="24" t="str">
        <x:v>التسوية الإجمالية الفورية; نظام التسوية الإجمالية الفورية</x:v>
      </x:c>
      <x:c r="D325" s="24" t="str">
        <x:v>route:/payments/ | route:/reforms/</x:v>
      </x:c>
    </x:row>
    <x:row r="326">
      <x:c r="A326" s="24" t="str">
        <x:v>SEARCH-ALIAS-021</x:v>
      </x:c>
      <x:c r="B326" s="24" t="str">
        <x:v>FPS; fast payment system; fast payments</x:v>
      </x:c>
      <x:c r="C326" s="24" t="str">
        <x:v>نظام الدفع السريع; الدفع السريع; المدفوعات السريعة</x:v>
      </x:c>
      <x:c r="D326" s="24" t="str">
        <x:v>route:/payments/ | route:/reforms/</x:v>
      </x:c>
    </x:row>
    <x:row r="327">
      <x:c r="A327" s="24" t="str">
        <x:v>SEARCH-ALIAS-022</x:v>
      </x:c>
      <x:c r="B327" s="24" t="str">
        <x:v>consumer protection; financial consumer protection</x:v>
      </x:c>
      <x:c r="C327" s="24" t="str">
        <x:v>حماية المستهلك; حماية المستهلك المالي</x:v>
      </x:c>
      <x:c r="D327" s="24" t="str">
        <x:v>route:/reforms/</x:v>
      </x:c>
    </x:row>
    <x:row r="328">
      <x:c r="A328" s="24" t="str">
        <x:v>SEARCH-ALIAS-023</x:v>
      </x:c>
      <x:c r="B328" s="24" t="str">
        <x:v>complaints; complaint; complaint handling; redress</x:v>
      </x:c>
      <x:c r="C328" s="24" t="str">
        <x:v>الشكاوى; شكوى; معالجة الشكاوى; التظلم</x:v>
      </x:c>
      <x:c r="D328" s="24" t="str">
        <x:v>route:/reforms/</x:v>
      </x:c>
      <x:c r="E328" s="24" t="str">
        <x:v>Discovery aid only: official guidance and instructions describe a complaint path and time limits, not how complaints are handled in practice.</x:v>
      </x:c>
      <x:c r="F328" s="38" t="str">
        <x:v>وسيلة للعثور على المحتوى فقط: تصف الإرشادات والتعليمات الرسمية مسار الشكوى ومهلها، لا طريقة معالجة الشكاوى فعليًا.</x:v>
      </x:c>
    </x:row>
    <x:row r="329">
      <x:c r="A329" s="24" t="str">
        <x:v>SEARCH-ALIAS-024</x:v>
      </x:c>
      <x:c r="B329" s="24" t="str">
        <x:v>FMIIP; Financial Market Infrastructure and Inclusion Project</x:v>
      </x:c>
      <x:c r="C329" s="24" t="str">
        <x:v>FMIIP; مشروع البنية التحتية للأسواق المالية والشمول المالي; مشروع البنية التحتية للأسواق والشمول المالي</x:v>
      </x:c>
      <x:c r="D329" s="24" t="str">
        <x:v>route:/reforms/ | route:/payments/</x:v>
      </x:c>
    </x:row>
    <x:row r="330">
      <x:c r="A330" s="24" t="str">
        <x:v>SEARCH-ALIAS-025</x:v>
      </x:c>
      <x:c r="B330" s="24" t="str">
        <x:v>women; woman; female; gender; gender gap</x:v>
      </x:c>
      <x:c r="C330" s="24" t="str">
        <x:v>المرأة; امرأة; النساء; نساء; الإناث; النوع الاجتماعي; فجوة النوع الاجتماعي; الفجوة بين الجنسين</x:v>
      </x:c>
      <x:c r="D330" s="24" t="str">
        <x:v>route:/people/</x:v>
      </x:c>
      <x:c r="E330" s="24" t="str">
        <x:v>Discovery aid only: the measured gap comes from one survey wave (the 2021 Findex wave; Yemen fieldwork 2022–23); it is not a 2026 figure and does not establish causes.</x:v>
      </x:c>
      <x:c r="F330"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331">
      <x:c r="A331" s="24" t="str">
        <x:v>SEARCH-ALIAS-026</x:v>
      </x:c>
      <x:c r="B331" s="24" t="str">
        <x:v>humanitarian; cash transfer; cash transfers; social protection; G2P</x:v>
      </x:c>
      <x:c r="C331" s="24" t="str">
        <x:v>إنساني; المساعدات الإنسانية; التحويلات النقدية; الحماية الاجتماعية; مدفوعات الحكومة للأفراد</x:v>
      </x:c>
      <x:c r="D331" s="24" t="str">
        <x:v>route:/readings/after-transfer-persistence/ | route:/payments/</x:v>
      </x:c>
    </x:row>
    <x:row r="332">
      <x:c r="A332" s="24" t="str">
        <x:v>SEARCH-ALIAS-027</x:v>
      </x:c>
      <x:c r="B332" s="24" t="str">
        <x:v>licence; license; licensing; suspension; closure</x:v>
      </x:c>
      <x:c r="C332" s="24" t="str">
        <x:v>ترخيص; تراخيص; إيقاف; تعليق; إغلاق</x:v>
      </x:c>
      <x:c r="D332"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same-wave disparities and what the evidence cannot explain.</x:v>
      </x:c>
      <x:c r="G6" s="28" t="str">
        <x:v>القياسات السكانية، والفجوات داخل الموجة نفسها،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مستدام،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المستدام.</x:v>
      </x:c>
    </x:row>
    <x:row r="9">
      <x:c r="A9" s="24" t="str">
        <x:v>QE-005</x:v>
      </x:c>
      <x:c r="B9" s="24" t="str">
        <x:v>For firms, how serious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finance severity for a filtered group,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والمحفظة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والمحفظة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Macro-flow vintages,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أرني الدليل الذي تقوم عليه الخلاصة، واشرح أوجه الاختلاف بين الأرقام، ومكّنني من إعادة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وطريقة الاحتساب، وتاريخ الإصدارات، والاستشهاد، وإعادة الاستخدام الآمن.</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سكاني ممثل متاح لامتلاك الحساب</x:v>
      </x:c>
      <x:c r="F5" s="24" t="str">
        <x:v>The World Bank’s latest representative Yemen account-ownership observation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نوفمبر 2022 إلى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1,473 in January 2026, within CBY-Aden's reporting scope. The December 2025 total of 1,357 and the January 2026 total of 1,473 imply growth of 8.55%, while the January source graphic displays +11%; both are kept as a discrepancy within the source.</x:v>
      </x:c>
      <x:c r="G6" s="28" t="str">
        <x:v>ارتفع عدد أجهزة نقاط البيع التي يُبلغ عنها البنك المركزي اليمني – عدن من 561 جهازًا في مارس 2025 إلى 1,473 جهازًا في يناير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وتُحفظ القيمتان بوصفهما اختلافًا داخل المصدر نفسه.</x:v>
      </x:c>
      <x:c r="H6" s="24" t="str">
        <x:v>The monthly number of point-of-sale (POS) terminals reported by the Central Bank of Yemen – Aden (CBY-Aden) within its reporting scope, March 2025 to January 2026.</x:v>
      </x:c>
      <x:c r="I6" s="28" t="str">
        <x:v>العدد الشهري لأجهزة نقاط البيع التي يُبلغ عنها البنك المركزي اليمني – عدن ضمن نطاق الإبلاغ لديه، من مارس 2025 إلى يناير 2026.</x:v>
      </x:c>
      <x:c r="J6" s="24" t="str">
        <x:v>Mar-2025–Jan-2026</x:v>
      </x:c>
      <x:c r="K6" s="28" t="str">
        <x:v>مارس 2025 – يناير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release shows material discrepancies between its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 يناير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x:v>
      </x:c>
      <x:c r="Z6" t="str">
        <x:v>BOUND_EXACT</x:v>
      </x:c>
    </x:row>
    <x:row r="7">
      <x:c r="A7" s="24" t="str">
        <x:v>CLM-009</x:v>
      </x:c>
      <x:c r="B7" s="24" t="str">
        <x:v>CLAIM</x:v>
      </x:c>
      <x:c r="C7" s="24" t="str">
        <x:v>/providers/ | /evidence/ | /access/</x:v>
      </x:c>
      <x:c r="D7" s="24" t="str">
        <x:v>The official 2026 exchange and remittance roster is countable; current operation is a separate question</x:v>
      </x:c>
      <x:c r="E7" s="28" t="str">
        <x:v>يمكن عدّ القائمة الرسمية للصرافة والحوالات لعام 2026؛ أما التشغيل الحالي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suspending, withdrawing or closing named entities (dated January to September 2026) are matched with the roster entity by entity in both directions: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إغلاقها مع القائمة جهةً جهة وفي الاتجاهين،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rows are counted separately by the three classes used in the official roster.</x:v>
      </x:c>
      <x:c r="M7" s="28" t="str">
        <x:v>شركات الصرافة ومنشآت الصرافة الفردية ووكلاء الحوالات المدرجون في المصدر، مع عدّ الصفوف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same two payment reports give e-wallet subscriber counts of 414,631, 507,585 and 581,075 for the first three quarters of 2024 (2024 Q3 report) and 2,102,484 for 2025 H1 (H1 2025 infographic).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تقريرا المدفوعات نفسهما أعداد مشتركي المحافظ الإلكترونية: 414,631 و507,585 و581,075 للأرباع الثلاثة الأولى من 2024 (تقرير الربع الثالث 2024)، و2,102,484 للنصف الأول من 2025 (إنفوغرافيك النصف الأول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performance remains open</x:v>
      </x:c>
      <x:c r="E9" s="28" t="str">
        <x:v>مسار الشكوى معروف ونتائج الأداء ما تزال مفتوحة</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القائمة الإيجابية الكاملة للجهات المرخصة.</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sector score</x:v>
      </x:c>
      <x:c r="E11" s="28" t="str">
        <x:v>الشمول المالي منظومة مترابطة، لا درجة واحدة</x:v>
      </x:c>
      <x:c r="F11" s="24" t="str">
        <x:v>Financial inclusion in Yemen is described here as connected parts: people and capability, firms and income, providers, payment rails, remittance and capital flows, regulation and protection, and enabling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والقيود المُمكِّنة أو المعطِّلة.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rails, flows, rules, enabling constraints</x:v>
      </x:c>
      <x:c r="M11" s="28" t="str">
        <x:v>الأشخاص والمنشآت ومقدمو الخدمات وبنية المدفوعات والتدفقات والقواعد التنظيمية والقيود المُمكِّنة أو المعطلة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مجمَّعة من العلاقات بين أجزاء المنظومة الموثقة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وتحقق منه مقابل مصدره الخاص.</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held in the content version dated 26 September 2026.</x:v>
      </x:c>
      <x:c r="I12" s="28" t="str">
        <x:v>تواريخ الرصد أو النشر وأنواع الأدلة لسجلات الأدلة في كل مجال، كما وردت في نسخة المحتوى المؤرخة في 26 سبتمبر 2026.</x:v>
      </x:c>
      <x:c r="J12" s="24" t="str">
        <x:v>Content version dated 26 September 2026; each item keeps the period its source gives</x:v>
      </x:c>
      <x:c r="K12" s="28" t="str">
        <x:v>نسخة المحتوى المؤرخة في 26 سبتمبر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vintage and evidence class;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البيانات الإدارية لا تجعلها نتيجة سكانية راهنة.</x:v>
      </x:c>
      <x:c r="R12" s="24" t="str">
        <x:v>This comparison reflects the evidence held in the content version dated 26 September 2026 and changes whenever a newer record is added; each item keeps the date its source gives.</x:v>
      </x:c>
      <x:c r="S12" s="28" t="str">
        <x:v>تعكس هذه المقارنة الأدلة الواردة في نسخة المحتوى المؤرخة في 26 سبتمبر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وتحقق منه مقابل مصدره الخاص.</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period, population or calculation base, source scope and method, and on geography and unit where these are recorded.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والفترة والمجتمع أو قاعدة الاحتساب ونطاق المصدر والطريقة، ومن حيث الجغرافيا والوحدة حيث تكون مسجلة.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source-native / 2025 baseline-admin comparison</x:v>
      </x:c>
      <x:c r="K13" s="28" t="str">
        <x:v>بحسب فترات المصادر / مقارنة إدارية مرجعية لعام 2025</x:v>
      </x:c>
      <x:c r="L13" s="24" t="str">
        <x:v>The documented crosswalk of measures and the evidence records being compared</x:v>
      </x:c>
      <x:c r="M13" s="28" t="str">
        <x:v>المقاييس الخاضعة للمطابقة وسجلات الدليل التي تسمح بفحص التعريف والفترة والجغرافيا وقاعدة القياس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تُجري المقارنة مطابقة مُصطنعة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وتحقق منه مقابل مصدره الخاص.</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CBY-Aden Governor's decisions dated January to September 2026 suspend, withdraw or close named entities;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in both directions,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وفي الاتجاهين،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فتحقق من كل سجل مرتبط مقابل مصدره الخاص.</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no data on complaint volumes, resolution quality or enforcement are held.</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ومحفزات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No data on complaint outcomes are held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What must sit underneath a mobile wallet?</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إلى عملة أجنبية ضمن نطاقه، ويضع سقوفًا لحسابات الأفراد: 1,000,000 ريال للمعاملة الواحدة، و2,000,000 يوميًا، و5,000,000 شهريًا، و50,000,000 سنويًا؛ و400 و500 و1,000 و10,000 دولار أو ما يعادلها لحسابات العملة الأجنبية؛ وحدًّا أقصى للرصيد قدره 8,000,000 ريال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A consolidated register of later amendments is not held here,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primary-verification needs that have an explicit supported relationship.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source-bounded / multi-period</x:v>
      </x:c>
      <x:c r="K17" s="28" t="str">
        <x:v>مقيد بنطاق المصدر / فترات متعددة</x:v>
      </x:c>
      <x:c r="L17" s="24" t="str">
        <x:v>One quantitative measure, linked only to qualitative mechanisms with a documented relationship</x:v>
      </x:c>
      <x:c r="M17" s="28" t="str">
        <x:v>مؤشر كمي واحد لا يرتبط إلا بآليات أو سياقات نوعية ذات صلة مؤهلة ومحددة.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وتحقق منه مقابل مصدره الخاص.</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or close named entities. E-wallets: CBY-Aden publications give counts of licensed e-wallets for 2024 and 2025, and a June 2024 circular names wallets, entities or services as unlicensed; no current named list of licensed wallets is held. Non-bank microfinance institutions: only network membership pages are held, not a licensing list. Payment-system operators: no named list is held.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 المحافظ الإلكترونية المرخصة في 2024 و2025،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أوضاع مؤرخة كما سجلتها الجهة المختصة،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والقائمة المسماة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7 September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7 سبتمبر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وتحقق منه مقابل مصدره الخاص.</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with no evidence held.</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complaint/redress architecture does not establish that consumers use it, that cases are resolved on time, or that redress outcomes are effective.</x:v>
      </x:c>
      <x:c r="Q19" s="28" t="str">
        <x:v>وجود بنية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source-qualified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Entries/categories in the official 2025 roster; categories are not proven unique legal entities across sections</x:v>
      </x:c>
      <x:c r="M21" s="28" t="str">
        <x:v>المدخلات والفئات الواردة في القائمة الرسمية لعام 2025؛ ولا يثبت ظهور الاسم في أكثر من قسم أنها كيانات قانونية فريدة.</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January 2026 was the latest monthly POS release on the CBY-Aden payments page when checked on 26 September 2026</x:v>
      </x:c>
      <x:c r="E22" s="28" t="str">
        <x:v>كان يناير 2026 أحدث إصدار شهري لنقاط البيع في صفحة المدفوعات لدى البنك المركزي اليمني – عدن كما اطُّلع عليها في 26 سبتمبر 2026</x:v>
      </x:c>
      <x:c r="F22" s="24" t="str">
        <x:v>The payments page of the Central Bank of Yemen – Aden (CBY-Aden) lists monthly POS releases from March 2025 to January 2026. January 2026 was the latest monthly POS release on the CBY-Aden payments page when checked on 26 September 2026; no later month is inferred.</x:v>
      </x:c>
      <x:c r="G22" s="28" t="str">
        <x:v>تعرض صفحة المدفوعات لدى البنك المركزي اليمني – عدن إصدارات شهرية لنقاط البيع من مارس 2025 إلى يناير 2026. كان يناير 2026 أحدث إصدار شهري لنقاط البيع في صفحة المدفوعات لدى البنك المركزي اليمني – عدن كما اطُّلع عليها في 26 سبتمبر 2026، من دون استنتاج أي شهر لاحق.</x:v>
      </x:c>
      <x:c r="H22" s="24" t="str">
        <x:v>The most recent month covered by a monthly point-of-sale (POS) release on the payments page of the Central Bank of Yemen – Aden (CBY-Aden), as checked on 26 September 2026.</x:v>
      </x:c>
      <x:c r="I22" s="28" t="str">
        <x:v>أحدث شهر يغطيه إصدار شهري لنقاط البيع في صفحة المدفوعات لدى البنك المركزي اليمني – عدن، كما اطُّلع عليها في 26 سبتمبر 2026.</x:v>
      </x:c>
      <x:c r="J22" s="24" t="str">
        <x:v>Monthly releases for March 2025 to January 2026; page checked on 26 September 2026</x:v>
      </x:c>
      <x:c r="K22" s="28" t="str">
        <x:v>إصدارات شهرية من مارس 2025 إلى يناير 2026؛ واطُّلع على الصفحة في 26 سبتمبر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الإبلاغ لديه</x:v>
      </x:c>
      <x:c r="N22" s="24" t="str">
        <x:v>The list of monthly POS releases on the payments page of the Central Bank of Yemen – Aden (CBY-Aden) was checked on 26 September 2026; the latest release listed was January 2026. Values are taken as published, and arithmetic discrepancies within the releases are kept.</x:v>
      </x:c>
      <x:c r="O22" s="28" t="str">
        <x:v>اطُّلع في 26 سبتمبر 2026 على قائمة الإصدارات الشهرية لنقاط البيع في صفحة المدفوعات لدى البنك المركزي اليمني – عدن، وكان آخر إصدار مدرج هو إصدار يناير 2026. وتُؤخذ القيم كما نُشرت، مع الإبقاء على الفروق الحسابية الواردة في الإصدارات.</x:v>
      </x:c>
      <x:c r="P22" s="24" t="str">
        <x:v>It does not show that POS activity stopped after January 2026; it identifies only the latest monthly release listed on the payments page of the Central Bank of Yemen – Aden (CBY-Aden) when checked on 26 September 2026.</x:v>
      </x:c>
      <x:c r="Q22" s="28" t="str">
        <x:v>لا يعني ذلك توقف نشاط نقاط البيع بعد يناير 2026؛ بل يحدد فقط أحدث إصدار شهري مدرج في صفحة المدفوعات لدى البنك المركزي اليمني – عدن كما اطُّلع عليها في 26 سبتمبر 2026.</x:v>
      </x:c>
      <x:c r="R22" s="24" t="str">
        <x:v>January 2026 was the latest monthly POS release on the payments page of the Central Bank of Yemen – Aden (CBY-Aden) when checked on 26 September 2026. A later release, once listed, would replace it as the latest observation.</x:v>
      </x:c>
      <x:c r="S22" s="28" t="str">
        <x:v>كان يناير 2026 أحدث إصدار شهري لنقاط البيع في صفحة المدفوعات لدى البنك المركزي اليمني – عدن كما اطُّلع عليها في 26 سبتمبر 2026.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SRC-CBY-POS-2026-01; SRC-CBY-POS-PUBLICATION-PAGE-2026-001</x:v>
      </x:c>
      <x:c r="Y22" s="24" t="str">
        <x:v>[{"source_id":"SRC-CBY-POS-2026-01","url":"https://www.cby-ye.com/files/69b058d4bc306.pdf","audit_state":"PASS_AUTHORITY_OR_PROVIDER_LOCATOR"}]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Institutional progress is not operation or outcome</x:v>
      </x:c>
      <x:c r="E23" s="28" t="str">
        <x:v>تقدم مؤسسي لا يساوي تشغيلًا أو أثرًا</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Source-stated institutions/events; not user, transaction or system-availability universe</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طبقة أحداث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(for Decision No. 18, the named entities have not yet been transcribed); not the full set of exchange and remittance providers</x:v>
      </x:c>
      <x:c r="M24" s="28" t="str">
        <x:v>الجهات المسماة في القرارات التي يشملها هذا السجل فقط (ولم تُنقل بعد أسماء الجهات الواردة في القرار رقم 18)؛ ولا تمثل المجموعة الكاملة لمقدمي خدمات الصرافة والحوالات.</x:v>
      </x:c>
      <x:c r="N24" s="24" t="str">
        <x:v>Each decision is taken from its official publication by the Central Bank of Yemen – Aden (CBY-Aden) and recorded by date, action and the entity or class of entity it names. The entities named in Decision No. 18 of 24 September 2026 have not yet been transcribed.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ونوع الإجراء والجهة أو فئة الجهات المسماة فيه. ولم تُنقل بعد أسماء الجهات الواردة في القرار رقم 18 المؤرخ في 24 سبتمبر 2026.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in both directions.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وفي الاتجاهين.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1997 and 1998 are distinct milestones</x:v>
      </x:c>
      <x:c r="E25" s="28" t="str">
        <x:v>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microfinance borrowers and portfolio during 2015</x:v>
      </x:c>
      <x:c r="E26" s="28" t="str">
        <x:v>تراجع مرصود في المقترضين ومحفظة التمويل الأصغر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المحفظة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المحفظة في نهاية 2015 متعارضة داخل المصدر نفسه، فلا تُعتمد قيمة واحدة لمحفظة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joined to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المحفظة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يُوصل بهذه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2010–2024 evidence horizon available here</x:v>
      </x:c>
      <x:c r="K27" s="28" t="str">
        <x:v>أفق الأدلة المعتمدة 2010–2024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غير موجودة.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المحفظة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pointer,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إحالة ثانوية،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x:v>
      </x:c>
      <x:c r="E28" s="28" t="str">
        <x:v>فجوة مقاسة بين النساء والرجال</x:v>
      </x:c>
      <x:c r="F28" s="24" t="str">
        <x:v>In the 2021 Global Findex wave for Yemen (fieldwork 7 November 2022 –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Yemen fieldwork 2022-11-07 to 2023-01-09</x:v>
      </x:c>
      <x:c r="K28" s="28" t="str">
        <x:v>موجة Findex 2021؛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Reported history, estimates and projections remain separate</x:v>
      </x:c>
      <x:c r="E29" s="28" t="str">
        <x:v>القيم التاريخية المنشورة والتقديرات والتوقعات تبقى منفصلة</x:v>
      </x:c>
      <x:c r="F29" s="24" t="str">
        <x:v>The history in the IMF 2025 Article IV staff report shows materially higher remittance inflows in 2024 than in 2018 (both values from the same document); the 2025 estimate and the 2026–2030 projections come from a later supplement and are a separate evidence state.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are not observed usage</x:v>
      </x:c>
      <x:c r="E31" s="28" t="str">
        <x:v>قواعد النقود الإلكترونية ليست قيم 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 e-money issuers within instrument scope</x:v>
      </x:c>
      <x:c r="M31" s="28" t="str">
        <x:v>المؤسسات المالية غير المصرفية ومصدرو النقود الإلكترونية الذين تقع أنشطتهم ضمن نطاق الأداة التنظيمية.</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توافر مقدمي الخدمة،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A consolidated register of later amendments is not held here,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FMIIP access-point target compared with ATM, POS and agent counts</x:v>
      </x:c>
      <x:c r="E32" s="28" t="str">
        <x:v>مستهدف نقاط الوصول في مشروع FMIIP 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no result against the target is held, so no progress percentage exists.</x:v>
      </x:c>
      <x:c r="Q32" s="28" t="str">
        <x:v>لا توجد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No observed result against the target is held.</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والتنمية في الميدان الاقتصادي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والتنمية في الميدان الاقتصادي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OECD/EU يستند إلى مشاورات وورش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والتنمية في الميدان الاقتصادي (OECD) في 2026، ويستند إلى مشاورات وورش عمل وتحليل قطاعي ضمن مشروع مشترك بين المنظمة والاتحاد الأوروبي.</x:v>
      </x:c>
      <x:c r="P33" s="24" t="str">
        <x:v>Cannot establish prevalence, quantified trust or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المحفظة</x:v>
      </x:c>
      <x:c r="F35" s="24" t="str">
        <x:v>For microfinance programmes supported by the Social Fund for Development (SFD), the SFD source dated 31 December 2015 supports 93,118 active borrowers and 509,590 savers. Its portfolio value is contradictory within the source: the table reports YER 6.741 billion and the narrative text a value near YER 9 billion.</x:v>
      </x:c>
      <x:c r="G35" s="28" t="str">
        <x:v>لدى برامج التمويل الأصغر المدعومة من الصندوق الاجتماعي للتنمية، يدعم مصدر الصندوق المؤرخ في 31 ديسمبر 2015 عدد 93,118 مقترضًا نشطًا و509,590 مدخرًا. أما قيمة المحفظة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المحفظة،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المحفظة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layers: 1997 as institutional/microfinance origin and 1998 as active programme involvement. The two dates answer different historical questions.</x:v>
      </x:c>
      <x:c r="G36" s="28" t="str">
        <x:v>تدعم المصادر المستضافة لدى الصندوق الاجتماعي للتنمية مستويين تاريخيين مختلفين: 1997 كطبقة للأصل المؤسسي/بداية التمويل الأصغر، و1998 كبداية للمشاركة التشغيلية للبرنامج.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النشاط التوعوي لا يثبت أثرًا على القدرات</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فعالية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فعالية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verified Yemen Global Findex 2021 study has 1,000 respondents and 113 variables; Yemen fieldwork ran from 7 November 2022 to 9 January 2023 and all population estimates require survey weights.</x:v>
      </x:c>
      <x:c r="G38" s="28" t="str">
        <x:v>تضم دراسة اليمن المعتمدة في قاعدة الأدلة لموجة المؤشر العالمي للشمول المالي 2021 عدد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للسكان محل الاهتمام.</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Global Findex 2021 Yemen microdata/DDI variable pages; Yemen fieldwork 2022–2023.</x:v>
      </x:c>
      <x:c r="K39" s="28" t="str">
        <x:v>صفحات المتغيرات وبيانات DDI لملف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لموجة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Yemen fieldwork 2022-11-07 to 2023-01-09</x:v>
      </x:c>
      <x:c r="K40" s="28" t="str">
        <x:v>موجة Findex 2021؛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تم تحديد مجموعة من 32 مقياسًا على 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conditional sub-populations in the Findex data examined; sample-support information, not population estimates.</x:v>
      </x:c>
      <x:c r="M42" s="28" t="str">
        <x:v>حالات الاستجابة الصالحة والمفقودة/غير الصالحة والمجتمع الشرطي في بيانات Findex محل الفحص؛ وهي بيانات دعم للعينة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November 2022 to January 2023, the latest wave available for Yemen.</x:v>
      </x:c>
      <x:c r="S42" s="28" t="str">
        <x:v>لا تُعرض أي قيم بعد. وعند إنتاجها ستعود إلى موجة Findex 2021، التي نُفذ عملها الميداني في اليمن من نوفمبر 2022 إلى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Access is not use — and use is not digital use</x:v>
      </x:c>
      <x:c r="E43" s="28" t="str">
        <x:v>الوصول والاستخدام في المؤشر العالمي للشمول المالي</x:v>
      </x:c>
      <x:c r="F43" s="24" t="str">
        <x:v>In the 2021 Global Findex wave for Yemen (fieldwork November 2022 –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نوفمبر 2022 إلى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rung with its own population and measurement base.</x:v>
      </x:c>
      <x:c r="M43" s="28" t="str">
        <x:v>مؤشرات امتلاك الحساب واستخدامه والاستخدام الرقمي في Findex، مع مجتمع وقاعدة قياس منفصلين لكل درجة من درجات العرض.</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November 2022 to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نوفمبر 2022 إلى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القياس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November 2022 to January 2023, the latest wave available for Yemen.</x:v>
      </x:c>
      <x:c r="S44" s="28" t="str">
        <x:v>لا تُعرض أي قيم بعد. وعند إنتاجها ستعود إلى موجة Findex 2021، التي نُفذ عملها الميداني في اليمن من نوفمبر 2022 إلى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القياس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القياس والمفقودات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القياس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November 2022 to January 2023, the latest wave available for Yemen.</x:v>
      </x:c>
      <x:c r="S45" s="28" t="str">
        <x:v>لا تُعرض أي قيم بعد. وعند إنتاجها ستعود إلى موجة Findex 2021، التي نُفذ عملها الميداني في اليمن من نوفمبر 2022 إلى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transfers, agriculture and domestic remittances</x:v>
      </x:c>
      <x:c r="E46" s="28" t="str">
        <x:v>قنوات التدفقات المالية على جانب الأفراد</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النقدية الحكومية ومدفوعات الزراعة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النقدية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Conditional populations for wages, government transfers, agricultural payments and remittances in Findex; not shares of all adults unless the source says so.</x:v>
      </x:c>
      <x:c r="M46" s="28" t="str">
        <x:v>المجتمعات الشرطية الخاصة بالأجور والتحويلات الحكومية والمدفوعات الزراعية والحوالات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November 2022 to January 2023, the latest wave available for Yemen.</x:v>
      </x:c>
      <x:c r="S46" s="28" t="str">
        <x:v>لا تُعرض أي قيم بعد. وعند إنتاجها ستعود إلى موجة Findex 2021، التي نُفذ عملها الميداني في اليمن من نوفمبر 2022 إلى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in November 2022 to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بين نوفمبر 2022 ويناير 2023 واستبعد مناطق يقطنها نحو 23% من السكان.</x:v>
      </x:c>
      <x:c r="R47" s="24" t="str">
        <x:v>The latest of the three waves is the 2021 Findex wave, reported by the World Bank for 2022 (Yemen fieldwork November 2022 –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sender/recipient/account-holder sub-universes</x:v>
      </x:c>
      <x:c r="M48" s="28" t="str">
        <x:v>السكان المدنيون غير المقيمين في مؤسسات بعمر 15 سنة فأكثر؛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 and remittance-channel values are shares of a sub-group, not of all adults.</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 وقيم قنوات الحوالات نسب من فئة فرعية لا من جميع البالغين.</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sender/recipient/account-holder sub-universes</x:v>
      </x:c>
      <x:c r="M49" s="28" t="str">
        <x:v>السكان المدنيون غير المقيمين في مؤسسات بعمر 15 سنة فأكثر؛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Historical, not current.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أدلة تاريخية؛ والرمز «..» يعني عدم وجود ملاحظة،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sender/recipient/account-holder sub-universes</x:v>
      </x:c>
      <x:c r="M50" s="28" t="str">
        <x:v>السكان المدنيون غير المقيمين في مؤسسات بعمر 15 سنة فأكثر؛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Historical, not current. '..' means no observation, and remittance-channel values are shares of a conditional sub-population,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أدلة تاريخية؛ والرمز «..» يعني عدم وجود ملاحظة،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behavior evidence centered on 2014, with the latest verified account-ownership anchor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state.</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November 2022 to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نوفمبر 2022 إلى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فتحقق من كل سجل مرتبط مقابل مصدره الخاص.</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موجات Findex المرصودة لليمن</x:v>
      </x:c>
      <x:c r="F52" s="24" t="str">
        <x:v>The World Bank has published three observations of account ownership for Yemen: 3.7% in 2011 (accounts at financial institutions only), 6.4% in 2014 and 11.9% in the 2021 Findex wave, reported for 2022 from fieldwork in November 2022 to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بين نوفمبر 2022 ويناير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نقاط موجات Findex اليمنية التي تم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November 2022 –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2011 to 2022; no weighted values yet for some measures in the 2021 wave</x:v>
      </x:c>
      <x:c r="K53" s="28" t="str">
        <x:v>من 2011 إلى 2022؛ ولا توجد بعد قيم موزونة لبعض مقاييس موجة 2021</x:v>
      </x:c>
      <x:c r="L53" s="24" t="str">
        <x:v>The latest supported numeric period for each demand-side financial function, with access, saving, borrowing, remittances, resilience and barriers kept separate.</x:v>
      </x:c>
      <x:c r="M53" s="28" t="str">
        <x:v>أحدث فترة رقمية معتمدة لكل وظيفة مالية على جانب الطلب، مع فصل الوصول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November 2022 –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نوفمبر 2022 إلى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فتحقق من كل سجل مرتبط مقابل مصدره الخاص.</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in the 2014 Yemen Findex evidence; borrowing from any source is shown separately from source or purpose indicators.</x:v>
      </x:c>
      <x:c r="M54" s="28" t="str">
        <x:v>البالغون في دليل Findex اليمني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The 2014 Findex population for sending and receiving, then the conditional sender or recipient populations for the channel analysis.</x:v>
      </x:c>
      <x:c r="M55" s="28" t="str">
        <x:v>سكان Findex لعام 2014 في مرحلة الإرسال/الاستلام، ثم مجتمعات المرسلين أو المستلمين الشرطية عند تحليل القنوات.</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state,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تحتاج إلى تأهيل.</x:v>
      </x:c>
      <x:c r="P57" s="24" t="str">
        <x:v>A crosswalk identifies conceptual comparability; it does not make every historical and current metric numerically interchangeable, and current calculations remain unavailable until the required computation and quality checks are complete.</x:v>
      </x:c>
      <x:c r="Q57" s="28" t="str">
        <x:v>تحدد المطابقة قابلية المقارنة المفاهيمية، لكنها لا تجعل كل مقياس تاريخي وحالي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November 2022 –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فتحقق من كل سجل مرتبط مقابل مصدره الخاص.</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For ten financial functions, which evidence period applies to each, so that the people-side answer does not imply one common latest year.</x:v>
      </x:c>
      <x:c r="G58" s="28" t="str">
        <x:v>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Cross-wave synthesis of admitted Findex evidence that preserves each financial function’s source wave, definition and availability. It is an evidence-vintage map, not a new population estimate.</x:v>
      </x:c>
      <x:c r="O58" s="28" t="str">
        <x:v>تركيب عبر موجات Findex المعتمدة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November 2022 –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نوفمبر 2022 إلى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وتحقق منه مقابل مصدره الخاص.</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أعداد الحسابات والمعاملات لا تمثل عددًا فريدًا من الأشخاص</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والاشتراكات والأجهزة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الاشتراكات أو المعاملات الإدارية بقياسات مسحية تخص الأشخاص.</x:v>
      </x:c>
      <x:c r="L59" s="24" t="str">
        <x:v>Different measurement objects: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custom enterprise survey of seven governorates, electricity and fuel shortages were each named as a business challenge more often than access to finance.</x:v>
      </x:c>
      <x:c r="G60" s="28" t="str">
        <x:v>بين المنشآت الرسمية في مسح المنشآت المخصص الذي شمل سبع محافظات عام 2022،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60"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60" s="24" t="str">
        <x:v>The comparison is not nationally representative and is not a ranking of constraints for all Yemeni firms. | The survey is not national; some tables rest on small conditional bases, and the finance-obstacle table uses a filtered base. Firms could name more than one challenge, and neither the number of firms answering the challenge question nor its exact wording is held in the evidence base.</x:v>
      </x:c>
      <x:c r="Q60" s="28" t="str">
        <x:v>لا تمثل المقارنة منشآت اليمن تمثيلًا وطنيًا، وليست ترتيبًا للقيود التي تواجهها جميع المنشآت اليمنية.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major plus moderate finance obstacles sum to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held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7 September 2026, names 26 banks. Appearing on the list establishes listing or licensing in that source, not operation.</x:v>
      </x:c>
      <x:c r="G62" s="28" t="str">
        <x:v>تضم قائمة البنوك المرخصة الصادرة عن البنك المركزي اليمني – عدن، كما اطُّلع عليها في 7 سبتمبر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7 September 2026.</x:v>
      </x:c>
      <x:c r="I62" s="28" t="str">
        <x:v>عدد البنوك الواردة في قائمة البنوك المرخصة لدى البنك المركزي اليمني – عدن، كما اطُّلع عليها في 7 سبتمبر 2026.</x:v>
      </x:c>
      <x:c r="J62" s="24" t="str">
        <x:v>List as checked on 7 September 2026</x:v>
      </x:c>
      <x:c r="K62" s="28" t="str">
        <x:v>القائمة كما اطُّلع عليها في 7 سبتمبر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7 September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7 سبتمبر 2026. وتثبت القائمة الإدراج أو الترخيص لدى البنك المركزي في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7 September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سكانية تمثيلية أساسية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Current release comparison across evidence observed from 2014 through 2026, depending on domain.</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held in the content version dated 26 September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نسخة المحتوى المؤرخة في 26 سبتمبر 2026، وتتغير كلما أُضيف سجل أحدث. ولا تجعل الملاحظة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وتحقق منه مقابل مصدره الخاص.</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materially informative but not continuously annual: This resource preserves exact quarterly/year-end points, anomalies, pointer-only years and no-data years rather than filling the gaps.</x:v>
      </x:c>
      <x:c r="G64" s="28" t="str">
        <x:v>توفر الأدلة التاريخية للتمويل الأصغر معلومات جوهرية لكنها لا تشكل سلسلة سنوية متصلة. ويحافظ هذا المورد على النقاط الفصلية ونقاط نهاية العام كما وردت، وعلى الشذوذ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والفترات التي لا تتجاوز الإشارة إلى مصدر،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exist only through a secondary pointer,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ثانوية،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so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ولذلك 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نوفمبر 2022 إلى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both the reported totals and the publisher's displayed percentage are kept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وتُبقى الإجماليات المنشورة والنسبة التي عرضها الناشر ظاهرتين بوصفهما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January 2026.</x:v>
      </x:c>
      <x:c r="I66" s="28" t="str">
        <x:v>العدد الشهري لأجهزة نقاط البيع التي يُبلغ عنها البنك المركزي اليمني – عدن ضمن نطاق الإبلاغ لديه، من مارس 2025 إلى يناير 2026.</x:v>
      </x:c>
      <x:c r="J66" s="24" t="str">
        <x:v>Mar-2025–Jan-2026 monthly</x:v>
      </x:c>
      <x:c r="K66" s="28" t="str">
        <x:v>شهريًا من مارس 2025 إلى يناير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both are kept as a discrepancy within the source. Transactions are events, not unique users or merchants, so the series does not measure how many people or businesses used POS services.</x:v>
      </x:c>
      <x:c r="G6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وتُبقى المعلومتان بوصفهما اختلافًا داخل المصدر. والمعاملة حدث وليست مستخدمًا أو تاجرًا فريدًا، لذلك لا تقيس السلسلة عدد الأشخاص أو المنشآت التي استخدمت نقاط البيع.</x:v>
      </x:c>
      <x:c r="H67" s="24" t="str">
        <x:v>The monthly number of POS transactions reported by the Central Bank of Yemen – Aden (CBY-Aden) within its reporting scope, March 2025 to January 2026.</x:v>
      </x:c>
      <x:c r="I67" s="28" t="str">
        <x:v>العدد الشهري لمعاملات نقاط البيع التي يُبلغ عنها البنك المركزي اليمني – عدن ضمن نطاق الإبلاغ لديه، من مارس 2025 إلى يناير 2026.</x:v>
      </x:c>
      <x:c r="J67" s="24" t="str">
        <x:v>Mar-2025–Jan-2026 monthly</x:v>
      </x:c>
      <x:c r="K67" s="28" t="str">
        <x:v>شهريًا من مارس 2025 إلى يناير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7"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1.262 billion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1.262 مليار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January 2026, with no value for September 2025.</x:v>
      </x:c>
      <x:c r="I68" s="28" t="str">
        <x:v>القيمة الاسمية الشهرية بالريال اليمني لمعاملات نقاط البيع التي يُبلغ عنها البنك المركزي اليمني – عدن ضمن نطاق الإبلاغ لديه، من مارس 2025 إلى يناير 2026، من دون قيمة لشهر سبتمبر 2025.</x:v>
      </x:c>
      <x:c r="J68" s="24" t="str">
        <x:v>Mar-2025–Jan-2026; Sep-2025 gap</x:v>
      </x:c>
      <x:c r="K68" s="28" t="str">
        <x:v>مارس 2025 – يناير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No value is available for September 2025, and none is interpolated.</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ولا تتوفر قيمة لشهر سبتمبر 2025، ولا تُقدَّر بالاستيفاء.</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January 2026; the series runs monthly from March 2025, with no value for September 2025. January 2026 was the latest monthly POS release on the payments page of the Central Bank of Yemen – Aden (CBY-Aden) when checked on 26 September 2026. The figures should not be read as describing a later period unless a newer comparable release is published.</x:v>
      </x:c>
      <x:c r="S68" s="28" t="str">
        <x:v>تعود أحدث مشاهدة في هذا السجل إلى يناير 2026، وتمتد السلسلة شهريًا منذ مارس 2025 من دون قيمة لشهر سبتمبر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crosswalk and deduplication method exists.</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لدى مقدمي التمويل الأصغر التسعة أنفسهم المُبلِّغين إلى شبكة اليمن للتمويل الأصغر (YMN)، تورد جداول الربعين الأول والثاني من 2014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والمحفظة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are different vintages,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نسختان مختلفتان،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الحوالة غير الرسمية.</x:v>
      </x:c>
      <x:c r="H71" s="24" t="str">
        <x:v>Annual external-sector remittances, in US$ million, in the IMF series for 2018–2030, with each year labelled as reported history (2018–2024), estimate (2025) or projection (2026–2030).</x:v>
      </x:c>
      <x:c r="I71" s="28" t="str">
        <x:v>التحويلات السنوية في الحساب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evidence state and source document by year</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الحوالة غير الرسمية،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held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وراءه.</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firms report</x:v>
      </x:c>
      <x:c r="E73" s="28" t="str">
        <x:v>التمويل ليس القيد الوحيد أمام المنشآت</x:v>
      </x:c>
      <x:c r="F7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held in the evidence base. These results apply to the survey sample in seven governorates and are not a national ranking for all Yemeni firms.</x:v>
      </x:c>
      <x:c r="G7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custom survey</x:v>
      </x:c>
      <x:c r="M73" s="28" t="str">
        <x:v>المنشآت الرسمية في المحافظات السبع المختارة التي شملها المسح المخصص لعام 2022.</x:v>
      </x:c>
      <x:c r="N73"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73"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7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 | Firms could name more than one challenge, so the shares add up to more than 100%. Neither the number of firms answering nor the exact question wording is held in the evidence base.</x:v>
      </x:c>
      <x:c r="Q7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reported by 18 surveyed formal firms, 2022</x:v>
      </x:c>
      <x:c r="E74" s="28" t="str">
        <x:v>مصادر القروض كما أفادت بها 18 منشأة رسمية في 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A World Bank custom enterprise survey of formal firms in seven governorates (September 2022),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مسح مخصص للمنشآت الرسمية أجراه البنك الدولي في سبع محافظات (سبتمبر 2022)، ونُشرت نتائجه في «التشخيص المالي لليمن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held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held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held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Consumer protection and financial capability: from framework to implementation</x:v>
      </x:c>
      <x:c r="E76" s="28" t="str">
        <x:v>حماية المستهلك والقدرة المالية: من الإطار إلى التنفيذ</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no evidence on implementation, complaint handling, enforcement or consumer outcomes is held;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والتنمية في الميدان الاقتصادي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held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2021 to 2024; later stages have no evidence</x:v>
      </x:c>
      <x:c r="K76" s="28" t="str">
        <x:v>من 2021 إلى 2024؛ ولا تتوفر أدلة على المراحل اللاحقة</x:v>
      </x:c>
      <x:c r="L76" s="24" t="str">
        <x:v>Official instruments and guidance of the Central Bank of Yemen – Aden (CBY-Aden), with context attributed to the OECD</x:v>
      </x:c>
      <x:c r="M76" s="28" t="str">
        <x:v>التعليمات والإرشادات الرسمية للبنك المركزي اليمني – عدن، مع سياق منسوب إلى منظمة التعاون والتنمية في الميدان الاقتصادي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recorded as open.</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والتنمية في الميدان الاقتصادي سياقًا فقط؛ وتُسجَّل المرحلة التي لا تتوفر عنها أدلة مرصودة بوصفها مفتوحة.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فعالية الحماية، ولا يرفع تحليل منظمة التعاون والتنمية في الميدان الاقتصادي أو أي مصدر ثانوي آخر مستوى الدليل إلى ذلك.</x:v>
      </x:c>
      <x:c r="R76" s="24" t="str">
        <x:v>The latest official source in this record dates from 23 March 2024, and the OECD analysis from 2026. No evidence on implementation, enforcement or consumer outcomes is held for any date.</x:v>
      </x:c>
      <x:c r="S76" s="28" t="str">
        <x:v>يعود أحدث مصدر رسمي في هذا السجل إلى 23 مارس 2024، ويعود تحليل منظمة التعاون والتنمية في الميدان الاقتصادي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event-level / 2026 context</x:v>
      </x:c>
      <x:c r="K77" s="28" t="str">
        <x:v>على مستوى الحدث / سياق 2026</x:v>
      </x:c>
      <x:c r="L77" s="24" t="str">
        <x:v>source-defined funding/programme relationships</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لاحقًا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content version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نسخة المحتوى المؤرخة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content version dated 26 September 2026</x:v>
      </x:c>
      <x:c r="K78" s="28" t="str">
        <x:v>وفق نسخة المحتوى المؤرخة في 26 سبتمبر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content version dated 26 September 2026. A gap closes when new evidence fills it, and the list changes accordingly.</x:v>
      </x:c>
      <x:c r="S78" s="28" t="str">
        <x:v>الفجوات هي المسجلة وفق نسخة المحتوى المؤرخة في 26 سبتمبر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وتحقق منه مقابل مصدره الخاص.</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the source owner's own statement.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مكونين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الجهة المصدرة نفسها.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Content version dated 26 September 2026</x:v>
      </x:c>
      <x:c r="K80" s="28" t="str">
        <x:v>نسخة المحتوى المؤرخة في 26 سبتمبر 2026</x:v>
      </x:c>
      <x:c r="L80" s="24" t="str">
        <x:v>Evidence records published in this resource only</x:v>
      </x:c>
      <x:c r="M80" s="28" t="str">
        <x:v>سجلات الأدلة الموثقة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content version dated 26 September 2026.</x:v>
      </x:c>
      <x:c r="S80" s="28" t="str">
        <x:v>يحدد هذا السجل أنواع الأدلة وليس له تاريخ رصد؛ ويعكس تصنيف السجلات في هذه الأنواع نسخة المحتوى المؤرخة في 26 سبتمبر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وتحقق منه مقابل مصدره الخاص.</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that level remains open;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يبقى هذا المستوى مفتوحًا؛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no evidence is held.</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2023–2025 activity + latest available capability reference</x:v>
      </x:c>
      <x:c r="K81" s="28" t="str">
        <x:v>أنشطة 2023–2025 مع أحدث مرجع معتمد للقدرات المالية</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والنتائج المقيمة؛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نتائج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نتائج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والمحفظة في كل تاريخ؛ أما محفظة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محفظة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نهاية العام الواردتان في مصدر ديسمبر، فلا يؤخذ متوسطهما ولا تُختزلان في قيمة واحدة.</x:v>
      </x:c>
      <x:c r="P82" s="24" t="str">
        <x:v>It does not estimate a cause of the fall or its size,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held in the evidence base, so no progress can be shown, and the project count is not comparable with administrative counts of ATMs,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يقارَن عدد المشروع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held.</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held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No observed result is held,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no observed result is held.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held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history</x:v>
      </x:c>
      <x:c r="E84" s="28" t="str">
        <x:v>بعثة إحصاءات القطاع الخارجي في 2025 أنتجت تاريخًا للفترة 2014–2024</x:v>
      </x:c>
      <x:c r="F84" s="24" t="str">
        <x:v>IMF's D4D-II record states that the July 2025 Yemen external-sector statistics mission produced BOP and IIP statistics for 2014–2024. This verifies a historical reconstruction/production event behind the resumed evidence, while the exact publication crosswalk remains open.</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حدوث إعادة بناء/إنتاج تاريخي للبيانات، بينما تظل المطابقة الرقمية الدقيقة مع المنشورات المختلفة مفتوحة.</x:v>
      </x:c>
      <x:c r="H84" s="24" t="str">
        <x:v>A documented statistical reconstruction exercise that produced a revised historical external-sector series.</x:v>
      </x:c>
      <x:c r="I84" s="28" t="str">
        <x:v>عملية إعادة بناء إحصائية موثقة نتج عنها سجل تاريخي منقح للقطاع الخارجي.</x:v>
      </x:c>
      <x:c r="J84" s="24" t="str">
        <x:v>2014–2025 reconstruction / 2025–26 publication cycle</x:v>
      </x:c>
      <x:c r="K84" s="28" t="str">
        <x:v>إعادة بناء 2014–2025 / دورة النشر 2025–2026</x:v>
      </x:c>
      <x:c r="L84" s="24" t="str">
        <x:v>The IMF's analytical framework for external-sector statistics for areas under the internationally recognized government; component scopes and source methods vary</x:v>
      </x:c>
      <x:c r="M84" s="28" t="str">
        <x:v>الإطار التحليلي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tested public CBY and IMF BOP components do not support a single conversion scalar</x:v>
      </x:c>
      <x:c r="E85" s="28" t="str">
        <x:v>لا تدعم مكونات ميزان المدفوعات العامة التي اختبرناها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العامة في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العامة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2021–2024 overlap; method work 2014–2025</x:v>
      </x:c>
      <x:c r="K86" s="28" t="str">
        <x:v>فترة تداخل 2021–2024؛ العمل المنهجي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Each source's own BOP universe</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المتبقي البديل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that has no public original locator,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لمتبقي ميزان المدفوعات، يبقى منفصلًا عن خط الأساس المعتمد للتحويلات.</x:v>
      </x:c>
      <x:c r="J88" s="24" t="str">
        <x:v>2024 estimate</x:v>
      </x:c>
      <x:c r="K88" s="28" t="str">
        <x:v>تقدير 2024</x:v>
      </x:c>
      <x:c r="L88" s="24" t="str">
        <x:v>Whole-Yemen analytical target</x:v>
      </x:c>
      <x:c r="M88" s="28" t="str">
        <x:v>هدف تحليلي يسعى إلى تمثيل اليمن ككل، وليس قيمة رسمية مرصودة بذاتها.</x:v>
      </x:c>
      <x:c r="N88" s="24" t="str">
        <x:v>Balance-of-payments residual model. The underlying material has no public original locator,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المتبقي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original locator,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مستدامًا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والاتصال بخدمة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المستدام.</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Source-specific local/programme/project universes</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is meaningful through several intermediate links; durable post-transfer account/wallet use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المستدام.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financial state.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حالته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Source/package-specific</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Opening-to-closing IIP stock change alone is not a BOP transaction measure.</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Source-specific</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history overnight</x:v>
      </x:c>
      <x:c r="E92" s="28" t="str">
        <x:v>BPM7 يحدّث المعيار، لكنه لا يعيد تسمية تاريخ اليمن فورًا</x:v>
      </x:c>
      <x:c r="F92" s="24" t="str">
        <x:v>BPM7 is the updated global external-sector statistical standard, but implementation is a multi-year transition. Yemen's historical series should retain their source-native standard/version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BPM7 transition period and current Yemen historical external-sector vintages.</x:v>
      </x:c>
      <x:c r="K92" s="28" t="str">
        <x:v>فترة الانتقال إلى BPM7 مع الإبقاء على النسخ التاريخية الحالية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مستدامًا.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Source transactions across the five-provider study universe</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استدامة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source-universe distributions, not current national prevalence or a local access map.</x:v>
      </x:c>
      <x:c r="G96" s="28" t="str">
        <x:v>تفيد دراسة معهد الدراسات المصرفية بأن بيانات مزودي النقود الإلكترونية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Source/provider e-money account/user evidence</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والمحفظة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 million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792.69 to 1,529.4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bounded anchors—not a trend. It does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اسمية تقارب 44 مليار ريال، مقابل نقاط مرجعية موثقة لعام 2020 قدرها 1.611 مليون مدخر/مودع و33.379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792.69 إلى 1,529.4 ريال للدولار، ولا تسجل قاعدة الأدلة أساس التقييم بالريال الذي تستخدمه أرقام المحفظة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تُتحقق مباشرة بعد، فهذه نقاط مرجعية منفصلة ومقيدة،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والمحفظة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anchors, compared with a bounded end-2023 secondary SFD/SMED-cited observation.</x:v>
      </x:c>
      <x:c r="K98" s="28" t="str">
        <x:v>نقاط مرجعية موثقة من المصدر الأصلي لنهاية 2015 ونهاية 2020، مقارنة بمشاهدة ثانوية محدودة لنهاية 2023 تستند إلى أرقام منسوبة إلى SFD/SMED.</x:v>
      </x:c>
      <x:c r="L98" s="24" t="str">
        <x:v>Microfinance borrower, saver/depositor and nominal-portfolio measures drawn from source-specific provider/reporting universes that are not yet fully harmonized across years.</x:v>
      </x:c>
      <x:c r="M98" s="28" t="str">
        <x:v>مقاييس المقترضين والمدخرين أو المودعين والمحفظة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7 September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7 September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7 سبتمبر 2026، والمصنفة بنوكَ تمويل أصغر استنادًا إلى تسمياتها في القائمة.</x:v>
      </x:c>
      <x:c r="J99" s="24" t="str">
        <x:v>List as checked on 7 September 2026</x:v>
      </x:c>
      <x:c r="K99" s="28" t="str">
        <x:v>القائمة كما اطُّلع عليها في 7 سبتمبر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7 September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7 سبتمبر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7 September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Yemen Review عرض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91% 2023 claim cannot switch between these universes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no later provider-level figure is held here.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whose set of providers covered by the evidence and source method are not yet proven identical between the June and year-end points.</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«التشخيص المالي لليمن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«التشخيص المالي لليمن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billion, while the 2025 annual report restated 2024 at USD 3.42 billion.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مليار دولار، بينما أعاد التقرير السنوي 2025 عرض عام 2024 عند 3.42 مليار دولار. وهذه إعادة عرض للسنة نفسها، وليست دليلًا على حركة اقتصادية بين عامين.</x:v>
      </x:c>
      <x:c r="H103" s="24" t="str">
        <x:v>A revision in the published value for the same reference year across different publication vintages.</x:v>
      </x:c>
      <x:c r="I103" s="28" t="str">
        <x:v>مراجعة في القيمة المنشورة للسنة المرجعية نفسها بين نسخ نشر مختلفة.</x:v>
      </x:c>
      <x:c r="J103" s="24" t="str">
        <x:v>Reference 2020–2025 across AR2022–AR2025;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مفتوحة.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تكون القفزة المصرفية المقاسة جزئيًا تغيرًا في التقييم</x:v>
      </x:c>
      <x:c r="F104" s="24" t="str">
        <x:v>The same 2022 consolidated banking positions are published at materially higher levels from AR2023 onward, alongside a documented January-2023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line-level attribution beyond the documented valuation note remains bounded.</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Within AR2025, the published remittance path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CBY Annual Report 2025 remittance series across the overlapping 2021–2025 published path.</x:v>
      </x:c>
      <x:c r="K105" s="28" t="str">
        <x:v>سلسلة التحويلات في التقرير السنوي 2025 للبنك المركزي عبر المسار المنشور المتداخل للأعوام 2021–2025.</x:v>
      </x:c>
      <x:c r="L105" s="24" t="str">
        <x:v>The remittance series as defined and published within the CBY Annual Report 2025 vintage;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with vintage</x:v>
      </x:c>
      <x:c r="E106" s="28" t="str">
        <x:v>تتغير الصورة النسبية للتحويلات وتمويل المانحين باختلاف النسخة المنشورة</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within the CBY Annual Report 2024 and Annual Report 2025 vintages.</x:v>
      </x:c>
      <x:c r="K106" s="28" t="str">
        <x:v>السنة المرجعية 2024 كما تظهر داخل نسختي التقرير السنوي 2024 والتقرير السنوي 2025 للبنك المركزي.</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in every CBY AR2025 remittance value.</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بالرقم القياسي)،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مفتوحة.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history, not a clean “first-ever” boundary</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Foreign-currency-denominated accounts / bank foreign-currency positions under source-specific statistical/reporting scopes</x:v>
      </x:c>
      <x:c r="M109" s="28" t="str">
        <x:v>الحسابات المقومة بالعملات الأجنبية ومراكز العملات الأجنبية لدى البنوك ضمن نطاقات الإبلاغ أو الإحصاء الخاصة بكل مصدر.</x:v>
      </x:c>
      <x:c r="N109" s="24" t="str">
        <x:v>Cross-vintage method lineage from IMF metadata, CBY annual report and CBY MFD</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circular text and its legal and statistical lineage remain open.</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التعميم والسلسلة القانونية/الإحصائية مفتوحة.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A surface reviewed on 2026-09-10 showed an older span while other World Bank surfaces and prior documented access vintages contained later observations. The difference is an interface/provenance state,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وصول موثقة سابقًا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surfaces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surfaces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Source/interface-specific</x:v>
      </x:c>
      <x:c r="M110" s="28" t="str">
        <x:v>النطاق الخاص بكل مصدر أو واجهة عرض.</x:v>
      </x:c>
      <x:c r="N110" s="24" t="str">
        <x:v>World Bank Data/WDI + documented prior source use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surface's observations are not a substitute for another's. | An interface endpoint does not establish underlying dataset absence, deletion or revision cause.</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is evidence about the programme — not the national MSME universe</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financial state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is therefore interpretable only within its programme universe, with that limitation visible;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إبقاء هذا القيد ظاهرًا؛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a World Bank custom enterprise survey: account holding, average working-capital source shares, financial intermediaries used, and informal firms' account holding.</x:v>
      </x:c>
      <x:c r="I113" s="28" t="str">
        <x:v>سلوك مالي للمنشآت كما أورده مسح مخصص للمنشآت أجراه البنك الدولي: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2022 World Bank custom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المنشآت المخصص الذي أجراه البنك الدولي عام 2022 (سبتمبر 2022)، في «التشخيص المالي لليمن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hold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no later project result is held in this record.</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["73_PAYMENT_CURRENTNESS","REF-PAY-010..013","EP-CBY-PAY-INSTITUTIONAL-2026"]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مختلفتين كثيرًا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الثابتة تقريبًا البالغة نحو 1.838 بين سلسلتي التحويلات لدى البنك المركزي اليمني – عدن وصندوق النقد الدولي، أو حصة السكان البالغة 33% التي استخدمها الصندوق للمناطق التي تديرها عدن — معاملَ تحويل موحّدًا ينطبق على كل السلاسل؛ ولا يمثل صافي الأخطاء والسهو تحويلات مخفية؛ ولا يُعتمد تقدير ناتج عن نموذج المتبقي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والمعاملات جميعًا أجزاءً من المنظومة المالية في اليمن، لكنها ليست مقاييس متبادلة للشمول المالي؛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POS counts March 2025 – January 2026 · project baseline January 2025, target 2030</x:v>
      </x:c>
      <x:c r="V7" t="str">
        <x:v>العمل الميداني لمسح Findex العالمي 2022–2023 · أعداد نقاط البيع مارس 2025 – يناير 2026 · خط أساس المشروع يناير 2025 ومستهدفه 2030</x:v>
      </x:c>
      <x:c r="W7" t="str">
        <x:v>2026-09-26</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المالية في اليمن بوتيرة أسرع من تجدد الأدلة الممثلة عن الناس. والفجوة بين الأمرين ليست نتيجة يجوز افتراضها؛ إنها السؤال التالي الذي ينبغي قياسه.</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POS counts March 2025 – January 2026 · institutional records June–August 2026</x:v>
      </x:c>
      <x:c r="V8" t="str">
        <x:v>العمل الميداني لمسح Findex العالمي نوفمبر 2022 – يناير 2023 · أعداد نقاط البيع مارس 2025 – يناير 2026 · سجلات مؤسسية يونيو–أغسطس 2026</x:v>
      </x:c>
      <x:c r="W8" t="str">
        <x:v>2026-09-26</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ومستدام؟</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والمحفظة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والمحافظ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المحفظة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والمحفظة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7 September 2026</x:v>
      </x:c>
      <x:c r="V10" t="str">
        <x:v>مشاهدات المقترضين والمدخرين والمحافظ لنهاية 2015 ونهاية 2020 وعام 2023 · قائمة البنوك المرخصة كما رُوجعت في 7 سبتمبر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مصفّاة بأنه عائق كبير أو متوسط؟</x:v>
      </x:c>
      <x:c r="H12" s="24" t="str">
        <x:v>A 2022 survey of formal firms in seven selected governorates can tell us that finance was named less often than electricity or fuel, and also that finance was a severe obstacle for a narrower group of firms.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وأنه كان في الوقت نفسه عائقًا شديدًا لدى مجموعة أضيق من المنشآت.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custom enterprise survey, September 2022, seven governorates · SMEPS programme report for 2024</x:v>
      </x:c>
      <x:c r="V12" t="str">
        <x:v>مسح مخصص للمنشآت أجراه البنك الدولي في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POS counts March 2025 – January 2026 · institutional records June–August 2026 · project results framework January 2025</x:v>
      </x:c>
      <x:c r="V13" t="str">
        <x:v>أعداد نقاط البيع مارس 2025 – يناير 2026 · سجلات مؤسسية يونيو–أغسطس 2026 · إطار نتائج المشروع يناير 2025</x:v>
      </x:c>
      <x:c r="W13" t="str">
        <x:v>2026-09-26</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تُدفع تحويلة نقدية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in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تمثيلي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سكاني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بفعل الظروف؛ لكن المستخدمين الفريدين والمتكررين لا يُقاسون باتساق.</x:v>
      </x:c>
      <x:c r="J6" s="24" t="str">
        <x:v>Provider/rail administrative data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واستخدام التجار والاستخدام المالي المستدام.</x:v>
      </x:c>
      <x:c r="P6" s="24" t="str">
        <x:v>Whether digital finance is repeat use rather than registration or one-off activity.,Which channels/providers support sustained use.,How much administrative activity can be interpreted as durable financial use.</x:v>
      </x:c>
      <x:c r="Q6" s="28" t="str">
        <x:v>هل يعكس التمويل الرقمي استخدامًا متكررًا أم مجرد تسجيل أو نشاطًا لمرة واحدة؟,ما القنوات أو مقدمو الخدمات الذين يرتبطون باستخدام أكثر استمرارية؟,إلى أي مدى يمكن تفسير النشاط الإداري باعتباره استخدامًا ماليًا مستدامًا؟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provider/rail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one material disparity is measured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 مهمًا واحدًا مقاس بالفعل،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A 2022 survey of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الذي شمل سبع محافظات عام 2022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Do not trend incompatible 2013/2022 frames without variable-level comparability. SMEPS 2024 adds a primary programme KPI (19% of supported MSMEs accessed financial services) but does not close the need for a current representative MSME demand/use baseline; the KPI's metric-specific assessment base remains open.</x:v>
      </x:c>
      <x:c r="M8" s="28" t="str">
        <x:v>لا يجوز إنشاء اتجاه بين أطر 2013 و2022 من دون اختبار المقارنة على مستوى المتغيرات.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and route denominators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source-dated, disclosure-documented operating access-point registry.</x:v>
      </x:c>
      <x:c r="S9" s="28" t="str">
        <x:v>سجل حديث لنقاط الوصول العاملة، مؤرخ بالمصدر ومحكوم بقواعد الإفصاح.</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Unlocks a defensible access atlas and travel/coverage analysis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remain open.</x:v>
      </x:c>
      <x:c r="I10" s="28" t="str">
        <x:v>تحدد المواد الرسمية بنية الشكوى والتصعيد والمدد المرتبطة بها، بينما تظل أحجام الشكاوى وأزمنة المعالجة والنتائج الفعلية مفتوحة.</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فشل محددة يمكن اختبارها ومعالجتها.</x:v>
      </x:c>
      <x:c r="Z11" s="24" t="str">
        <x:v>Onboarding funnel with reason codes</x:v>
      </x:c>
      <x:c r="AA11" s="28" t="str">
        <x:v>مسار الانضمام للخدمة من البداية إلى الاكتمال مع أسباب التعثر</x:v>
      </x:c>
      <x:c r="AB11" s="24" t="str">
        <x:v>["/people","/payments","/providers"]</x:v>
      </x:c>
    </x:row>
    <x:row r="12">
      <x:c r="A12" s="24" t="str">
        <x:v>MA-008</x:v>
      </x:c>
      <x:c r="B12" s="24" t="str">
        <x:v>P1</x:v>
      </x:c>
      <x:c r="C12" s="24" t="str">
        <x:v>Credit-infrastructure reach and actual use</x:v>
      </x:c>
      <x:c r="D12" s="28" t="str">
        <x:v>وصول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project and institutional states can establish that credit infrastructure exists or is being developed; lender participation, inquiry use and borrower reach are not yet documented as one complete evidence chain.</x:v>
      </x:c>
      <x:c r="I12" s="28" t="str">
        <x:v>قد تثبت الأوضاع القانونية والمشروعات والمؤسسات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row>
    <x:row r="13">
      <x:c r="A13" s="24" t="str">
        <x:v>MA-009</x:v>
      </x:c>
      <x:c r="B13" s="24" t="str">
        <x:v>P0</x:v>
      </x:c>
      <x:c r="C13" s="24" t="str">
        <x:v>Post-transfer persistence</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آمنة تحمي الخصوصية بين استلام التحويل النقدي ثم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مستدامًا.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transfer-related account/wallet exposure persists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فعلًا؟,أين تتوقف سلسلة الانتقال عن امتلاك دليل؟,ما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reform owner access and indicator definitions.</x:v>
      </x:c>
      <x:c r="U14" s="28" t="str">
        <x:v>متوسطة — تعتمد على الوصول إلى مالك الإصلاح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What must sit underneath a mobile wallet?</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named-provider set is known.</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إلى عملة أجنبية ضمن نطاقه، ويضع سقوفًا لحسابات الأفراد: 1,000,000 ريال للمعاملة الواحدة، و2,000,000 يوميًا، و5,000,000 شهريًا، و50,000,000 سنويًا؛ و400 و500 و1,000 و10,000 دولار أو ما يعادلها لحسابات العملة الأجنبية؛ وحدًّا أقصى للرصيد قدره 8,000,000 ريال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promoted into one another.</x:v>
      </x:c>
      <x:c r="J6" s="28" t="str">
        <x:v>يحمي حدود الاستنتاج بين فئات الدليل، فلا تُرقّى التصورات إلى نتائج سكانية، ولا التوصيات إلى تنفيذ، ولا المعالم المؤسسية إلى أثر.</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x:v>
      </x:c>
      <x:c r="Q6" s="24" t="str">
        <x:v>Content version dated 26 September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vintage by domain and evidence class,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Content version dated 26 September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البيانات الإدارية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مكانية متعذرة، أو مجتمع قياس غير محسوم.</x:v>
      </x:c>
      <x:c r="I8" s="24" t="str">
        <x:v>Shows typed evidence gaps—missing periods, bases, primary files, mappable locations and unresolved universes—so missingness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content version dated 26 September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content version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نسخة المحتوى المؤرخة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ونافذة المعالجة البالغة 10 أيام عمل، وإمكان التمديد بشروطه، ومحفزات التصعيد، ونافذة التصعيد إلى البنك المركزي في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no data on complaint volumes, resolution quality or enforcement are held.</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so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ولذلك 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2023–2025 activity + latest available capability reference</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that level remains open;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يبقى هذا المستوى مفتوحًا؛ فالمشاركة في نشاط لا تثبت بذاتها تحسن القدرة أو تحقق أثر.</x:v>
      </x:c>
      <x:c r="W11" s="24" t="str">
        <x:v>["/people"]</x:v>
      </x:c>
    </x:row>
    <x:row r="12">
      <x:c r="A12" s="24" t="str">
        <x:v>VIS-INCLUSION-TRANSMISSION</x:v>
      </x:c>
      <x:c r="B12" s="24" t="str">
        <x:v>Financial inclusion is a connected system, not a sector score</x:v>
      </x:c>
      <x:c r="C12" s="28" t="str">
        <x:v>الشمول المالي منظومة مترابطة، لا درجة واحدة</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والقيود المُمكِّنة أو المعطِّلة.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جسر تحقق إلى مصدر أولي، مع كتابة التفسير المسموح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source-bounded / multi-period</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primary-verification needs that have an explicit supported relationship.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Consumer protection and financial capability: from framework to implementation</x:v>
      </x:c>
      <x:c r="C14" s="28" t="str">
        <x:v>حماية المستهلك والقدرة المالية: من الإطار إلى التنفيذ</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وأداء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x:v>
      </x:c>
      <x:c r="Q14" s="24" t="str">
        <x:v>2021 to 2024;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فعالية الحماية، ولا يرفع تحليل منظمة التعاون والتنمية في الميدان الاقتصادي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no evidence on implementation, complaint handling, enforcement or consumer outcomes is held;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والتنمية في الميدان الاقتصادي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crosswalk and deduplication method exists.</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both are kept and neither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وتبقى القيمتان ظاهرتين ولا تُصحَّح أي منهما.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Mar-2025–Jan-2026 monthly</x:v>
      </x:c>
      <x:c r="L16" s="24" t="str">
        <x:v>HIGH_ADMIN</x:v>
      </x:c>
      <x:c r="M16" s="24" t="str">
        <x:v>2025-03→2026-01</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Mar-2025–Jan-2026 monthly</x:v>
      </x:c>
      <x:c r="R16" s="24" t="str">
        <x:v>Raw monthly line with exact month/source detail and an explicit Dec-2025→Jan-2026 contradiction annotation: 1,357→1,473 ≈ +8.55%; source graphic displays +11%.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both the reported totals and the publisher's displayed percentage are kept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وتُبقى الإجماليات المنشورة والنسبة التي عرضها الناشر ظاهرتين بوصفهما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both stay visible as a discrepancy within the source and neither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تُعرض المعلومتان بوصفهما اختلافًا داخل المصدر، ولا تُصحَّح أي منهما بصمت.</x:v>
      </x:c>
      <x:c r="I17" s="24" t="str">
        <x:v>Shows reported POS transaction activity while making the January source-arithmetic discrepancy inspectable instead of turning either the publisher's percentage or the derived change into uncontested truth.</x:v>
      </x:c>
      <x:c r="J17" s="28" t="str">
        <x:v>يوضح نشاط معاملات نقاط البيع المبلغ عنه مع جعل الاختلاف الحسابي في مصدر يناير قابلًا للفحص، بدل تحويل نسبة الناشر أو النسبة المشتقة إلى حقيقة غير متنازع عليها.</x:v>
      </x:c>
      <x:c r="K17" s="24" t="str">
        <x:v>Mar-2025–Jan-2026 monthly</x:v>
      </x:c>
      <x:c r="L17" s="24" t="str">
        <x:v>HIGH_ADMIN</x:v>
      </x:c>
      <x:c r="M17" s="24" t="str">
        <x:v>2025-03→2026-01</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Mar-2025–Jan-2026 monthly</x:v>
      </x:c>
      <x:c r="R17" s="24" t="str">
        <x:v>Raw monthly line with exact month/source detail and an explicit Dec-2025→Jan-2026 contradiction annotation: 21,099→24,026 ≈ +13.87%; source graphic displays +4.9%.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both are kept as a discrepancy within the source. Transactions are events, not unique users or merchants, so the series does not measure how many people or businesses used POS services.</x:v>
      </x:c>
      <x:c r="V1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وتُبقى المعلومتان بوصفهما اختلافًا داخل المصدر. والمعاملة حدث وليست مستخدمًا أو تاجرًا فريدًا، لذلك لا تقيس السلسلة عدد الأشخاص أو المنشآت التي استخدمت نقاط البيع.</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Nominal YER series with missing September retained visually.</x:v>
      </x:c>
      <x:c r="H18" s="28" t="str">
        <x:v>يعرض القيمة الاسمية لمعاملات نقاط البيع بالريال اليمني مع إبقاء شهر سبتمبر المفقود مفقودًا بصريًا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Mar-2025–Jan-2026 monthly with Sep gap</x:v>
      </x:c>
      <x:c r="L18" s="24" t="str">
        <x:v>HIGH_ADMIN</x:v>
      </x:c>
      <x:c r="M18" s="24" t="str">
        <x:v>2025-03→2026-01</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Mar-2025–Jan-2026;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1.262 billion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1.262 مليار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مصدر السلطة، والمجتمع الاسمي المعروف، والعدد، والقرارات أو الأحداث السلبية، وحالة التشغيل أو النشاط، وما يزال محجوبًا أو غير معروف.</x:v>
      </x:c>
      <x:c r="I19" s="24" t="str">
        <x:v>Separates authority, named universe, counts, adverse/status events and operating evidence for each provider class, making unresolved current universes explicit.</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or close named entities. E-wallets: CBY-Aden publications give counts of licensed e-wallets for 2024 and 2025, and a June 2024 circular names wallets, entities or services as unlicensed; no current named list of licensed wallets is held. Non-bank microfinance institutions: only network membership pages are held, not a licensing list. Payment-system operators: no named list is held.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 المحافظ الإلكترونية المرخصة في 2024 و2025،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يقارن التعريف والفترة والجغرافيا ومجتمع القياس أو قاعدة الاحتساب والوحدة ومجتمع المصدر والطريقة قبل السماح لرقمين بالظهور على مقياس واحد.</x:v>
      </x:c>
      <x:c r="I20" s="24" t="str">
        <x:v>Compares definitions, periods, geographies, populations or bases, units, source universes and methods before allowing values to share a scale.</x:v>
      </x:c>
      <x:c r="J20" s="28" t="str">
        <x:v>يمنع المقارنة الزائفة بين أرقام تحمل الاسم نفسه لكنها تقيس أشياء مختلفة، ويبين متى تكون المقارنة مشروطة أو غير صالحة.</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documented crosswalk of measures and the evidence records being compared</x:v>
      </x:c>
      <x:c r="Q20" s="24" t="str">
        <x:v>source-native / 2025 baseline-admin comparison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تُجري المقارنة مطابقة مُصطنعة بين الأرقام المختلفة، ولا تفضّل رقمًا على آخر ما لم تسند ذلك أدلة على تعريفاتها.</x:v>
      </x:c>
      <x:c r="U20" s="24" t="str">
        <x:v>The comparison table sets the selected records side by side on definition, period, population or calculation base, source scope and method, and on geography and unit where these are recorded.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والفترة والمجتمع أو قاعدة الاحتساب ونطاق المصدر والطريقة، ومن حيث الجغرافيا والوحدة حيث تكون مسجلة.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held;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held</x:v>
      </x:c>
      <x:c r="R21" s="24" t="str">
        <x:v>Table: baseline, target and result (not held); no dated axis and no progress bar.</x:v>
      </x:c>
      <x:c r="S21" s="24" t="str">
        <x:v>A target is not an observation or an achievement. No percentage of the target can be calculated where definitions differ, and no observed result is held.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held in the evidence base, so no progress can be shown, and the project count is not comparable with administrative counts of ATMs,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يقارَن عدد المشروع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فئات علاقات مختلفة، ولا يعامل كل التمويل كتدفق واحد.</x:v>
      </x:c>
      <x:c r="I22" s="24" t="str">
        <x:v>Separates humanitarian, development, project and financial-institution finance as different relationship classes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source-defined funding/programme relationships</x:v>
      </x:c>
      <x:c r="Q22" s="24" t="str">
        <x:v>event-level / 2026 context</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لاحقًا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firms report</x:v>
      </x:c>
      <x:c r="C23" s="28" t="str">
        <x:v>التمويل ليس القيد الوحيد أمام المنشآت</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custom survey</x:v>
      </x:c>
      <x:c r="L23" s="24" t="str">
        <x:v>PRIMARY_SURVEY</x:v>
      </x:c>
      <x:c r="M23" s="24" t="str">
        <x:v>2022 custom survey</x:v>
      </x:c>
      <x:c r="N23" s="24" t="str">
        <x:v>12_FIRM_FINANCE FFM-007</x:v>
      </x:c>
      <x:c r="O23" s="24" t="str">
        <x:v>percent of surveyed firms selecting/reporting constraint</x:v>
      </x:c>
      <x:c r="P23" s="24" t="str">
        <x:v>Formal enterprises in seven selected governorates covered by the 2022 custom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x:v>
      </x:c>
      <x:c r="T2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x:v>
      </x:c>
      <x:c r="U2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held in the evidence base. These results apply to the survey sample in seven governorates and are not a national ranking for all Yemeni firms.</x:v>
      </x:c>
      <x:c r="V2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reported by 18 surveyed formal firms, 2022</x:v>
      </x:c>
      <x:c r="C24" s="28" t="str">
        <x:v>مصادر القروض كما أفادت بها 18 منشأة رسمية في 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custom survey</x:v>
      </x:c>
      <x:c r="L24" s="24" t="str">
        <x:v>MEDIUM_SMALL_N</x:v>
      </x:c>
      <x:c r="M24" s="24" t="str">
        <x:v>2022 custom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Major 68.71% + moderate 23.13% are shown only within the report's filtered denominator.</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custom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held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held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promoting milestones into adoption or outcomes.</x:v>
      </x:c>
      <x:c r="J26" s="28" t="str">
        <x:v>يتتبع تغير بنية المدفوعات من دون ترقية القرار أو المؤسسة أو التشغيل إلى تبنٍ من المستخدمين أو نتيجة 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the source owner's own statement.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مكونين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الجهة المصدرة نفسها.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evidence state and source document by year</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الحوالة غير الرسمية،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are different vintages,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نسختان مختلفتان،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الحوالة غير الرسمية.</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تم التحقق منها، وأين ما تزال الجغرافيا غير معروفة؟</x:v>
      </x:c>
      <x:c r="G29" s="24" t="str">
        <x:v>Access evidence in three states: verified, dated operating locations, the only kind that can appear as points and not yet available as a register;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object-specific</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المحفظة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والمحفظة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 million savers/depositors at end-2020. The loan portfolio is YER 6.741 billion at end-2015 in the provider table, while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 مليون مدخر/مودع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Sana’a Center for Strategic Studies، مستندةً إلى بيانات محفظة التمويل لدى SFD/SMED، عدد 78,686 مقترضًا، وما تسميه 3.3 مليون «مدخر نشط»، ومحفظة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المحفظة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على أنه تأكيدان مستقلان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بالرقم القياسي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A banking jump across a method break</x:v>
      </x:c>
      <x:c r="C32" s="28" t="str">
        <x:v>قفزة مصرفية عبر تغير في أساس القياس</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object</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 accounts, e-wallets, subscribers, terminals and transactions are not unique people unless a documented method converts them.</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 فالحسابات والمحافظ الإلكترونية والمشتركون والأجهزة والمعاملات ليست أشخاصًا فريدين ما لم تحوّلها طريقة موثقة.</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1,473 in January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1,473 جهازًا في يناير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والمستدام.</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 registered accounts are not unique active people, and the 2016–2019 pattern cannot be extended to national prevalence in 2026.</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 فالحسابات المسجلة ليست أشخاصًا فريدين نشطين، ولا يصح مدّ نمط 2016–2019 إلى الانتشار الوطني في 2026.</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والمحفظة: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والمحفظة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والمحفظة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المحفظة بالريال، ولا تُوصل ملاحظات 2023 غير المتوافقة في سلسلة واحدة. ولا تسمح هذه النقاط بتحديد اتجاه للمدخرين أو للمحفظة،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have an account, a difference of 12.91 percentage points — and places possible mechanisms in a separate layer of hypotheses to test, not causal arrows.</x:v>
      </x:c>
      <x:c r="H37" s="28" t="str">
        <x:v>يبدأ بالمستويات المقاسة داخل الموجة نفسها — تملك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Three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ثلاثة 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middle from rail to inclusion result</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promoted into inclusion outcomes.</x:v>
      </x:c>
      <x:c r="J39" s="28" t="str">
        <x:v>يمنع ترقية البنية التحتية أو المعالم المؤسسية مباشرة إلى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January 2026 within CBY-Aden's reporting scope (1,473 terminals; 24,026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يناير 2026 (1,473 جهازًا و24,026 معاملة)،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التعرض المالي،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المستدام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No longitudinal follow-up is held, so the evidence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والتعرض لخدمة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مستدامًا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تشغيل المدفوعات وظروف النقد والوصول الرسمي إلى الخدمات المالية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currency outside banks rose from YER810.9 billion in 2014 to YER1,673 billion by end-2017, alongside large issuance of new banknotes and rapid expected money-supply growth in 2018.</x:v>
      </x:c>
      <x:c r="E8" s="28" t="str">
        <x:v>قدرت متابعة البنك الدولي ارتفاع النقد المتداول خارج البنوك من 810.9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x:c r="Q8" t="str">
        <x:v>2017–2018</x:v>
      </x:c>
    </x:row>
    <x:row r="9">
      <x:c r="A9" s="24" t="str">
        <x:v>YSC-005</x:v>
      </x:c>
      <x:c r="B9" s="24" t="str">
        <x:v>January–March 2018</x:v>
      </x:c>
      <x:c r="C9" s="24" t="str">
        <x:v>INTERNATIONAL_SUPPORT</x:v>
      </x:c>
      <x:c r="D9" s="24" t="str">
        <x:v>Saudi Arabia directed and then signed an agreement to deliver a US$2 billion deposit to the Central Bank of Yemen, intended to support the financial/economic position and the riyal.</x:v>
      </x:c>
      <x:c r="E9" s="28" t="str">
        <x:v>وجهت المملكة العربية السعودية ثم وقعت اتفاقية لتقديم وديعة بقيمة ملياري دولار للبنك المركزي اليمني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مستدامًا.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تهم التحويلات كتدفق للأسر وكجزء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أعقبت الهجمات على منشآت تصدير النفط في أكتوبر 2022 عملية تعليق لصادرات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row>
    <x:row r="13">
      <x:c r="A13" s="24" t="str">
        <x:v>YSC-009</x:v>
      </x:c>
      <x:c r="B13" s="24" t="str">
        <x:v>21 February 2023</x:v>
      </x:c>
      <x:c r="C13" s="24" t="str">
        <x:v>INTERNATIONAL_SUPPORT</x:v>
      </x:c>
      <x:c r="D13" s="24" t="str">
        <x:v>Saudi Arabia signed a US$1 billion deposit agreement with the Central Bank of Yemen and stated that the amount was fully deposited in the bank's account.</x:v>
      </x:c>
      <x:c r="E13" s="28" t="str">
        <x:v>وقعت المملكة العربية السعودية اتفاقية وديعة بقيمة مليار دولار مع البنك المركزي اليمني، وأعلنت أن المبلغ أودع بالكامل في حساب البنك.</x:v>
      </x:c>
      <x:c r="F13" s="24" t="str">
        <x:v>SRC-SPA-SAU-CBY-DEPOSIT-2023-001</x:v>
      </x:c>
      <x:c r="G13" s="24" t="str">
        <x:v>Official Saudi deposit announcement; later availability/use states are distinct.</x:v>
      </x:c>
      <x:c r="H13" s="24" t="str">
        <x:v>Deposit custody is not the same state as funds made available or auctioned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the downstream FX-auction use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moved through distinct states—budget support, deposit availability and FX-auction use—that answer different questions and cannot be summed mechanically.</x:v>
      </x:c>
      <x:c r="I14" s="28" t="str">
        <x:v>انتقل الدعم الخارجي عبر مراحل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الإطار الاقتصادي للحكومة المعترف بها دوليًا لدى صندوق النقد، تحسن عجز الحساب الجاري من نحو 40.5% من الناتج المحلي الإجمالي في 2022 إلى متوسط يقارب 14.5% في 2023–2024، نتيجة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أعقب طرح عملة معدنية جديدة من فئة 100 ريال في صنعاء في مارس 2024 توجيه من البنك المركزي في عدن خلال أبريل بنقل مقار البنوك الموجودة في صنعاء إلى عدن، ثم تدابير إضافية في يونيو طالت جهات غير مرخصة ومحافظ إلكترونية وخدمات دفع وشبكات حوالات.</x:v>
      </x:c>
      <x:c r="F16" s="24" t="str">
        <x:v>SRC-WB-YEM-FRAGMENTATION-2025-001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benefiting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واستفاد من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المستدام يحتاج إلى متابعة التفعيل وتكرار المعاملات واستخدام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revised across CBY annual-report vintages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Remittance trend analysis must expose vintage and method changes before drawing behavioral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In the IMF's banking data for areas under the internationally recognized government, the liquid-assets to short-term-liabilities ratio fell from 148 in 2022 to 69 in April 2025, while the capital-to-assets ratio fell from about 5 to about 2.5.</x:v>
      </x:c>
      <x:c r="E19" s="28" t="str">
        <x:v>في بيانات القطاع المصرفي للحكومة المعترف بها دوليًا لدى صندوق النقد، انخفضت نسبة الأصول السائلة إلى الالتزامات قصيرة الأجل من 148 في 2022 إلى 69 في أبريل 2025، كما تراجعت نسبة رأس المال إلى الأصول من نحو 5 إلى نحو 2.5.</x:v>
      </x:c>
      <x:c r="F19" s="24" t="str">
        <x:v>SRC-IMF-AIV-2025-STAFF-001</x:v>
      </x:c>
      <x:c r="G19" s="24" t="str">
        <x:v>IRG-supervised banking system data; not automatically whole-Yemen banking coverage.</x:v>
      </x:c>
      <x:c r="H19" s="24" t="str">
        <x:v>Liquidity and capital constraints can limit bank capacity and alter provider/customer behavior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row>
    <x:row r="20">
      <x:c r="A20" s="24" t="str">
        <x:v>YSC-015</x:v>
      </x:c>
      <x:c r="B20" s="24" t="str">
        <x:v>July 2025 onward</x:v>
      </x:c>
      <x:c r="C20" s="24" t="str">
        <x:v>FX_IMPORT_POLICY</x:v>
      </x:c>
      <x:c r="D20" s="24" t="str">
        <x:v>The government established the National Committee for the Regulation and Financing of Imports to prioritize FX for essential imports, improve import transparency and channel FX through the formal banking sector.</x:v>
      </x:c>
      <x:c r="E20" s="28" t="str">
        <x:v>أنشأت الحكومة اللجنة الوطنية لتنظيم وتمويل الواردات لإعطاء الأولوية للنقد الأجنبي للواردات الأساسية، وتعزيز شفافية الاستيراد، وتوجيه النقد الأجنبي عبر القطاع المصرفي الرسمي.</x:v>
      </x:c>
      <x:c r="F20" s="24" t="str">
        <x:v>SRC-IMF-AIV-2025-STAFF-001</x:v>
      </x:c>
      <x:c r="G20" s="24" t="str">
        <x:v>IRG policy framework.</x:v>
      </x:c>
      <x:c r="H20" s="24" t="str">
        <x:v>Import finance and FX allocation became more explicitly tied to formal banking and regulatory control.</x:v>
      </x:c>
      <x:c r="I20" s="28" t="str">
        <x:v>أصبح تمويل الواردات وتخصيص النقد الأجنبي أكثر ارتباطًا بالقطاع المصرفي الرسمي والضبط التنظيمي.</x:v>
      </x:c>
      <x:c r="J20" s="24" t="str">
        <x:v>This may change incentives and flows through banks and exchangers, which should be measured.</x:v>
      </x:c>
      <x:c r="K20" s="28" t="str">
        <x:v>قد يغير ذلك الحوافز والتدفقات عبر البنوك والصرافين، وهو أثر يحتاج إلى قياس.</x:v>
      </x:c>
      <x:c r="L20" s="24" t="str">
        <x:v>Creation of the committee does not prove improved access, lower costs or successful formalization.</x:v>
      </x:c>
      <x:c r="M20" s="28" t="str">
        <x:v>إنشاء اللجنة لا يثبت تحسن الوصول أو انخفاض التكلفة أو نجاح التحول إلى القنوات الرسمية.</x:v>
      </x:c>
      <x:c r="N20" s="24" t="str">
        <x:v>MECHANISM_HYPOTHESIS</x:v>
      </x:c>
      <x:c r="O20" s="24" t="str">
        <x:v>/finance | /firms | /providers | /reforms</x:v>
      </x:c>
      <x:c r="P20" s="24"/>
      <x:c r="Q20" t="str">
        <x:v>من يوليو 2025 فصاعدًا</x:v>
      </x:c>
    </x:row>
    <x:row r="21">
      <x:c r="A21" s="24" t="str">
        <x:v>YSC-016</x:v>
      </x:c>
      <x:c r="B21" s="24" t="str">
        <x:v>Mid-July–early August 2025</x:v>
      </x:c>
      <x:c r="C21" s="24" t="str">
        <x:v>FX_STABILIZATION_EPISODE</x:v>
      </x:c>
      <x:c r="D21" s="24" t="str">
        <x:v>The IMF reports the rial, in markets in areas under the internationally recognized government, strengthening from about YER2,900 to about YER1,600 per US dollar from mid-July to early August 2025 after a package of FX and market measures.</x:v>
      </x:c>
      <x:c r="E21"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1" s="24" t="str">
        <x:v>SRC-IMF-AIV-2025-STAFF-001</x:v>
      </x:c>
      <x:c r="G21" s="24" t="str">
        <x:v>IRG market/exchange-rate context, not a unified Yemen exchange rate.</x:v>
      </x:c>
      <x:c r="H21" s="24" t="str">
        <x:v>The episode shows how quickly FX conditions can change under fragmented markets and policy intervention.</x:v>
      </x:c>
      <x:c r="I21" s="28" t="str">
        <x:v>توضح هذه الحلقة سرعة تغير أوضاع النقد الأجنبي في سوق مجزأة وتحت تدخلات سياسة.</x:v>
      </x:c>
      <x:c r="J21" s="24" t="str">
        <x:v>Exchange-rate conditions affect prices, remittance conversion, firm costs and channel incentives.</x:v>
      </x:c>
      <x:c r="K21" s="28" t="str">
        <x:v>تؤثر أوضاع سعر الصرف في الأسعار وتحويل قيمة الحوالات وتكاليف المنشآت وحوافز القنوات المالية.</x:v>
      </x:c>
      <x:c r="L21" s="24" t="str">
        <x:v>The appreciation does not by itself prove durable macro stability or improved financial inclusion.</x:v>
      </x:c>
      <x:c r="M21" s="28" t="str">
        <x:v>لا يثبت تحسن سعر الصرف بذاته استقرارًا اقتصاديًا كليًا مستدامًا أو تحسنًا في الشمول المالي.</x:v>
      </x:c>
      <x:c r="N21" s="24" t="str">
        <x:v>CONTEXT</x:v>
      </x:c>
      <x:c r="O21" s="24" t="str">
        <x:v>/remittances | /finance | /firms</x:v>
      </x:c>
      <x:c r="P21" s="24"/>
      <x:c r="Q21" t="str">
        <x:v>منتصف يوليو–أوائل أغسطس 2025</x:v>
      </x:c>
    </x:row>
    <x:row r="22">
      <x:c r="A22" s="24" t="str">
        <x:v>YSC-017</x:v>
      </x:c>
      <x:c r="B22" s="24" t="str">
        <x:v>September 2025</x:v>
      </x:c>
      <x:c r="C22" s="24" t="str">
        <x:v>RESERVE_CONSTRAINT</x:v>
      </x:c>
      <x:c r="D22" s="24" t="str">
        <x:v>The IMF reports operational foreign-exchange reserves of about US$350 million in September 2025, covering roughly one month of imports.</x:v>
      </x:c>
      <x:c r="E22" s="28" t="str">
        <x:v>يفيد صندوق النقد بأن الاحتياطيات التشغيلية من النقد الأجنبي بلغت نحو 350 مليون دولار في سبتمبر 2025، بما يغطي قرابة شهر واحد من الواردات.</x:v>
      </x:c>
      <x:c r="F22" s="24" t="str">
        <x:v>SRC-IMF-AIV-2025-STAFF-001</x:v>
      </x:c>
      <x:c r="G22" s="24" t="str">
        <x:v>IRG operational reserves.</x:v>
      </x:c>
      <x:c r="H22" s="24" t="str">
        <x:v>Even after substantial external support and FX auctions, reserve capacity remained critically constrained.</x:v>
      </x:c>
      <x:c r="I22" s="28" t="str">
        <x:v>رغم الدعم الخارجي الكبير ومزادات النقد الأجنبي، ظلت قدرة الاحتياطيات شديدة المحدودية.</x:v>
      </x:c>
      <x:c r="J22" s="24" t="str">
        <x:v>Reserve scarcity conditions import finance, bank liquidity and prices.</x:v>
      </x:c>
      <x:c r="K22" s="28" t="str">
        <x:v>يؤثر شح الاحتياطيات في تمويل الواردات وسيولة البنوك والأسعار.</x:v>
      </x:c>
      <x:c r="L22" s="24" t="str">
        <x:v>Import-cover reserves do not measure household financial resilience or account use.</x:v>
      </x:c>
      <x:c r="M22" s="28" t="str">
        <x:v>لا يقيس غطاء الواردات من الاحتياطيات مرونة الأسر المالية أو استخدام الحسابات.</x:v>
      </x:c>
      <x:c r="N22" s="24" t="str">
        <x:v>CONTEXT</x:v>
      </x:c>
      <x:c r="O22" s="24" t="str">
        <x:v>/finance | /firms</x:v>
      </x:c>
      <x:c r="P22" s="24"/>
      <x:c r="Q22" t="str">
        <x:v>سبتمبر 2025</x:v>
      </x:c>
    </x:row>
    <x:row r="23">
      <x:c r="A23" s="24" t="str">
        <x:v>YSC-018</x:v>
      </x:c>
      <x:c r="B23" s="24" t="str">
        <x:v>17 June 2025–2030 project period</x:v>
      </x:c>
      <x:c r="C23" s="24" t="str">
        <x:v>INTERNATIONAL_INFRASTRUCTURE_SUPPORT</x:v>
      </x:c>
      <x:c r="D23" s="24" t="str">
        <x:v>The World Bank approved a US$20 million IDA grant for the Yemen Financial Market Infrastructure and Inclusion Project (P180708) on 17 June 2025. The project is active, implemented by UNDP, closes on 30 June 2030, and the latest disclosed ISR identified in this review is sequence 2 dated 8 April 2026.</x:v>
      </x:c>
      <x:c r="E23"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3" s="24" t="str">
        <x:v>SRC-WB-FMIIP-P180708 | SRC-UNDP-FMIIP-001 | SRC-WB-FMIIP-ISR2-2026-001</x:v>
      </x:c>
      <x:c r="G23" s="24" t="str">
        <x:v>Project approval/status and disclosed implementation-report currentness. Project baselines/targets are separate from observed inclusion outcomes.</x:v>
      </x:c>
      <x:c r="H23" s="24" t="str">
        <x:v>A new infrastructure and reform clock is underway; approval, procurement, installation, go-live, institutional participation, access, use, quality and population outcomes remain separate evidence states.</x:v>
      </x:c>
      <x:c r="I23"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3" s="24" t="str">
        <x:v>The project can create payment-system capacity and targeted access/usage mechanisms, while population adoption and inclusion effects require later evidence.</x:v>
      </x:c>
      <x:c r="K23" s="28" t="str">
        <x:v>يمكن للمشروع بناء قدرة في نظام المدفوعات وآليات مستهدفة للوصول والاستخدام، لكن تبني السكان وأثر الشمول يحتاجان إلى أدلة لاحقة.</x:v>
      </x:c>
      <x:c r="L23" s="24" t="str">
        <x:v>The US$20 million commitment, an implementation report, a system go-live or a 2030 target is not evidence that users have already adopted services or that inclusion outcomes have been achieved.</x:v>
      </x:c>
      <x:c r="M23"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3" s="24" t="str">
        <x:v>DEPENDENCY</x:v>
      </x:c>
      <x:c r="O23" s="24" t="str">
        <x:v>/payments | /reforms | /people</x:v>
      </x:c>
      <x:c r="P23" s="24" t="str">
        <x:v>Project cost/commitment must not be counted as an observed financial flow to users.</x:v>
      </x:c>
      <x:c r="Q23" t="str">
        <x:v>فترة المشروع من 17 يونيو 2025 حتى 2030</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تم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sits inside the World Bank Group’s FY2026–FY2030 strategy for Yemen, that links jobs, livelihoods, infrastructure, private-sector conditions and women’s economic participation.</x:v>
      </x:c>
      <x:c r="I25" t="str">
        <x:v>تقع أدلة الشمول المالي داخل استراتيجية مجموعة البنك الدولي لليمن للسنوات المالية 2026–2030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project design and target states,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للبنك أو المحفظة،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clock has advanced, but programme stage, legal or supervisory change, implementation and experienced financial-service outcomes remain separate states.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تهم التزامات إصلاح القطاع المالي الوساطة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لكنها غير قابلة للاستبدال.</x:v>
      </x:c>
      <x:c r="F28"/>
      <x:c r="G28" t="str">
        <x:v>System synthesis rule derived from the evidence relationships documented here.</x:v>
      </x:c>
      <x:c r="H28" t="str">
        <x:v>This resource can trace transmission across the system without turning sequence or co-movement into causality.</x:v>
      </x:c>
      <x:c r="I28" t="str">
        <x:v>يمكن لهذا المورد تتبع انتقال الأثر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https://english.cby-ye.com/files/69dfc71a51c14.pdf</x:v>
      </x:c>
      <x:c r="C6" s="24" t="str">
        <x:v>["https://english.cby-ye.com/pages/14", "https://english.cby-ye.com/files/670f66ad9ce87.pdf"]</x:v>
      </x:c>
      <x:c r="D6" s="24" t="str">
        <x:v>DS-PROVIDER-MASTER, DS-PROVIDER-UNIVERSE</x:v>
      </x:c>
      <x:c r="E6" s="24" t="n">
        <x:v>27</x:v>
      </x:c>
      <x:c r="F6" s="168" t="str">
        <x:v>List of licensed banks in the Republic of Yemen (undated; as checked on 7 September 2026)</x:v>
      </x:c>
      <x:c r="G6" s="168" t="str">
        <x:v>Central Bank of Yemen — Aden</x:v>
      </x:c>
      <x:c r="H6" s="168"/>
      <x:c r="I6" s="168"/>
      <x:c r="J6" s="168"/>
      <x:c r="K6" s="168" t="str">
        <x:v>CITATION_CARD</x:v>
      </x:c>
      <x:c r="L6" s="168" t="str">
        <x:v>كشف بالبنوك المرخصة بالجمهورية اليمنية (غير مؤرخ؛ كما اطُّلع عليه في 7 سبتمبر 2026)</x:v>
      </x:c>
      <x:c r="M6" s="168"/>
      <x:c r="N6" s="168"/>
      <x:c r="O6" s="168"/>
      <x:c r="S6" t="str">
        <x:v>NOT_ASSESSED</x:v>
      </x:c>
      <x:c r="V6" t="str">
        <x:v>2026-09-26</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c r="D14" s="24" t="str">
        <x:v>DS-PROVIDER-MASTER,DS-PROVIDER-STATUS-EVENTS</x:v>
      </x:c>
      <x:c r="E14" s="24" t="n">
        <x:v>2</x:v>
      </x:c>
      <x:c r="F14" s="168" t="str">
        <x:v>Governor's Decision No. 10 of 2026 on the licence suspension and closure of a remittance agent</x:v>
      </x:c>
      <x:c r="G14" s="168" t="str">
        <x:v>Central Bank of Yemen — Aden</x:v>
      </x:c>
      <x:c r="H14" s="168"/>
      <x:c r="I14" s="168"/>
      <x:c r="J14" s="168"/>
      <x:c r="K14" s="168" t="str">
        <x:v>CITATION_CARD</x:v>
      </x:c>
      <x:c r="L14" s="168" t="str">
        <x:v>قرار المحافظ رقم (10) لسنة 2026 بشأن إيقاف ترخيص وكيل حوالة وإغلاق مقره</x:v>
      </x:c>
      <x:c r="M14" s="168"/>
      <x:c r="N14" s="168"/>
      <x:c r="O14" s="168"/>
      <x:c r="S14" t="str">
        <x:v>NOT_ASSESSED</x:v>
      </x:c>
      <x:c r="W14" t="str">
        <x:v>decision/enforcement</x:v>
      </x:c>
      <x:c r="X14" t="str">
        <x:v>status event</x:v>
      </x:c>
      <x:c r="Y14" t="str">
        <x:v>البنك المركزي اليمني – عدن</x:v>
      </x:c>
      <x:c r="Z14" t="str">
        <x:v>Enforcement decision</x:v>
      </x:c>
      <x:c r="AA14" t="str">
        <x:v>قرار إنفاذ</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SRC-IMF-AIV-2025-STAFF-001</x:v>
      </x:c>
      <x:c r="B34" s="24" t="str">
        <x:v>https://www.elibrary.imf.org/view/journals/002/2026/080/article-A001-en.xml</x:v>
      </x:c>
      <x:c r="C34" s="24" t="str"/>
      <x:c r="D34" s="24" t="str">
        <x:v>DS-REMITTANCES</x:v>
      </x:c>
      <x:c r="E34" s="24" t="n">
        <x:v>7</x:v>
      </x:c>
      <x:c r="F34" s="168" t="str">
        <x:v>Republic of Yemen: 2025 Article IV Consultation — Staff Report (IMF Country Report No. 26/80)</x:v>
      </x:c>
      <x:c r="G34" s="168" t="str">
        <x:v>International Monetary Fund</x:v>
      </x:c>
      <x:c r="H34" s="168"/>
      <x:c r="I34" s="168"/>
      <x:c r="J34" s="168"/>
      <x:c r="K34" s="168" t="str">
        <x:v>CITATION_CARD</x:v>
      </x:c>
      <x:c r="L34" s="168" t="str">
        <x:v>الجمهورية اليمنية: مشاورات المادة الرابعة لعام 2025 — تقرير الخبراء (تقرير صندوق النقد الدولي القُطري رقم 26/80)</x:v>
      </x:c>
      <x:c r="M34" s="168"/>
      <x:c r="N34" s="168"/>
      <x:c r="O34" s="168"/>
      <x:c r="S34" t="str">
        <x:v>NOT_ASSESSED</x:v>
      </x:c>
      <x:c r="Y34" t="str">
        <x:v>صندوق النقد الدولي</x:v>
      </x:c>
      <x:c r="Z34" t="str">
        <x:v>Staff report</x:v>
      </x:c>
      <x:c r="AA34" t="str">
        <x:v>تقرير خبراء</x:v>
      </x:c>
    </x:row>
    <x:row r="35">
      <x:c r="A35" s="24" t="str">
        <x:v>SRC-IMF-AIV-2025-SUPP-001</x:v>
      </x:c>
      <x:c r="B35" s="24" t="str">
        <x:v>https://www.elibrary.imf.org/view/journals/002/2026/080/article-A004-en.xml</x:v>
      </x:c>
      <x:c r="C35" s="24" t="str"/>
      <x:c r="D35" s="24" t="str">
        <x:v>DS-REMITTANCES</x:v>
      </x:c>
      <x:c r="E35" s="24" t="n">
        <x:v>6</x:v>
      </x:c>
      <x:c r="F35" s="168" t="str">
        <x:v>Republic of Yemen: 2025 Article IV Consultation — supplement to the staff report (IMF Country Report No. 26/80)</x:v>
      </x:c>
      <x:c r="G35" s="168" t="str">
        <x:v>International Monetary Fund</x:v>
      </x:c>
      <x:c r="H35" s="168"/>
      <x:c r="I35" s="168"/>
      <x:c r="J35" s="168"/>
      <x:c r="K35" s="168" t="str">
        <x:v>CITATION_CARD</x:v>
      </x:c>
      <x:c r="L35" s="168" t="str">
        <x:v>الجمهورية اليمنية: مشاورات المادة الرابعة لعام 2025 — ملحق تقرير الخبراء (تقرير صندوق النقد الدولي القُطري رقم 26/80)</x:v>
      </x:c>
      <x:c r="M35" s="168"/>
      <x:c r="N35" s="168"/>
      <x:c r="O35" s="168"/>
      <x:c r="S35" t="str">
        <x:v>NOT_ASSESSED</x:v>
      </x:c>
      <x:c r="Y35" t="str">
        <x:v>صندوق النقد الدولي</x:v>
      </x:c>
      <x:c r="Z35" t="str">
        <x:v>Staff report</x:v>
      </x:c>
      <x:c r="AA35" t="str">
        <x:v>تقرير خبراء</x:v>
      </x:c>
    </x:row>
    <x:row r="36">
      <x:c r="A36" s="24" t="str">
        <x:v>SRC-WB-ES-2013-PROFILE-001</x:v>
      </x:c>
      <x:c r="B36" s="24" t="str">
        <x:v>https://www.enterprisesurveys.org/content/dam/enterprisesurveys/documents/country/Yemen-2013.pdf</x:v>
      </x:c>
      <x:c r="C36" s="24" t="str"/>
      <x:c r="D36" s="24" t="str">
        <x:v>DS-FIRM-FINANCE</x:v>
      </x:c>
      <x:c r="E36" s="24" t="n">
        <x:v>7</x:v>
      </x:c>
      <x:c r="F36" s="168" t="str">
        <x:v>Enterprise Surveys: Yemen Country Profile 2013 (survey period 2013–2014)</x:v>
      </x:c>
      <x:c r="G36" s="168" t="str">
        <x:v>World Bank</x:v>
      </x:c>
      <x:c r="H36" s="168"/>
      <x:c r="I36" s="168"/>
      <x:c r="J36" s="168"/>
      <x:c r="K36" s="168" t="str">
        <x:v>CITATION_CARD</x:v>
      </x:c>
      <x:c r="L36" s="168" t="str">
        <x:v>مسوح المنشآت (Enterprise Surveys): الملف القُطري لليمن 2013 (فترة المسح 2013–2014)</x:v>
      </x:c>
      <x:c r="M36" s="168"/>
      <x:c r="N36" s="168"/>
      <x:c r="O36" s="168"/>
      <x:c r="S36" t="str">
        <x:v>NOT_ASSESSED</x:v>
      </x:c>
      <x:c r="Y36" t="str">
        <x:v>البنك الدولي</x:v>
      </x:c>
      <x:c r="Z36" t="str">
        <x:v>Survey dataset or indicator</x:v>
      </x:c>
      <x:c r="AA36" t="str">
        <x:v>مسح أو مؤشر</x:v>
      </x:c>
    </x:row>
    <x:row r="37">
      <x:c r="A37" s="24" t="str">
        <x:v>SRC-WB-FSD-2024-001</x:v>
      </x:c>
      <x:c r="B37" s="24" t="str">
        <x:v>https://documents1.worldbank.org/curated/en/099102324070011985/pdf/P177631-d18a7ee4-3fcf-4393-9665-77f98b3e43a7.pdf</x:v>
      </x:c>
      <x:c r="C37" s="24" t="str"/>
      <x:c r="D37" s="24" t="str">
        <x:v>DS-FIRM-FINANCE,DS-K04-MFB2023-RECON,DS-K04-MFB-TRANSFORM-LENS,DS-K04-CAUSEWAY-READING-003</x:v>
      </x:c>
      <x:c r="E37" s="24" t="n">
        <x:v>81</x:v>
      </x:c>
      <x:c r="F37" s="168" t="str">
        <x:v>Yemen Financial Sector Diagnostics (2024)</x:v>
      </x:c>
      <x:c r="G37" s="168" t="str">
        <x:v>World Bank</x:v>
      </x:c>
      <x:c r="H37" s="168" t="str">
        <x:v>Yemen financial-sector diagnostics and evidence</x:v>
      </x:c>
      <x:c r="I37" s="168" t="str">
        <x:v>A major analytical reference covering CBY-Aden, banking, money transfer and exchange services, access to finance, and the 2022 Yemen Enterprise Survey annex; useful for sector structure, historical context and source triangulation.</x:v>
      </x:c>
      <x:c r="J37" s="168" t="str">
        <x:v>A diagnostic is not a current administrative census or regulator statement. Institution-level and survey results retain their own dates, universes, methods and limitations.</x:v>
      </x:c>
      <x:c r="K37" s="168" t="str">
        <x:v>FULL_PUBLIC_CARD</x:v>
      </x:c>
      <x:c r="L37" s="168" t="str">
        <x:v>تشخيص القطاع المالي في اليمن (2024)</x:v>
      </x:c>
      <x:c r="M37" s="168" t="str">
        <x:v>تشخيصات وأدلة القطاع المالي في اليمن</x:v>
      </x:c>
      <x:c r="N37" s="168" t="str">
        <x:v>مرجع تحليلي رئيسي يغطي البنك المركزي في عدن والقطاع المصرفي وخدمات الصرافة والتحويل والوصول إلى التمويل، ويتضمن ملحق مسح المنشآت اليمنية لعام 2022؛ ويفيد في فهم هيكل القطاع والسياق التاريخي والمقارنة بين المصادر.</x:v>
      </x:c>
      <x:c r="O37" s="168" t="str">
        <x:v>التشخيص ليس تعدادًا إداريًا راهنًا ولا بيانًا تنظيميًا آنيًا. وتحتفظ نتائج المؤسسات والمسوح بتواريخها ومجتمعاتها ومناهجها وحدودها الخاصة.</x:v>
      </x:c>
      <x:c r="S37" t="str">
        <x:v>NOT_ASSESSED</x:v>
      </x:c>
      <x:c r="Y37" t="str">
        <x:v>البنك الدولي</x:v>
      </x:c>
      <x:c r="Z37" t="str">
        <x:v>Research or policy paper</x:v>
      </x:c>
      <x:c r="AA37" t="str">
        <x:v>ورقة بحثية أو سياساتية</x:v>
      </x:c>
      <x:c r="AB37" t="str">
        <x:v>2024</x:v>
      </x:c>
    </x:row>
    <x:row r="38">
      <x:c r="A38" s="24" t="str">
        <x:v>SRC-WB-RPW-SA-YEM-2025Q3-001</x:v>
      </x:c>
      <x:c r="B38" s="24" t="str">
        <x:v>https://remittanceprices.worldbank.org/corridor/Saudi%20Arabia/Yemen</x:v>
      </x:c>
      <x:c r="C38" s="24" t="str"/>
      <x:c r="D38" s="24" t="str">
        <x:v>DS-REMITTANCES</x:v>
      </x:c>
      <x:c r="E38" s="24" t="n">
        <x:v>2</x:v>
      </x:c>
      <x:c r="F38" s="168" t="str">
        <x:v>Remittance Prices Worldwide: Saudi Arabia to Yemen corridor (third quarter of 2025)</x:v>
      </x:c>
      <x:c r="G38" s="168" t="str">
        <x:v>World Bank</x:v>
      </x:c>
      <x:c r="H38" s="168"/>
      <x:c r="I38" s="168"/>
      <x:c r="J38" s="168"/>
      <x:c r="K38" s="168" t="str">
        <x:v>CITATION_CARD</x:v>
      </x:c>
      <x:c r="L38" s="168" t="str">
        <x:v>قاعدة بيانات Remittance Prices Worldwide: ممر الحوالات من المملكة العربية السعودية إلى اليمن (الربع الثالث من 2025)</x:v>
      </x:c>
      <x:c r="M38" s="168"/>
      <x:c r="N38" s="168"/>
      <x:c r="O38" s="168"/>
      <x:c r="S38" t="str">
        <x:v>NOT_ASSESSED</x:v>
      </x:c>
      <x:c r="Y38" t="str">
        <x:v>البنك الدولي</x:v>
      </x:c>
      <x:c r="Z38" t="str">
        <x:v>Database or web interface</x:v>
      </x:c>
      <x:c r="AA38" t="str">
        <x:v>قاعدة بيانات أو واجهة إلكترونية</x:v>
      </x:c>
    </x:row>
    <x:row r="39">
      <x:c r="A39" s="24" t="str">
        <x:v>SRC-WB-RPW-UAE-YEM-2025Q3-001</x:v>
      </x:c>
      <x:c r="B39" s="24" t="str">
        <x:v>https://remittanceprices.worldbank.org/corridor/United%20Arab%20Emirates/Yemen</x:v>
      </x:c>
      <x:c r="C39" s="24" t="str"/>
      <x:c r="D39" s="24" t="str">
        <x:v>DS-REMITTANCES</x:v>
      </x:c>
      <x:c r="E39" s="24" t="n">
        <x:v>2</x:v>
      </x:c>
      <x:c r="F39" s="168" t="str">
        <x:v>Remittance Prices Worldwide: United Arab Emirates to Yemen corridor (third quarter of 2025)</x:v>
      </x:c>
      <x:c r="G39" s="168" t="str">
        <x:v>World Bank</x:v>
      </x:c>
      <x:c r="H39" s="168"/>
      <x:c r="I39" s="168"/>
      <x:c r="J39" s="168"/>
      <x:c r="K39" s="168" t="str">
        <x:v>CITATION_CARD</x:v>
      </x:c>
      <x:c r="L39" s="168" t="str">
        <x:v>قاعدة بيانات Remittance Prices Worldwide: ممر الحوالات من الإمارات العربية المتحدة إلى اليمن (الربع الثالث من 2025)</x:v>
      </x:c>
      <x:c r="M39" s="168"/>
      <x:c r="N39" s="168"/>
      <x:c r="O39" s="168"/>
      <x:c r="S39" t="str">
        <x:v>NOT_ASSESSED</x:v>
      </x:c>
      <x:c r="Y39" t="str">
        <x:v>البنك الدولي</x:v>
      </x:c>
      <x:c r="Z39" t="str">
        <x:v>Database or web interface</x:v>
      </x:c>
      <x:c r="AA39" t="str">
        <x:v>قاعدة بيانات أو واجهة إلكترونية</x:v>
      </x:c>
    </x:row>
    <x:row r="40">
      <x:c r="A40" s="24" t="str">
        <x:v>SRC-YMN-AR-2012-001</x:v>
      </x:c>
      <x:c r="B40" s="24" t="str">
        <x:v>https://yemennetwork.org/wp-content/uploads/2019/05/Annual-report-for-sending-via-email_English.pdf</x:v>
      </x:c>
      <x:c r="C40" s="24" t="str"/>
      <x:c r="D40" s="24" t="str">
        <x:v>DS-MFI-EVIDENCE</x:v>
      </x:c>
      <x:c r="E40" s="24" t="n">
        <x:v>4</x:v>
      </x:c>
      <x:c r="F40" s="168" t="str">
        <x:v>Yemen Microfinance Network (YMN) Annual Report 2012</x:v>
      </x:c>
      <x:c r="G40" s="168" t="str">
        <x:v>Yemen Microfinance Network</x:v>
      </x:c>
      <x:c r="H40" s="168"/>
      <x:c r="I40" s="168"/>
      <x:c r="J40" s="168"/>
      <x:c r="K40" s="168" t="str">
        <x:v>CITATION_CARD</x:v>
      </x:c>
      <x:c r="L40" s="168" t="str">
        <x:v>التقرير السنوي لشبكة اليمن للتمويل الأصغر (YMN) لعام 2012</x:v>
      </x:c>
      <x:c r="M40" s="168"/>
      <x:c r="N40" s="168"/>
      <x:c r="O40" s="168"/>
      <x:c r="S40" t="str">
        <x:v>NOT_ASSESSED</x:v>
      </x:c>
      <x:c r="Y40" t="str">
        <x:v>شبكة اليمن للتمويل الأصغر</x:v>
      </x:c>
      <x:c r="Z40" t="str">
        <x:v>Annual report</x:v>
      </x:c>
      <x:c r="AA40" t="str">
        <x:v>تقرير سنوي</x:v>
      </x:c>
    </x:row>
    <x:row r="41">
      <x:c r="A41" s="24" t="str">
        <x:v>SRC-YMN-IMPACT-2021-001</x:v>
      </x:c>
      <x:c r="B41" s="24" t="str">
        <x:v>https://yemennetwork.org/wp-content/uploads/2022/11/YMN_Impact-Assessment_Final_Arabic_Final_V2.pdf</x:v>
      </x:c>
      <x:c r="C41" s="24" t="str"/>
      <x:c r="D41" s="24" t="str">
        <x:v>DS-MFI-EVIDENCE, DS-MFI-PROVIDER-PANEL</x:v>
      </x:c>
      <x:c r="E41" s="24" t="n">
        <x:v>14</x:v>
      </x:c>
      <x:c r="F41" s="168" t="str">
        <x:v>Impact Assessment of Microfinance Services in Yemen (May 2021)</x:v>
      </x:c>
      <x:c r="G41" s="168" t="str">
        <x:v>Yemen Microfinance Network</x:v>
      </x:c>
      <x:c r="H41" s="168"/>
      <x:c r="I41" s="168"/>
      <x:c r="J41" s="168"/>
      <x:c r="K41" s="168" t="str">
        <x:v>CITATION_CARD</x:v>
      </x:c>
      <x:c r="L41" s="168" t="str">
        <x:v>تقييم أثر خدمات التمويل الأصغر في اليمن (مايو 2021)</x:v>
      </x:c>
      <x:c r="M41" s="168"/>
      <x:c r="N41" s="168"/>
      <x:c r="O41" s="168"/>
      <x:c r="S41" t="str">
        <x:v>NOT_ASSESSED</x:v>
      </x:c>
      <x:c r="Y41" t="str">
        <x:v>شبكة اليمن للتمويل الأصغر</x:v>
      </x:c>
      <x:c r="Z41" t="str">
        <x:v>Research or policy paper</x:v>
      </x:c>
      <x:c r="AA41" t="str">
        <x:v>ورقة بحثية أو سياساتية</x:v>
      </x:c>
      <x:c r="AB41" t="str">
        <x:v>2021-05</x:v>
      </x:c>
    </x:row>
    <x:row r="42">
      <x:c r="A42" s="24" t="str">
        <x:v>SRC-YMN-MEMBERS-2026-001</x:v>
      </x:c>
      <x:c r="B42" s="24" t="str">
        <x:v>https://yemennetwork.org/</x:v>
      </x:c>
      <x:c r="C42" s="24" t="str">
        <x:v>["https://ymn.yemennetwork.org/about-us", "https://yemennetwork.org/banks/", "https://yemennetwork.org/%D9%85%D8%A4%D8%B3%D8%B3%D8%A7%D8%AA/?lang=ar"]</x:v>
      </x:c>
      <x:c r="D42" s="24" t="str">
        <x:v>DS-PROVIDER-UNIVERSE</x:v>
      </x:c>
      <x:c r="E42" s="24" t="n">
        <x:v>1</x:v>
      </x:c>
      <x:c r="F42" s="168" t="str">
        <x:v>Yemen Microfinance Network website: membership pages (observed 7 September 2026)</x:v>
      </x:c>
      <x:c r="G42" s="168" t="str">
        <x:v>Yemen Microfinance Network</x:v>
      </x:c>
      <x:c r="H42" s="168"/>
      <x:c r="I42" s="168"/>
      <x:c r="J42" s="168"/>
      <x:c r="K42" s="168" t="str">
        <x:v>CITATION_CARD</x:v>
      </x:c>
      <x:c r="L42" s="168" t="str">
        <x:v>الموقع الإلكتروني لشبكة اليمن للتمويل الأصغر: صفحات العضوية (كما رُصدت في 7 سبتمبر 2026)</x:v>
      </x:c>
      <x:c r="M42" s="168"/>
      <x:c r="N42" s="168"/>
      <x:c r="O42" s="168"/>
      <x:c r="S42" t="str">
        <x:v>NOT_ASSESSED</x:v>
      </x:c>
      <x:c r="Y42" t="str">
        <x:v>شبكة اليمن للتمويل الأصغر</x:v>
      </x:c>
      <x:c r="Z42" t="str">
        <x:v>Database or web interface</x:v>
      </x:c>
      <x:c r="AA42" t="str">
        <x:v>قاعدة بيانات أو واجهة إلكترونية</x:v>
      </x:c>
    </x:row>
    <x:row r="43">
      <x:c r="A43" s="24" t="str">
        <x:v>SRC-YMN-MFMAG-2014-Q1-001</x:v>
      </x:c>
      <x:c r="B43" s="24" t="str">
        <x:v>https://yemennetwork.org/wp-content/uploads/2015/02/mf_magazine_1st_issue_2014eng..pdf</x:v>
      </x:c>
      <x:c r="C43" s="24" t="str"/>
      <x:c r="D43" s="24" t="str">
        <x:v>DS-MFI-EVIDENCE, DS-MFI-PROVIDER-PANEL</x:v>
      </x:c>
      <x:c r="E43" s="24" t="n">
        <x:v>13</x:v>
      </x:c>
      <x:c r="F43" s="168" t="str">
        <x:v>MicroFinance Magazine, issue no. 1 (2014)</x:v>
      </x:c>
      <x:c r="G43" s="168" t="str">
        <x:v>Yemen Microfinance Network</x:v>
      </x:c>
      <x:c r="H43" s="168"/>
      <x:c r="I43" s="168"/>
      <x:c r="J43" s="168"/>
      <x:c r="K43" s="168" t="str">
        <x:v>CITATION_CARD</x:v>
      </x:c>
      <x:c r="L43" s="168" t="str">
        <x:v>مجلة التمويل الأصغر، العدد الأول (2014)</x:v>
      </x:c>
      <x:c r="M43" s="168"/>
      <x:c r="N43" s="168"/>
      <x:c r="O43" s="168"/>
      <x:c r="S43" t="str">
        <x:v>NOT_ASSESSED</x:v>
      </x:c>
      <x:c r="Y43" t="str">
        <x:v>شبكة اليمن للتمويل الأصغر</x:v>
      </x:c>
      <x:c r="Z43" t="str">
        <x:v>Newsletter</x:v>
      </x:c>
      <x:c r="AA43" t="str">
        <x:v>نشرة دورية</x:v>
      </x:c>
      <x:c r="AB43" t="str">
        <x:v>2014</x:v>
      </x:c>
    </x:row>
    <x:row r="44">
      <x:c r="A44" s="24" t="str">
        <x:v>SRC-YMN-MFMAG-2014-Q2-001</x:v>
      </x:c>
      <x:c r="B44" s="24" t="str">
        <x:v>https://yemennetwork.org/wp-content/uploads/2015/02/mf_magazine_2nd_issue_2014eng..pdf</x:v>
      </x:c>
      <x:c r="C44" s="24" t="str"/>
      <x:c r="D44" s="24" t="str">
        <x:v>DS-MFI-EVIDENCE, DS-MFI-PROVIDER-PANEL</x:v>
      </x:c>
      <x:c r="E44" s="24" t="n">
        <x:v>13</x:v>
      </x:c>
      <x:c r="F44" s="168" t="str">
        <x:v>MicroFinance Magazine, issue no. 2 (2014)</x:v>
      </x:c>
      <x:c r="G44" s="168" t="str">
        <x:v>Yemen Microfinance Network</x:v>
      </x:c>
      <x:c r="H44" s="168"/>
      <x:c r="I44" s="168"/>
      <x:c r="J44" s="168"/>
      <x:c r="K44" s="168" t="str">
        <x:v>CITATION_CARD</x:v>
      </x:c>
      <x:c r="L44" s="168" t="str">
        <x:v>مجلة التمويل الأصغر، العدد الثاني (2014)</x:v>
      </x:c>
      <x:c r="M44" s="168"/>
      <x:c r="N44" s="168"/>
      <x:c r="O44" s="168"/>
      <x:c r="S44" t="str">
        <x:v>NOT_ASSESSED</x:v>
      </x:c>
      <x:c r="Y44" t="str">
        <x:v>شبكة اليمن للتمويل الأصغر</x:v>
      </x:c>
      <x:c r="Z44" t="str">
        <x:v>Newsletter</x:v>
      </x:c>
      <x:c r="AA44" t="str">
        <x:v>نشرة دورية</x:v>
      </x:c>
      <x:c r="AB44" t="str">
        <x:v>2014</x:v>
      </x:c>
    </x:row>
    <x:row r="45">
      <x:c r="A45" s="24" t="str">
        <x:v>SRC-WB-FINDEX-001</x:v>
      </x:c>
      <x:c r="B45" s="24" t="str">
        <x:v>https://microdata.worldbank.org/catalog/5862</x:v>
      </x:c>
      <x:c r="C45" s="24" t="str"/>
      <x:c r="D45" s="24" t="str">
        <x:v>DS-FINDEX-META, DS-FINDEX-VARS, DS-FINDEX-WAVES, DS-FINDEX-RULES, DS-FINDEX-PANEL-CATALOG, DS-FINDEX-SUBGROUP-MATRIX, DS-FINDEX-DENOMINATOR-STRESS, DS-FINDEX-MICRODATA-GATE</x:v>
      </x:c>
      <x:c r="E45" s="24" t="n">
        <x:v>401</x:v>
      </x:c>
      <x:c r="F45" s="168" t="str">
        <x:v>Global Findex 2021 survey for Yemen: study YEM_2022_FINDEX_v01_M (fieldwork 7 November 2022 to 9 January 2023)</x:v>
      </x:c>
      <x:c r="G45" s="168" t="str">
        <x:v>World Bank</x:v>
      </x:c>
      <x:c r="H45" s="168"/>
      <x:c r="I45" s="168"/>
      <x:c r="J45" s="168"/>
      <x:c r="K45" s="168" t="str">
        <x:v>CITATION_CARD</x:v>
      </x:c>
      <x:c r="L45" s="168" t="str">
        <x:v>المؤشر العالمي للشمول المالي (Global Findex) 2021 — مسح اليمن: الدراسة YEM_2022_FINDEX_v01_M (العمل الميداني من 7 نوفمبر 2022 إلى 9 يناير 2023)</x:v>
      </x:c>
      <x:c r="M45" s="168"/>
      <x:c r="N45" s="168"/>
      <x:c r="O45" s="168"/>
      <x:c r="S45" t="str">
        <x:v>NOT_ASSESSED</x:v>
      </x:c>
      <x:c r="W45" t="str">
        <x:v>survey</x:v>
      </x:c>
      <x:c r="X45" t="str">
        <x:v>primary factual evidence</x:v>
      </x:c>
      <x:c r="Y45" t="str">
        <x:v>البنك الدولي</x:v>
      </x:c>
      <x:c r="Z45" t="str">
        <x:v>Survey dataset or indicator</x:v>
      </x:c>
      <x:c r="AA45" t="str">
        <x:v>مسح أو مؤشر</x:v>
      </x:c>
      <x:c r="AB45" t="str">
        <x:v>2023-05-19</x:v>
      </x:c>
    </x:row>
    <x:row r="46">
      <x:c r="A46" s="24" t="str">
        <x:v>SRC-WB-FINDEX-AGG-2022</x:v>
      </x:c>
      <x:c r="B46" s="24" t="str">
        <x:v>https://data.worldbank.org/indicator/FX.OWN.TOTL.ZS?locations=YE</x:v>
      </x:c>
      <x:c r="C46"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46" s="24" t="str">
        <x:v>DS-FINDEX-WAVES, DS-FINDEX-WB-OBS, DS-FINDEX-PANEL-CATALOG, DS-FINDEX-SUBGROUP-MATRIX, DS-FINDEX-ANALYTIC-SURFACES</x:v>
      </x:c>
      <x:c r="E46" s="24" t="n">
        <x:v>247</x:v>
      </x:c>
      <x:c r="F46" s="168" t="str">
        <x:v>Global Findex indicators for Yemen: account ownership, adults 15+, total and by group (World Bank data year 2022)</x:v>
      </x:c>
      <x:c r="G46" s="168" t="str">
        <x:v>World Bank</x:v>
      </x:c>
      <x:c r="H46" s="168"/>
      <x:c r="I46" s="168"/>
      <x:c r="J46" s="168"/>
      <x:c r="K46" s="168" t="str">
        <x:v>CITATION_CARD</x:v>
      </x:c>
      <x:c r="L46" s="168" t="str">
        <x:v>المؤشر العالمي للشمول المالي (Global Findex) — اليمن: امتلاك الحساب لدى البالغين بعمر 15 سنة فأكثر، إجمالًا وحسب الفئة (سنة البيانات لدى البنك الدولي: 2022)</x:v>
      </x:c>
      <x:c r="M46" s="168"/>
      <x:c r="N46" s="168"/>
      <x:c r="O46" s="168"/>
      <x:c r="S46" t="str">
        <x:v>NOT_ASSESSED</x:v>
      </x:c>
      <x:c r="W46" t="str">
        <x:v>dataset</x:v>
      </x:c>
      <x:c r="X46" t="str">
        <x:v>primary factual evidence</x:v>
      </x:c>
      <x:c r="Y46" t="str">
        <x:v>البنك الدولي</x:v>
      </x:c>
      <x:c r="Z46" t="str">
        <x:v>Survey dataset or indicator</x:v>
      </x:c>
      <x:c r="AA46" t="str">
        <x:v>مسح أو مؤشر</x:v>
      </x:c>
    </x:row>
    <x:row r="47">
      <x:c r="A47" s="24" t="str">
        <x:v>SRC-OECD-YEM-RESILIENCE-001</x:v>
      </x:c>
      <x:c r="B47" s="24" t="str">
        <x:v>https://doi.org/10.1787/81ed2898-en</x:v>
      </x:c>
      <x:c r="C47" s="24" t="str"/>
      <x:c r="D47" s="24" t="str">
        <x:v>DS-OECD-NARRATIVE, DS-OECD-POLICY, DS-SYSTEM-CONSEQ</x:v>
      </x:c>
      <x:c r="E47" s="24" t="n">
        <x:v>48</x:v>
      </x:c>
      <x:c r="F47" s="168" t="str">
        <x:v>Promoting Economic Resilience in Yemen (2026)</x:v>
      </x:c>
      <x:c r="G47" s="168" t="str">
        <x:v>OECD</x:v>
      </x:c>
      <x:c r="H47" s="168" t="str">
        <x:v>Yemen analytical literature and diagnostics</x:v>
      </x:c>
      <x:c r="I47"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47" s="168" t="str">
        <x:v>An OECD synthesis does not replace the underlying Yemen datasets or regulator records, establish current provider operation, or prove causal effects on financial inclusion.</x:v>
      </x:c>
      <x:c r="K47" s="168" t="str">
        <x:v>FULL_PUBLIC_CARD</x:v>
      </x:c>
      <x:c r="L47" s="168" t="str">
        <x:v>تعزيز المرونة الاقتصادية في اليمن (2026)</x:v>
      </x:c>
      <x:c r="M47" s="168" t="str">
        <x:v>الأدبيات والتحليلات الخاصة باليمن</x:v>
      </x:c>
      <x:c r="N47"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الأدلة المقاسة وفي تحديد الأسئلة التي يجب التحقق منها بالرجوع إلى المصدر الأولي.</x:v>
      </x:c>
      <x:c r="O47" s="168" t="str">
        <x:v>لا يحل تحليل منظمة التعاون والتنمية في الميدان الاقتصادي محل مجموعات البيانات اليمنية أو سجلات الجهات التنظيمية الأصلية، ولا يثبت حالة التشغيل الحالية لمقدمي الخدمات أو آثارًا سببية على الشمول المالي.</x:v>
      </x:c>
      <x:c r="S47" t="str">
        <x:v>NOT_ASSESSED</x:v>
      </x:c>
      <x:c r="Y47" t="str">
        <x:v>منظمة التعاون الاقتصادي والتنمية</x:v>
      </x:c>
      <x:c r="Z47" t="str">
        <x:v>Research or policy paper</x:v>
      </x:c>
      <x:c r="AA47" t="str">
        <x:v>ورقة بحثية أو سياساتية</x:v>
      </x:c>
      <x:c r="AB47" t="str">
        <x:v>2026</x:v>
      </x:c>
    </x:row>
    <x:row r="48">
      <x:c r="A48" s="24" t="str">
        <x:v>SRC-OCHA-FTS-YEM-2026-001</x:v>
      </x:c>
      <x:c r="B48" s="24" t="str">
        <x:v>https://fts.unocha.org/countries/248/flows/2026</x:v>
      </x:c>
      <x:c r="C48" s="24" t="str"/>
      <x:c r="D48" s="24" t="str">
        <x:v>DS-OCHA-FTS-2026, DS-OCHA-LINKS</x:v>
      </x:c>
      <x:c r="E48" s="24" t="n">
        <x:v>77</x:v>
      </x:c>
      <x:c r="F48" s="168" t="str">
        <x:v>Financial Tracking Service: Yemen funding flows, 2026 (snapshot of 7 September 2026)</x:v>
      </x:c>
      <x:c r="G48" s="168" t="str">
        <x:v>UN OCHA</x:v>
      </x:c>
      <x:c r="H48" s="168"/>
      <x:c r="I48" s="168"/>
      <x:c r="J48" s="168"/>
      <x:c r="K48" s="168" t="str">
        <x:v>CITATION_CARD</x:v>
      </x:c>
      <x:c r="L48" s="168" t="str">
        <x:v>خدمة تتبع التمويل (FTS): تدفقات التمويل إلى اليمن لعام 2026 (لقطة بتاريخ 7 سبتمبر 2026)</x:v>
      </x:c>
      <x:c r="M48" s="168"/>
      <x:c r="N48" s="168"/>
      <x:c r="O48" s="168"/>
      <x:c r="S48" t="str">
        <x:v>NOT_ASSESSED</x:v>
      </x:c>
      <x:c r="Y48" t="str">
        <x:v>مكتب الأمم المتحدة لتنسيق الشؤون الإنسانية</x:v>
      </x:c>
      <x:c r="Z48" t="str">
        <x:v>Database or web interface</x:v>
      </x:c>
      <x:c r="AA48" t="str">
        <x:v>قاعدة بيانات أو واجهة إلكترونية</x:v>
      </x:c>
    </x:row>
    <x:row r="49">
      <x:c r="A49" s="24" t="str">
        <x:v>SRC-WB-YEM-MFI-2004-001</x:v>
      </x:c>
      <x:c r="B49" s="24" t="str">
        <x:v>https://documents1.worldbank.org/curated/en/494591468320937438/pdf/925610BRI0Box30e0for0Small0Business.pdf</x:v>
      </x:c>
      <x:c r="C49" s="24" t="str"/>
      <x:c r="D49" s="24" t="str">
        <x:v>DS-WB2004-NARR, DS-WB2004-CASES, DS-WB2004-CHRON, DS-WB2004-CONTROLS</x:v>
      </x:c>
      <x:c r="E49" s="24" t="n">
        <x:v>18</x:v>
      </x:c>
      <x:c r="F49" s="168" t="str">
        <x:v>Yemen: Microfinance for Small Business (3 May 2004)</x:v>
      </x:c>
      <x:c r="G49" s="168" t="str">
        <x:v>World Bank</x:v>
      </x:c>
      <x:c r="H49" s="168"/>
      <x:c r="I49" s="168"/>
      <x:c r="J49" s="168"/>
      <x:c r="K49" s="168" t="str">
        <x:v>CITATION_CARD</x:v>
      </x:c>
      <x:c r="L49" s="168" t="str">
        <x:v>اليمن: التمويل الأصغر للمنشآت الصغيرة (3 مايو 2004)</x:v>
      </x:c>
      <x:c r="M49" s="168"/>
      <x:c r="N49" s="168"/>
      <x:c r="O49" s="168"/>
      <x:c r="S49" t="str">
        <x:v>NOT_ASSESSED</x:v>
      </x:c>
      <x:c r="Y49" t="str">
        <x:v>البنك الدولي</x:v>
      </x:c>
      <x:c r="Z49" t="str">
        <x:v>News release</x:v>
      </x:c>
      <x:c r="AA49" t="str">
        <x:v>بيان صحفي</x:v>
      </x:c>
      <x:c r="AB49" t="str">
        <x:v>2004-05-03</x:v>
      </x:c>
    </x:row>
    <x:row r="50">
      <x:c r="A50" s="24" t="str">
        <x:v>SRC-AJMBFS-CBY-FI-2025-001</x:v>
      </x:c>
      <x:c r="B50" s="24" t="str">
        <x:v>https://ojs.aambfsye.org/index.php/arab-Journal/article/view/18</x:v>
      </x:c>
      <x:c r="C50" s="24" t="str">
        <x:v>["https://doi.org/10.59559/ajmbfs.1.1.4"]</x:v>
      </x:c>
      <x:c r="D50" s="24" t="str">
        <x:v>DS-LIT-CBY-FI,DS-PRIMARY-POINTERS</x:v>
      </x:c>
      <x:c r="E50" s="24" t="n">
        <x:v>10</x:v>
      </x:c>
      <x:c r="F50" s="168" t="str">
        <x:v>The Impact of the Efforts and Measures of the Yemeni Central Bank on Promoting Financial Inclusion in Yemen (April 2025)</x:v>
      </x:c>
      <x:c r="G50" s="168" t="str">
        <x:v>Arab Journal of Management, Banking, and Financial Studies</x:v>
      </x:c>
      <x:c r="H50" s="168"/>
      <x:c r="I50" s="168"/>
      <x:c r="J50" s="168"/>
      <x:c r="K50" s="168" t="str">
        <x:v>CITATION_CARD</x:v>
      </x:c>
      <x:c r="L50" s="168" t="str">
        <x:v>أثر جهود وإجراءات البنك المركزي اليمني في تعزيز الشمول المالي في اليمن (أبريل 2025)</x:v>
      </x:c>
      <x:c r="M50" s="168"/>
      <x:c r="N50" s="168"/>
      <x:c r="O50" s="168"/>
      <x:c r="S50" t="str">
        <x:v>NOT_ASSESSED</x:v>
      </x:c>
      <x:c r="Y50" t="str">
        <x:v>المجلة العربية للإدارة والدراسات المصرفية والمالية</x:v>
      </x:c>
      <x:c r="Z50" t="str">
        <x:v>Research or policy paper</x:v>
      </x:c>
      <x:c r="AA50" t="str">
        <x:v>ورقة بحثية أو سياساتية</x:v>
      </x:c>
      <x:c r="AB50" t="str">
        <x:v>2025-04-27</x:v>
      </x:c>
    </x:row>
    <x:row r="51">
      <x:c r="A51" s="24" t="str">
        <x:v>SRC-KFW-RMMV-2023-001</x:v>
      </x:c>
      <x:c r="B51" s="24" t="str">
        <x:v>https://www.kfw-entwicklungsbank.de/Service/RMMV-conference-2023/</x:v>
      </x:c>
      <x:c r="C51" s="24" t="str">
        <x:v>["https://www.kfw-entwicklungsbank.de/PDF/Entwicklungsfinanzierung/RMMV/Booklet-of-RMMV-Service-Providers.pdf"]</x:v>
      </x:c>
      <x:c r="D51" s="24" t="str">
        <x:v>DS-CONTRADICTIONS</x:v>
      </x:c>
      <x:c r="E51" s="24" t="n">
        <x:v>1</x:v>
      </x:c>
      <x:c r="F51" s="168" t="str">
        <x:v>Interactive Conference on Remote Management, Monitoring and Verification (RMMV) and booklet of RMMV tools and service providers (8–9 February 2023)</x:v>
      </x:c>
      <x:c r="G51" s="168" t="str">
        <x:v>KfW Development Bank</x:v>
      </x:c>
      <x:c r="H51" s="168"/>
      <x:c r="I51" s="168"/>
      <x:c r="J51" s="168"/>
      <x:c r="K51" s="168" t="str">
        <x:v>CITATION_CARD</x:v>
      </x:c>
      <x:c r="L51" s="168" t="str">
        <x:v>المؤتمر التفاعلي حول الإدارة والرصد والتحقق عن بُعد (RMMV) وكتيّب أدوات RMMV ومقدمي خدماتها (8–9 فبراير 2023)</x:v>
      </x:c>
      <x:c r="M51" s="168"/>
      <x:c r="N51" s="168"/>
      <x:c r="O51" s="168"/>
      <x:c r="S51" t="str">
        <x:v>NOT_ASSESSED</x:v>
      </x:c>
      <x:c r="Y51" t="str">
        <x:v>بنك التنمية الألماني KfW</x:v>
      </x:c>
      <x:c r="Z51" t="str">
        <x:v>Event or programme page</x:v>
      </x:c>
      <x:c r="AA51" t="str">
        <x:v>صفحة فعالية أو برنامج</x:v>
      </x:c>
    </x:row>
    <x:row r="52">
      <x:c r="A52" s="24" t="str">
        <x:v>SRC-CBY-GMW-2023-001</x:v>
      </x:c>
      <x:c r="B52" s="24" t="str">
        <x:v>https://www.cby-ye.com/news/481</x:v>
      </x:c>
      <x:c r="C52" s="24" t="str"/>
      <x:c r="D52" s="24" t="str">
        <x:v>DS-PRIMARY-AUTHORITY, DS-EVIDENCE-PASSPORTS</x:v>
      </x:c>
      <x:c r="E52" s="24" t="n">
        <x:v>2</x:v>
      </x:c>
      <x:c r="F52" s="168" t="str">
        <x:v>Global Money Week 2023: launch and activity programme (20–26 March 2023)</x:v>
      </x:c>
      <x:c r="G52" s="168" t="str">
        <x:v>Central Bank of Yemen — Aden</x:v>
      </x:c>
      <x:c r="H52" s="168"/>
      <x:c r="I52" s="168"/>
      <x:c r="J52" s="168"/>
      <x:c r="K52" s="168" t="str">
        <x:v>CITATION_CARD</x:v>
      </x:c>
      <x:c r="L52" s="168" t="str">
        <x:v>الأسبوع العالمي للمال 2023: الإطلاق وبرنامج الأنشطة (20–26 مارس 2023)</x:v>
      </x:c>
      <x:c r="M52" s="168"/>
      <x:c r="N52" s="168"/>
      <x:c r="O52" s="168"/>
      <x:c r="S52" t="str">
        <x:v>NOT_ASSESSED</x:v>
      </x:c>
      <x:c r="Y52" t="str">
        <x:v>البنك المركزي اليمني – عدن</x:v>
      </x:c>
      <x:c r="Z52" t="str">
        <x:v>News release</x:v>
      </x:c>
      <x:c r="AA52" t="str">
        <x:v>بيان صحفي</x:v>
      </x:c>
    </x:row>
    <x:row r="53">
      <x:c r="A53" s="24" t="str">
        <x:v>SRC-CBY-GMW-2024-001</x:v>
      </x:c>
      <x:c r="B53" s="24" t="str">
        <x:v>https://cby-ye.com/news/648</x:v>
      </x:c>
      <x:c r="C53" s="24" t="str"/>
      <x:c r="D53" s="24" t="str">
        <x:v>DS-PRIMARY-AUTHORITY, DS-EVIDENCE-PASSPORTS</x:v>
      </x:c>
      <x:c r="E53" s="24" t="n">
        <x:v>2</x:v>
      </x:c>
      <x:c r="F53" s="168" t="str">
        <x:v>Launch of Global Money Week 2024 (18 March 2024)</x:v>
      </x:c>
      <x:c r="G53" s="168" t="str">
        <x:v>Central Bank of Yemen — Aden</x:v>
      </x:c>
      <x:c r="H53" s="168"/>
      <x:c r="I53" s="168"/>
      <x:c r="J53" s="168"/>
      <x:c r="K53" s="168" t="str">
        <x:v>CITATION_CARD</x:v>
      </x:c>
      <x:c r="L53" s="168" t="str">
        <x:v>إطلاق الأسبوع العالمي للمال 2024 (18 مارس 2024)</x:v>
      </x:c>
      <x:c r="M53" s="168"/>
      <x:c r="N53" s="168"/>
      <x:c r="O53" s="168"/>
      <x:c r="S53" t="str">
        <x:v>NOT_ASSESSED</x:v>
      </x:c>
      <x:c r="Y53" t="str">
        <x:v>البنك المركزي اليمني – عدن</x:v>
      </x:c>
      <x:c r="Z53" t="str">
        <x:v>News release</x:v>
      </x:c>
      <x:c r="AA53" t="str">
        <x:v>بيان صحفي</x:v>
      </x:c>
    </x:row>
    <x:row r="54">
      <x:c r="A54" s="24" t="str">
        <x:v>SRC-CBY-GMW-2024-CLOSE-001</x:v>
      </x:c>
      <x:c r="B54" s="24" t="str">
        <x:v>https://cby-ye.com/news/660</x:v>
      </x:c>
      <x:c r="C54" s="24" t="str"/>
      <x:c r="D54" s="24" t="str">
        <x:v>DS-PRIMARY-AUTHORITY, DS-EVIDENCE-PASSPORTS</x:v>
      </x:c>
      <x:c r="E54" s="24" t="n">
        <x:v>2</x:v>
      </x:c>
      <x:c r="F54" s="168" t="str">
        <x:v>Conclusion of Global Money Week 2024 and recognition of participating institutions (3 April 2024)</x:v>
      </x:c>
      <x:c r="G54" s="168" t="str">
        <x:v>Central Bank of Yemen — Aden</x:v>
      </x:c>
      <x:c r="H54" s="168"/>
      <x:c r="I54" s="168"/>
      <x:c r="J54" s="168"/>
      <x:c r="K54" s="168" t="str">
        <x:v>CITATION_CARD</x:v>
      </x:c>
      <x:c r="L54" s="168" t="str">
        <x:v>اختتام الأسبوع العالمي للمال 2024 وتكريم الجهات المشاركة (3 أبريل 2024)</x:v>
      </x:c>
      <x:c r="M54" s="168"/>
      <x:c r="N54" s="168"/>
      <x:c r="O54" s="168"/>
      <x:c r="S54" t="str">
        <x:v>NOT_ASSESSED</x:v>
      </x:c>
      <x:c r="Y54" t="str">
        <x:v>البنك المركزي اليمني – عدن</x:v>
      </x:c>
      <x:c r="Z54" t="str">
        <x:v>News release</x:v>
      </x:c>
      <x:c r="AA54" t="str">
        <x:v>بيان صحفي</x:v>
      </x:c>
    </x:row>
    <x:row r="55">
      <x:c r="A55" s="24" t="str">
        <x:v>SRC-CBY-GMW-2025-001</x:v>
      </x:c>
      <x:c r="B55" s="24" t="str">
        <x:v>https://cby-ye.com/news/790</x:v>
      </x:c>
      <x:c r="C55" s="24" t="str"/>
      <x:c r="D55" s="24" t="str">
        <x:v>DS-PRIMARY-AUTHORITY, DS-EVIDENCE-PASSPORTS</x:v>
      </x:c>
      <x:c r="E55" s="24" t="n">
        <x:v>2</x:v>
      </x:c>
      <x:c r="F55" s="168" t="str">
        <x:v>Global Money Week 2025: launch and programme (16–22 March 2025)</x:v>
      </x:c>
      <x:c r="G55" s="168" t="str">
        <x:v>Central Bank of Yemen — Aden</x:v>
      </x:c>
      <x:c r="H55" s="168"/>
      <x:c r="I55" s="168"/>
      <x:c r="J55" s="168"/>
      <x:c r="K55" s="168" t="str">
        <x:v>CITATION_CARD</x:v>
      </x:c>
      <x:c r="L55" s="168" t="str">
        <x:v>الأسبوع العالمي للمال 2025: الإطلاق والبرنامج (16–22 مارس 2025)</x:v>
      </x:c>
      <x:c r="M55" s="168"/>
      <x:c r="N55" s="168"/>
      <x:c r="O55" s="168"/>
      <x:c r="S55" t="str">
        <x:v>NOT_ASSESSED</x:v>
      </x:c>
      <x:c r="Y55" t="str">
        <x:v>البنك المركزي اليمني – عدن</x:v>
      </x:c>
      <x:c r="Z55" t="str">
        <x:v>News release</x:v>
      </x:c>
      <x:c r="AA55" t="str">
        <x:v>بيان صحفي</x:v>
      </x:c>
    </x:row>
    <x:row r="56">
      <x:c r="A56" s="24" t="str">
        <x:v>SRC-CBY-FCP-INSTR-2023-001</x:v>
      </x:c>
      <x:c r="B56" s="24" t="str">
        <x:v>https://cby-ye.com/news/567</x:v>
      </x:c>
      <x:c r="C56" s="24" t="str">
        <x:v>["https://www.cby-ye.com/files/64e6f1e87e2a1.pdf"]</x:v>
      </x:c>
      <x:c r="D56" s="24" t="str">
        <x:v>DS-PRIMARY-AUTHORITY, DS-EVIDENCE-PASSPORTS, DS-REFORM-EVENTS</x:v>
      </x:c>
      <x:c r="E56" s="24" t="n">
        <x:v>3</x:v>
      </x:c>
      <x:c r="F56" s="168" t="str">
        <x:v>Regulatory Instructions for Financial Consumer Protection (issuance announced 28 August 2023)</x:v>
      </x:c>
      <x:c r="G56" s="168" t="str">
        <x:v>Central Bank of Yemen — Aden</x:v>
      </x:c>
      <x:c r="H56" s="168"/>
      <x:c r="I56" s="168"/>
      <x:c r="J56" s="168"/>
      <x:c r="K56" s="168" t="str">
        <x:v>CITATION_CARD</x:v>
      </x:c>
      <x:c r="L56" s="168" t="str">
        <x:v>التعليمات التنظيمية لحماية المستهلك المالي (أُعلن إصدارها في 28 أغسطس 2023)</x:v>
      </x:c>
      <x:c r="M56" s="168"/>
      <x:c r="N56" s="168"/>
      <x:c r="O56" s="168"/>
      <x:c r="S56" t="str">
        <x:v>NOT_ASSESSED</x:v>
      </x:c>
      <x:c r="W56" t="str">
        <x:v>instruction/circular</x:v>
      </x:c>
      <x:c r="Y56" t="str">
        <x:v>البنك المركزي اليمني – عدن</x:v>
      </x:c>
      <x:c r="Z56" t="str">
        <x:v>Circular or instruction</x:v>
      </x:c>
      <x:c r="AA56" t="str">
        <x:v>تعميم أو تعليمات</x:v>
      </x:c>
      <x:c r="AB56" t="str">
        <x:v>2023-08-28</x:v>
      </x:c>
    </x:row>
    <x:row r="57">
      <x:c r="A57" s="24" t="str">
        <x:v>SRC-CBY-FCP-AWARE-2024-001</x:v>
      </x:c>
      <x:c r="B57" s="24" t="str">
        <x:v>https://cby-ye.com/news/652</x:v>
      </x:c>
      <x:c r="C57" s="24" t="str"/>
      <x:c r="D57" s="24" t="str">
        <x:v>DS-PRIMARY-AUTHORITY</x:v>
      </x:c>
      <x:c r="E57" s="24" t="n">
        <x:v>1</x:v>
      </x:c>
      <x:c r="F57" s="168" t="str">
        <x:v>Awareness brochure 'Financial Consumer Protection in Yemen' issued during Global Money Week (23 March 2024)</x:v>
      </x:c>
      <x:c r="G57" s="168" t="str">
        <x:v>Central Bank of Yemen — Aden</x:v>
      </x:c>
      <x:c r="H57" s="168"/>
      <x:c r="I57" s="168"/>
      <x:c r="J57" s="168"/>
      <x:c r="K57" s="168" t="str">
        <x:v>CITATION_CARD</x:v>
      </x:c>
      <x:c r="L57" s="168" t="str">
        <x:v>إصدار الكتيّب التوعوي «حماية المستهلك المالي في اليمن» خلال الأسبوع العالمي للمال (23 مارس 2024)</x:v>
      </x:c>
      <x:c r="M57" s="168"/>
      <x:c r="N57" s="168"/>
      <x:c r="O57" s="168"/>
      <x:c r="S57" t="str">
        <x:v>NOT_ASSESSED</x:v>
      </x:c>
      <x:c r="Y57" t="str">
        <x:v>البنك المركزي اليمني – عدن</x:v>
      </x:c>
      <x:c r="Z57" t="str">
        <x:v>News release</x:v>
      </x:c>
      <x:c r="AA57" t="str">
        <x:v>بيان صحفي</x:v>
      </x:c>
    </x:row>
    <x:row r="58">
      <x:c r="A58" s="24" t="str">
        <x:v>SRC-CBY-PSP-RULES-2022-001</x:v>
      </x:c>
      <x:c r="B58" s="24" t="str">
        <x:v>https://cby-ye.com/files/632b0c240dc11.pdf</x:v>
      </x:c>
      <x:c r="C58" s="24" t="str">
        <x:v>["https://cby-ye.com/news/376"]</x:v>
      </x:c>
      <x:c r="D58" s="24" t="str">
        <x:v>DS-PRIMARY-AUTHORITY</x:v>
      </x:c>
      <x:c r="E58" s="24" t="n">
        <x:v>1</x:v>
      </x:c>
      <x:c r="F58" s="168" t="str">
        <x:v>Instructions governing payment service providers and payment system operators (14 September 2022)</x:v>
      </x:c>
      <x:c r="G58" s="168" t="str">
        <x:v>Central Bank of Yemen — Aden</x:v>
      </x:c>
      <x:c r="H58" s="168"/>
      <x:c r="I58" s="168"/>
      <x:c r="J58" s="168"/>
      <x:c r="K58" s="168" t="str">
        <x:v>CITATION_CARD</x:v>
      </x:c>
      <x:c r="L58" s="168" t="str">
        <x:v>تعليمات بشأن مقدمي خدمات الدفع ومشغلي أنظمة الدفع (14 سبتمبر 2022)</x:v>
      </x:c>
      <x:c r="M58" s="168"/>
      <x:c r="N58" s="168"/>
      <x:c r="O58" s="168"/>
      <x:c r="S58" t="str">
        <x:v>NOT_ASSESSED</x:v>
      </x:c>
      <x:c r="W58" t="str">
        <x:v>regulation</x:v>
      </x:c>
      <x:c r="Y58" t="str">
        <x:v>البنك المركزي اليمني – عدن</x:v>
      </x:c>
      <x:c r="Z58" t="str">
        <x:v>Regulation</x:v>
      </x:c>
      <x:c r="AA58" t="str">
        <x:v>لائحة تنظيمية</x:v>
      </x:c>
      <x:c r="AB58" t="str">
        <x:v>2022-09-14</x:v>
      </x:c>
    </x:row>
    <x:row r="59">
      <x:c r="A59" s="24" t="str">
        <x:v>SRC-CBY-PAY-BOARD-2026-001</x:v>
      </x:c>
      <x:c r="B59" s="24" t="str">
        <x:v>https://cby-ye.com/news/922</x:v>
      </x:c>
      <x:c r="C59" s="24" t="str"/>
      <x:c r="D59" s="24" t="str">
        <x:v>DS-PRIMARY-AUTHORITY, DS-REFORM-EVENTS</x:v>
      </x:c>
      <x:c r="E59" s="24" t="n">
        <x:v>2</x:v>
      </x:c>
      <x:c r="F59" s="168" t="str">
        <x:v>Board of Directors' decisions on a national QR standard, e-wallet interconnection and the fast payment system operator (29 March 2026)</x:v>
      </x:c>
      <x:c r="G59" s="168" t="str">
        <x:v>Central Bank of Yemen — Aden</x:v>
      </x:c>
      <x:c r="H59" s="168"/>
      <x:c r="I59" s="168"/>
      <x:c r="J59" s="168"/>
      <x:c r="K59" s="168" t="str">
        <x:v>CITATION_CARD</x:v>
      </x:c>
      <x:c r="L59" s="168" t="str">
        <x:v>قرارات مجلس الإدارة بشأن معيار QR وطني وربط المحافظ الإلكترونية والشركة المشغّلة لنظام الدفع السريع (29 مارس 2026)</x:v>
      </x:c>
      <x:c r="M59" s="168"/>
      <x:c r="N59" s="168"/>
      <x:c r="O59" s="168"/>
      <x:c r="S59" t="str">
        <x:v>NOT_ASSESSED</x:v>
      </x:c>
      <x:c r="Y59" t="str">
        <x:v>البنك المركزي اليمني – عدن</x:v>
      </x:c>
      <x:c r="Z59" t="str">
        <x:v>News release</x:v>
      </x:c>
      <x:c r="AA59" t="str">
        <x:v>بيان صحفي</x:v>
      </x:c>
    </x:row>
    <x:row r="60">
      <x:c r="A60" s="24" t="str">
        <x:v>SRC-CBY-FCP-BROCHURE-2024-001</x:v>
      </x:c>
      <x:c r="B60" s="24" t="str">
        <x:v>https://cby-ye.com/files/65fe1e8d2ec08.pdf</x:v>
      </x:c>
      <x:c r="C60" s="24" t="str">
        <x:v>["https://cby-ye.com/news/652"]</x:v>
      </x:c>
      <x:c r="D60" s="24" t="str">
        <x:v>DS-FCP-ARCH, DS-PRIMARY-AUTHORITY, DS-EVIDENCE-PASSPORTS</x:v>
      </x:c>
      <x:c r="E60" s="24" t="n">
        <x:v>11</x:v>
      </x:c>
      <x:c r="F60" s="168" t="str">
        <x:v>Financial Consumer Protection in Yemen (awareness brochure, 23 March 2024)</x:v>
      </x:c>
      <x:c r="G60" s="168" t="str">
        <x:v>Central Bank of Yemen — Aden</x:v>
      </x:c>
      <x:c r="H60" s="168"/>
      <x:c r="I60" s="168"/>
      <x:c r="J60" s="168"/>
      <x:c r="K60" s="168" t="str">
        <x:v>CITATION_CARD</x:v>
      </x:c>
      <x:c r="L60" s="168" t="str">
        <x:v>حماية المستهلك المالي في اليمن (كتيّب توعوي، 23 مارس 2024)</x:v>
      </x:c>
      <x:c r="M60" s="168"/>
      <x:c r="N60" s="168"/>
      <x:c r="O60" s="168"/>
      <x:c r="S60" t="str">
        <x:v>NOT_ASSESSED</x:v>
      </x:c>
      <x:c r="Y60" t="str">
        <x:v>البنك المركزي اليمني – عدن</x:v>
      </x:c>
      <x:c r="Z60" t="str">
        <x:v>Guidance or awareness material</x:v>
      </x:c>
      <x:c r="AA60" t="str">
        <x:v>مواد إرشادية أو توعوية</x:v>
      </x:c>
      <x:c r="AB60" t="str">
        <x:v>2024-03-23</x:v>
      </x:c>
    </x:row>
    <x:row r="61">
      <x:c r="A61" s="24" t="str">
        <x:v>SRC-CBY-EMONEY-2023-001</x:v>
      </x:c>
      <x:c r="B61" s="24" t="str">
        <x:v>https://cby-ye.com/files/64dde85e0a84f.pdf</x:v>
      </x:c>
      <x:c r="C61" s="24" t="str"/>
      <x:c r="D61" s="24" t="str">
        <x:v>DS-EMONEY-REG, DS-PRIMARY-AUTHORITY, DS-REFORM-EVENTS</x:v>
      </x:c>
      <x:c r="E61" s="24" t="n">
        <x:v>4</x:v>
      </x:c>
      <x:c r="F61" s="168" t="str">
        <x:v>Instructions on mobile e-money services provided by non-bank financial institutions (9 August 2023)</x:v>
      </x:c>
      <x:c r="G61" s="168" t="str">
        <x:v>Central Bank of Yemen — Aden</x:v>
      </x:c>
      <x:c r="H61" s="168"/>
      <x:c r="I61" s="168"/>
      <x:c r="J61" s="168"/>
      <x:c r="K61" s="168" t="str">
        <x:v>CITATION_CARD</x:v>
      </x:c>
      <x:c r="L61" s="168" t="str">
        <x:v>تعليمات خدمات النقود الإلكترونية عبر الهاتف المحمول التي تقدمها المؤسسات المالية غير المصرفية (9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2023-08-09</x:v>
      </x:c>
    </x:row>
    <x:row r="62">
      <x:c r="A62" s="24" t="str">
        <x:v>SRC-CBY-EMONEY-AMD-2025-001</x:v>
      </x:c>
      <x:c r="B62" s="24" t="str">
        <x:v>https://cby-ye.com/files/6875fc55a253e.pdf</x:v>
      </x:c>
      <x:c r="C62" s="24" t="str"/>
      <x:c r="D62" s="24" t="str">
        <x:v>DS-EMONEY-REG, DS-PRIMARY-AUTHORITY, DS-REFORM-EVENTS</x:v>
      </x:c>
      <x:c r="E62" s="24" t="n">
        <x:v>9</x:v>
      </x:c>
      <x:c r="F62" s="168" t="str">
        <x:v>Governor's Decision No. 4 of 2025 amending the mobile e-money instructions (9 July 2025)</x:v>
      </x:c>
      <x:c r="G62" s="168" t="str">
        <x:v>Central Bank of Yemen — Aden</x:v>
      </x:c>
      <x:c r="H62" s="168"/>
      <x:c r="I62" s="168"/>
      <x:c r="J62" s="168"/>
      <x:c r="K62" s="168" t="str">
        <x:v>CITATION_CARD</x:v>
      </x:c>
      <x:c r="L62" s="168" t="str">
        <x:v>قرار المحافظ رقم (4) لسنة 2025 بتعديل تعليمات خدمات النقود الإلكترونية عبر الهاتف المحمول (9 يوليو 2025)</x:v>
      </x:c>
      <x:c r="M62" s="168"/>
      <x:c r="N62" s="168"/>
      <x:c r="O62" s="168"/>
      <x:c r="S62" t="str">
        <x:v>NOT_ASSESSED</x:v>
      </x:c>
      <x:c r="W62" t="str">
        <x:v>decision/enforcement</x:v>
      </x:c>
      <x:c r="Y62" t="str">
        <x:v>البنك المركزي اليمني – عدن</x:v>
      </x:c>
      <x:c r="Z62" t="str">
        <x:v>Regulatory decision</x:v>
      </x:c>
      <x:c r="AA62" t="str">
        <x:v>قرار تنظيمي</x:v>
      </x:c>
      <x:c r="AB62" t="str">
        <x:v>2025-07-09</x:v>
      </x:c>
    </x:row>
    <x:row r="63">
      <x:c r="A63" s="24" t="str">
        <x:v>SRC-CBY-DIGITAL-EXPO-2026-001</x:v>
      </x:c>
      <x:c r="B63" s="24" t="str">
        <x:v>https://cby-ye.com/news/915</x:v>
      </x:c>
      <x:c r="C63" s="24" t="str"/>
      <x:c r="D63" s="24" t="str">
        <x:v>DS-PRIMARY-AUTHORITY,DS-REFORM-EVENTS,DS-STRATEGIC-INSIGHTS,DS-WALLET-COUNT-RECON</x:v>
      </x:c>
      <x:c r="E63" s="24" t="n">
        <x:v>4</x:v>
      </x:c>
      <x:c r="F63" s="168" t="str">
        <x:v>Digital payments exhibition, with remarks on the unified transfer network (22 January 2026)</x:v>
      </x:c>
      <x:c r="G63" s="168" t="str">
        <x:v>Central Bank of Yemen — Aden</x:v>
      </x:c>
      <x:c r="H63" s="168"/>
      <x:c r="I63" s="168"/>
      <x:c r="J63" s="168"/>
      <x:c r="K63" s="168" t="str">
        <x:v>CITATION_CARD</x:v>
      </x:c>
      <x:c r="L63" s="168" t="str">
        <x:v>معرض المدفوعات الرقمية، مع تصريحات بشأن الشبكة الموحدة للحوالات (22 يناير 2026)</x:v>
      </x:c>
      <x:c r="M63" s="168"/>
      <x:c r="N63" s="168"/>
      <x:c r="O63" s="168"/>
      <x:c r="S63" t="str">
        <x:v>NOT_ASSESSED</x:v>
      </x:c>
      <x:c r="Y63" t="str">
        <x:v>البنك المركزي اليمني – عدن</x:v>
      </x:c>
      <x:c r="Z63" t="str">
        <x:v>News release</x:v>
      </x:c>
      <x:c r="AA63" t="str">
        <x:v>بيان صحفي</x:v>
      </x:c>
    </x:row>
    <x:row r="64">
      <x:c r="A64" s="24" t="str">
        <x:v>SRC-CBY-UNLICENSED-EWALLET-2024-001</x:v>
      </x:c>
      <x:c r="B64" s="24" t="str">
        <x:v>https://cby-ye.com/files/667c32dabd223.pdf</x:v>
      </x:c>
      <x:c r="C64" s="24" t="str">
        <x:v>["https://cby-ye.com/news/703"]</x:v>
      </x:c>
      <x:c r="D64" s="24" t="str">
        <x:v>DS-PROVIDER-NEGATIVE-AUTHORITY,DS-PROVIDER-OBSERVABILITY,DS-PROVIDER-STATUS-EVENTS</x:v>
      </x:c>
      <x:c r="E64" s="24" t="n">
        <x:v>13</x:v>
      </x:c>
      <x:c r="F64" s="168" t="str">
        <x:v>Circular prohibiting dealings with unlicensed electronic wallets and payment services (26 June 2024)</x:v>
      </x:c>
      <x:c r="G64" s="168" t="str">
        <x:v>Central Bank of Yemen — Aden</x:v>
      </x:c>
      <x:c r="H64" s="168"/>
      <x:c r="I64" s="168"/>
      <x:c r="J64" s="168"/>
      <x:c r="K64" s="168" t="str">
        <x:v>CITATION_CARD</x:v>
      </x:c>
      <x:c r="L64" s="168" t="str">
        <x:v>تعميم بحظر التعامل مع محافظ إلكترونية وخدمات دفع إلكتروني غير مرخصة (26 يونيو 2024)</x:v>
      </x:c>
      <x:c r="M64" s="168"/>
      <x:c r="N64" s="168"/>
      <x:c r="O64" s="168"/>
      <x:c r="S64" t="str">
        <x:v>NOT_ASSESSED</x:v>
      </x:c>
      <x:c r="W64" t="str">
        <x:v>provider-status instrument</x:v>
      </x:c>
      <x:c r="X64" t="str">
        <x:v>status event</x:v>
      </x:c>
      <x:c r="Y64" t="str">
        <x:v>البنك المركزي اليمني – عدن</x:v>
      </x:c>
      <x:c r="Z64" t="str">
        <x:v>Circular or instruction</x:v>
      </x:c>
      <x:c r="AA64" t="str">
        <x:v>تعميم أو تعليمات</x:v>
      </x:c>
      <x:c r="AB64" t="str">
        <x:v>2024-06-26</x:v>
      </x:c>
    </x:row>
    <x:row r="65">
      <x:c r="A65" s="24" t="str">
        <x:v>SRC-CBY-EXCH-LIST-2025-001</x:v>
      </x:c>
      <x:c r="B65" s="24" t="str">
        <x:v>https://cby-ye.com/files/69561aafe8942.pdf</x:v>
      </x:c>
      <x:c r="C65" s="24" t="str"/>
      <x:c r="D65" s="24" t="str">
        <x:v>DS-PROVIDER-BASELINE-2025,DS-PROVIDER-OBSERVABILITY</x:v>
      </x:c>
      <x:c r="E65" s="24" t="n">
        <x:v>4</x:v>
      </x:c>
      <x:c r="F65" s="168" t="str">
        <x:v>Roster of exchange companies, exchange establishments and remittance agents (2025)</x:v>
      </x:c>
      <x:c r="G65" s="168" t="str">
        <x:v>Central Bank of Yemen — Aden</x:v>
      </x:c>
      <x:c r="H65" s="168"/>
      <x:c r="I65" s="168"/>
      <x:c r="J65" s="168"/>
      <x:c r="K65" s="168" t="str">
        <x:v>CITATION_CARD</x:v>
      </x:c>
      <x:c r="L65" s="168" t="str">
        <x:v>قائمة شركات ومنشآت الصرافة ووكلاء الحوالات (2025)</x:v>
      </x:c>
      <x:c r="M65" s="168"/>
      <x:c r="N65" s="168"/>
      <x:c r="O65" s="168"/>
      <x:c r="S65" t="str">
        <x:v>NOT_ASSESSED</x:v>
      </x:c>
      <x:c r="W65" t="str">
        <x:v>provider-status instrument</x:v>
      </x:c>
      <x:c r="X65" t="str">
        <x:v>primary factual evidence</x:v>
      </x:c>
      <x:c r="Y65" t="str">
        <x:v>البنك المركزي اليمني – عدن</x:v>
      </x:c>
      <x:c r="Z65" t="str">
        <x:v>Official list or roster</x:v>
      </x:c>
      <x:c r="AA65" t="str">
        <x:v>قائمة رسمية</x:v>
      </x:c>
    </x:row>
    <x:row r="66">
      <x:c r="A66" s="24" t="str">
        <x:v>SRC-CBY-BANK-NETWORK-MTG-2026-001</x:v>
      </x:c>
      <x:c r="B66" s="24" t="str">
        <x:v>https://cby-ye.com/news/946</x:v>
      </x:c>
      <x:c r="C66" s="24" t="str"/>
      <x:c r="D66" s="24" t="str">
        <x:v>DS-PAYMENT-CURRENTNESS,DS-REFORM-EVENTS</x:v>
      </x:c>
      <x:c r="E66" s="24" t="n">
        <x:v>2</x:v>
      </x:c>
      <x:c r="F66" s="168" t="str">
        <x:v>Meeting on completing integration among banks and financial-service providers through the unified network (17 June 2026)</x:v>
      </x:c>
      <x:c r="G66" s="168" t="str">
        <x:v>Central Bank of Yemen — Aden</x:v>
      </x:c>
      <x:c r="H66" s="168"/>
      <x:c r="I66" s="168"/>
      <x:c r="J66" s="168"/>
      <x:c r="K66" s="168" t="str">
        <x:v>CITATION_CARD</x:v>
      </x:c>
      <x:c r="L66" s="168" t="str">
        <x:v>اجتماع بشأن استكمال الربط بين البنوك ومقدمي الخدمات المالية عبر الشبكة الموحدة (17 يونيو 2026)</x:v>
      </x:c>
      <x:c r="M66" s="168"/>
      <x:c r="N66" s="168"/>
      <x:c r="O66" s="168"/>
      <x:c r="S66" t="str">
        <x:v>NOT_ASSESSED</x:v>
      </x:c>
      <x:c r="Y66" t="str">
        <x:v>البنك المركزي اليمني – عدن</x:v>
      </x:c>
      <x:c r="Z66" t="str">
        <x:v>News release</x:v>
      </x:c>
      <x:c r="AA66" t="str">
        <x:v>بيان صحفي</x:v>
      </x:c>
    </x:row>
    <x:row r="67">
      <x:c r="A67" s="24" t="str">
        <x:v>SRC-CBY-UNIFIED-NET-2026-001</x:v>
      </x:c>
      <x:c r="B67" s="24" t="str">
        <x:v>https://cby-ye.com/news/957</x:v>
      </x:c>
      <x:c r="C67" s="24" t="str"/>
      <x:c r="D67" s="24" t="str">
        <x:v>DS-PAYMENT-CURRENTNESS,DS-REFORM-EVENTS</x:v>
      </x:c>
      <x:c r="E67" s="24" t="n">
        <x:v>2</x:v>
      </x:c>
      <x:c r="F67" s="168" t="str">
        <x:v>Unified Money Network company: restructuring, capital increase and a wider bank shareholder base (27 July 2026)</x:v>
      </x:c>
      <x:c r="G67" s="168" t="str">
        <x:v>Central Bank of Yemen — Aden</x:v>
      </x:c>
      <x:c r="H67" s="168"/>
      <x:c r="I67" s="168"/>
      <x:c r="J67" s="168"/>
      <x:c r="K67" s="168" t="str">
        <x:v>CITATION_CARD</x:v>
      </x:c>
      <x:c r="L67" s="168" t="str">
        <x:v>شركة الشبكة الموحدة للأموال: إعادة الهيكلة وزيادة رأس المال وتوسيع قاعدة البنوك المساهمة (27 يوليو 2026)</x:v>
      </x:c>
      <x:c r="M67" s="168"/>
      <x:c r="N67" s="168"/>
      <x:c r="O67" s="168"/>
      <x:c r="S67" t="str">
        <x:v>NOT_ASSESSED</x:v>
      </x:c>
      <x:c r="Y67" t="str">
        <x:v>البنك المركزي اليمني – عدن</x:v>
      </x:c>
      <x:c r="Z67" t="str">
        <x:v>News release</x:v>
      </x:c>
      <x:c r="AA67" t="str">
        <x:v>بيان صحفي</x:v>
      </x:c>
    </x:row>
    <x:row r="68">
      <x:c r="A68" s="24" t="str">
        <x:v>SRC-CBY-YPCC-FOUND-2026-001</x:v>
      </x:c>
      <x:c r="B68" s="24" t="str">
        <x:v>https://cby-ye.com/news/961</x:v>
      </x:c>
      <x:c r="C68" s="24" t="str"/>
      <x:c r="D68" s="24" t="str">
        <x:v>DS-PAYMENT-CURRENTNESS,DS-REFORM-EVENTS</x:v>
      </x:c>
      <x:c r="E68" s="24" t="n">
        <x:v>2</x:v>
      </x:c>
      <x:c r="F68" s="168" t="str">
        <x:v>Founding general assembly of the Yemeni Payments and Clearing Company (3 August 2026)</x:v>
      </x:c>
      <x:c r="G68" s="168" t="str">
        <x:v>Central Bank of Yemen — Aden</x:v>
      </x:c>
      <x:c r="H68" s="168"/>
      <x:c r="I68" s="168"/>
      <x:c r="J68" s="168"/>
      <x:c r="K68" s="168" t="str">
        <x:v>CITATION_CARD</x:v>
      </x:c>
      <x:c r="L68" s="168" t="str">
        <x:v>الجمعية التأسيسية للشركة اليمنية للمدفوعات والمقاصة (3 أغسطس 2026)</x:v>
      </x:c>
      <x:c r="M68" s="168"/>
      <x:c r="N68" s="168"/>
      <x:c r="O68" s="168"/>
      <x:c r="S68" t="str">
        <x:v>NOT_ASSESSED</x:v>
      </x:c>
      <x:c r="Y68" t="str">
        <x:v>البنك المركزي اليمني – عدن</x:v>
      </x:c>
      <x:c r="Z68" t="str">
        <x:v>News release</x:v>
      </x:c>
      <x:c r="AA68" t="str">
        <x:v>بيان صحفي</x:v>
      </x:c>
    </x:row>
    <x:row r="69">
      <x:c r="A69" s="24" t="str">
        <x:v>SRC-CBY-YPCC-BOARD-2026-001</x:v>
      </x:c>
      <x:c r="B69" s="24" t="str">
        <x:v>https://cby-ye.com/news/962</x:v>
      </x:c>
      <x:c r="C69" s="24" t="str"/>
      <x:c r="D69" s="24" t="str">
        <x:v>DS-PAYMENT-CURRENTNESS,DS-REFORM-EVENTS</x:v>
      </x:c>
      <x:c r="E69" s="24" t="n">
        <x:v>2</x:v>
      </x:c>
      <x:c r="F69" s="168" t="str">
        <x:v>First board meeting of the Yemeni Payments and Clearing Company (4 August 2026)</x:v>
      </x:c>
      <x:c r="G69" s="168" t="str">
        <x:v>Central Bank of Yemen — Aden</x:v>
      </x:c>
      <x:c r="H69" s="168"/>
      <x:c r="I69" s="168"/>
      <x:c r="J69" s="168"/>
      <x:c r="K69" s="168" t="str">
        <x:v>CITATION_CARD</x:v>
      </x:c>
      <x:c r="L69" s="168" t="str">
        <x:v>أول اجتماع لمجلس إدارة الشركة اليمنية للمدفوعات والمقاصة (4 أغسطس 2026)</x:v>
      </x:c>
      <x:c r="M69" s="168"/>
      <x:c r="N69" s="168"/>
      <x:c r="O69" s="168"/>
      <x:c r="S69" t="str">
        <x:v>NOT_ASSESSED</x:v>
      </x:c>
      <x:c r="Y69" t="str">
        <x:v>البنك المركزي اليمني – عدن</x:v>
      </x:c>
      <x:c r="Z69" t="str">
        <x:v>News release</x:v>
      </x:c>
      <x:c r="AA69" t="str">
        <x:v>بيان صحفي</x:v>
      </x:c>
    </x:row>
    <x:row r="70">
      <x:c r="A70" s="24" t="str">
        <x:v>SRC-CBY-POS-PUBLICATION-PAGE-2026-001</x:v>
      </x:c>
      <x:c r="B70" s="24" t="str">
        <x:v>https://english.cby-ye.com/pages/27</x:v>
      </x:c>
      <x:c r="C70" s="24" t="str">
        <x:v>["https://cby-ye.com/pages/11"]</x:v>
      </x:c>
      <x:c r="D70" s="24" t="str">
        <x:v>DS-PAYMENT-CURRENTNESS</x:v>
      </x:c>
      <x:c r="E70" s="24" t="n">
        <x:v>1</x:v>
      </x:c>
      <x:c r="F70" s="168" t="str">
        <x:v>Monthly Point of Sale Transactions: publication page (as checked on 26 September 2026)</x:v>
      </x:c>
      <x:c r="G70" s="168" t="str">
        <x:v>Central Bank of Yemen — Aden</x:v>
      </x:c>
      <x:c r="H70" s="168"/>
      <x:c r="I70" s="168"/>
      <x:c r="J70" s="168"/>
      <x:c r="K70" s="168" t="str">
        <x:v>CITATION_CARD</x:v>
      </x:c>
      <x:c r="L70" s="168" t="str">
        <x:v>معاملات نقاط البيع الشهرية: صفحة الإصدارات (كما اطُّلع عليها في 26 سبتمبر 2026)</x:v>
      </x:c>
      <x:c r="M70" s="168"/>
      <x:c r="N70" s="168"/>
      <x:c r="O70" s="168"/>
      <x:c r="S70" t="str">
        <x:v>NOT_ASSESSED</x:v>
      </x:c>
      <x:c r="V70" t="str">
        <x:v>2026-09-26</x:v>
      </x:c>
      <x:c r="Y70" t="str">
        <x:v>البنك المركزي اليمني – عدن</x:v>
      </x:c>
      <x:c r="Z70" t="str">
        <x:v>Web page</x:v>
      </x:c>
      <x:c r="AA70" t="str">
        <x:v>صفحة إلكترونية</x:v>
      </x:c>
    </x:row>
    <x:row r="71">
      <x:c r="A71" s="24" t="str">
        <x:v>SRC-SFD-HIST-2004-Q3-001</x:v>
      </x:c>
      <x:c r="B71" s="24" t="str">
        <x:v>https://www.sfd-yemen.org/uploads/issues/Newsletter-2004-Q3-20120331-111302.pdf</x:v>
      </x:c>
      <x:c r="C71" s="24" t="str"/>
      <x:c r="D71" s="24" t="str">
        <x:v>DS-MF-ORIGIN-CHRONOLOGY</x:v>
      </x:c>
      <x:c r="E71" s="24" t="n">
        <x:v>1</x:v>
      </x:c>
      <x:c r="F71" s="168" t="str">
        <x:v>Social Fund for Development (SFD) Newsletter (2004)</x:v>
      </x:c>
      <x:c r="G71" s="168" t="str">
        <x:v>Social Fund for Development (SFD)</x:v>
      </x:c>
      <x:c r="H71" s="168"/>
      <x:c r="I71" s="168"/>
      <x:c r="J71" s="168"/>
      <x:c r="K71" s="168" t="str">
        <x:v>CITATION_CARD</x:v>
      </x:c>
      <x:c r="L71" s="168" t="str">
        <x:v>النشرة الإخبارية للصندوق الاجتماعي للتنمية (2004)</x:v>
      </x:c>
      <x:c r="M71" s="168"/>
      <x:c r="N71" s="168"/>
      <x:c r="O71" s="168"/>
      <x:c r="S71" t="str">
        <x:v>NOT_ASSESSED</x:v>
      </x:c>
      <x:c r="Y71" t="str">
        <x:v>الصندوق الاجتماعي للتنمية</x:v>
      </x:c>
      <x:c r="Z71" t="str">
        <x:v>Newsletter</x:v>
      </x:c>
      <x:c r="AA71" t="str">
        <x:v>نشرة دورية</x:v>
      </x:c>
      <x:c r="AB71" t="str">
        <x:v>2004</x:v>
      </x:c>
    </x:row>
    <x:row r="72">
      <x:c r="A72" s="24" t="str">
        <x:v>SRC-SFD-MF-HISTORY-TOR-2012-001</x:v>
      </x:c>
      <x:c r="B72" s="24" t="str">
        <x:v>https://www.sfd-yemen.org/uploads/issues/Microfinance%20Islamic%20Products%20Study%28TOR%29-20130109-132034.pdf</x:v>
      </x:c>
      <x:c r="C72" s="24" t="str"/>
      <x:c r="D72" s="24" t="str">
        <x:v>DS-MF-ORIGIN-CHRONOLOGY,DS-MFI-YEAR-COVERAGE</x:v>
      </x:c>
      <x:c r="E72" s="24" t="n">
        <x:v>2</x:v>
      </x:c>
      <x:c r="F72" s="168"/>
      <x:c r="G72" s="168"/>
      <x:c r="H72" s="168"/>
      <x:c r="I72" s="168"/>
      <x:c r="J72" s="168"/>
      <x:c r="K72" s="168" t="str">
        <x:v>LOCATOR_ONLY</x:v>
      </x:c>
      <x:c r="L72" s="168"/>
      <x:c r="M72" s="168"/>
      <x:c r="N72" s="168"/>
      <x:c r="O72" s="168"/>
      <x:c r="S72" t="str">
        <x:v>NOT_ASSESSED</x:v>
      </x:c>
    </x:row>
    <x:row r="73">
      <x:c r="A73" s="24" t="str">
        <x:v>SRC-SFD-NEWSLETTER-2000-Q4-001</x:v>
      </x:c>
      <x:c r="B73" s="24" t="str">
        <x:v>https://www.sfd-yemen.org/uploads/issues/Newsletter-12-ENGLISH%20-20120718-113859.pdf</x:v>
      </x:c>
      <x:c r="C73" s="24" t="str"/>
      <x:c r="D73" s="24" t="str">
        <x:v>DS-MF-ORIGIN-CHRONOLOGY</x:v>
      </x:c>
      <x:c r="E73" s="24" t="n">
        <x:v>1</x:v>
      </x:c>
      <x:c r="F73" s="168" t="str">
        <x:v>Social Fund for Development (SFD) Newsletter (programme portfolios as of 31 December 2000)</x:v>
      </x:c>
      <x:c r="G73" s="168" t="str">
        <x:v>Social Fund for Development (SFD)</x:v>
      </x:c>
      <x:c r="H73" s="168"/>
      <x:c r="I73" s="168"/>
      <x:c r="J73" s="168"/>
      <x:c r="K73" s="168" t="str">
        <x:v>CITATION_CARD</x:v>
      </x:c>
      <x:c r="L73" s="168" t="str">
        <x:v>النشرة الإخبارية للصندوق الاجتماعي للتنمية (محافظ البرامج حتى 31 ديسمبر 2000)</x:v>
      </x:c>
      <x:c r="M73" s="168"/>
      <x:c r="N73" s="168"/>
      <x:c r="O73" s="168"/>
      <x:c r="S73" t="str">
        <x:v>NOT_ASSESSED</x:v>
      </x:c>
      <x:c r="Y73" t="str">
        <x:v>الصندوق الاجتماعي للتنمية</x:v>
      </x:c>
      <x:c r="Z73" t="str">
        <x:v>Newsletter</x:v>
      </x:c>
      <x:c r="AA73" t="str">
        <x:v>نشرة دورية</x:v>
      </x:c>
    </x:row>
    <x:row r="74">
      <x:c r="A74" s="24" t="str">
        <x:v>SRC-SFD-Q4-2009-001</x:v>
      </x:c>
      <x:c r="B74" s="24" t="str">
        <x:v>https://www.sfd-yemen.org/uploads/issues/Newsletter-2009-Q4-20120331-122623.pdf</x:v>
      </x:c>
      <x:c r="C74" s="24" t="str"/>
      <x:c r="D74" s="24" t="str">
        <x:v>DS-MFI-YEAR-COVERAGE</x:v>
      </x:c>
      <x:c r="E74" s="24" t="n">
        <x:v>1</x:v>
      </x:c>
      <x:c r="F74" s="168" t="str">
        <x:v>Social Fund for Development (SFD) Newsletter (fourth quarter of 2009)</x:v>
      </x:c>
      <x:c r="G74" s="168" t="str">
        <x:v>Social Fund for Development (SFD)</x:v>
      </x:c>
      <x:c r="H74" s="168"/>
      <x:c r="I74" s="168"/>
      <x:c r="J74" s="168"/>
      <x:c r="K74" s="168" t="str">
        <x:v>CITATION_CARD</x:v>
      </x:c>
      <x:c r="L74" s="168" t="str">
        <x:v>النشرة الإخبارية للصندوق الاجتماعي للتنمية (الربع الرابع من 2009)</x:v>
      </x:c>
      <x:c r="M74" s="168"/>
      <x:c r="N74" s="168"/>
      <x:c r="O74" s="168"/>
      <x:c r="S74" t="str">
        <x:v>NOT_ASSESSED</x:v>
      </x:c>
      <x:c r="Y74" t="str">
        <x:v>الصندوق الاجتماعي للتنمية</x:v>
      </x:c>
      <x:c r="Z74" t="str">
        <x:v>Newsletter</x:v>
      </x:c>
      <x:c r="AA74" t="str">
        <x:v>نشرة دورية</x:v>
      </x:c>
    </x:row>
    <x:row r="75">
      <x:c r="A75" s="24" t="str">
        <x:v>SRC-SFD-Q4-2010-001</x:v>
      </x:c>
      <x:c r="B75" s="24" t="str">
        <x:v>https://www.sfd-yemen.org/uploads/issues/Newsletter-2010-Q4-20120331-122753.pdf</x:v>
      </x:c>
      <x:c r="C75" s="24" t="str"/>
      <x:c r="D75" s="24" t="str">
        <x:v>DS-MFI-YEAR-COVERAGE,DS-MFI-TEMPORAL-SPINE,DS-MFI-METRIC-COVERAGE</x:v>
      </x:c>
      <x:c r="E75" s="24" t="n">
        <x:v>3</x:v>
      </x:c>
      <x:c r="F75" s="168" t="str">
        <x:v>Social Fund for Development (SFD) Newsletter (fourth quarter of 2010)</x:v>
      </x:c>
      <x:c r="G75" s="168" t="str">
        <x:v>Social Fund for Development (SFD)</x:v>
      </x:c>
      <x:c r="H75" s="168"/>
      <x:c r="I75" s="168"/>
      <x:c r="J75" s="168"/>
      <x:c r="K75" s="168" t="str">
        <x:v>CITATION_CARD</x:v>
      </x:c>
      <x:c r="L75" s="168" t="str">
        <x:v>النشرة الإخبارية للصندوق الاجتماعي للتنمية (الربع الرابع من 2010)</x:v>
      </x:c>
      <x:c r="M75" s="168"/>
      <x:c r="N75" s="168"/>
      <x:c r="O75" s="168"/>
      <x:c r="S75" t="str">
        <x:v>NOT_ASSESSED</x:v>
      </x:c>
      <x:c r="Y75" t="str">
        <x:v>الصندوق الاجتماعي للتنمية</x:v>
      </x:c>
      <x:c r="Z75" t="str">
        <x:v>Newsletter</x:v>
      </x:c>
      <x:c r="AA75" t="str">
        <x:v>نشرة دورية</x:v>
      </x:c>
    </x:row>
    <x:row r="76">
      <x:c r="A76" s="24" t="str">
        <x:v>SRC-SFD-Q4-2011-001</x:v>
      </x:c>
      <x:c r="B76" s="24" t="str">
        <x:v>https://www.sfd-yemen.org/uploads/issues/Newsletter-2011-Q4-20120505-151457.pdf</x:v>
      </x:c>
      <x:c r="C76" s="24" t="str"/>
      <x:c r="D76" s="24" t="str">
        <x:v>DS-MFI-YEAR-COVERAGE,DS-MFI-TEMPORAL-SPINE,DS-MFI-METRIC-COVERAGE</x:v>
      </x:c>
      <x:c r="E76" s="24" t="n">
        <x:v>3</x:v>
      </x:c>
      <x:c r="F76" s="168" t="str">
        <x:v>Social Fund for Development (SFD) Newsletter (fourth quarter of 2011)</x:v>
      </x:c>
      <x:c r="G76" s="168" t="str">
        <x:v>Social Fund for Development (SFD)</x:v>
      </x:c>
      <x:c r="H76" s="168"/>
      <x:c r="I76" s="168"/>
      <x:c r="J76" s="168"/>
      <x:c r="K76" s="168" t="str">
        <x:v>CITATION_CARD</x:v>
      </x:c>
      <x:c r="L76" s="168" t="str">
        <x:v>النشرة الإخبارية للصندوق الاجتماعي للتنمية (الربع الرابع من 2011)</x:v>
      </x:c>
      <x:c r="M76" s="168"/>
      <x:c r="N76" s="168"/>
      <x:c r="O76" s="168"/>
      <x:c r="S76" t="str">
        <x:v>NOT_ASSESSED</x:v>
      </x:c>
      <x:c r="Y76" t="str">
        <x:v>الصندوق الاجتماعي للتنمية</x:v>
      </x:c>
      <x:c r="Z76" t="str">
        <x:v>Newsletter</x:v>
      </x:c>
      <x:c r="AA76" t="str">
        <x:v>نشرة دورية</x:v>
      </x:c>
    </x:row>
    <x:row r="77">
      <x:c r="A77" s="24" t="str">
        <x:v>SRC-SFD-Q1-2012-001</x:v>
      </x:c>
      <x:c r="B77" s="24" t="str">
        <x:v>https://www.sfd-yemen.org/uploads/issues/DESIGN%201st%20NL%202012%20-%20No-20121222-162100.pdf</x:v>
      </x:c>
      <x:c r="C77" s="24" t="str"/>
      <x:c r="D77" s="24" t="str">
        <x:v>DS-MFI-TEMPORAL-SPINE,DS-MFI-METRIC-COVERAGE</x:v>
      </x:c>
      <x:c r="E77" s="24" t="n">
        <x:v>2</x:v>
      </x:c>
      <x:c r="F77" s="168" t="str">
        <x:v>Social Fund for Development (SFD) Newsletter (first quarter of 2012)</x:v>
      </x:c>
      <x:c r="G77" s="168" t="str">
        <x:v>Social Fund for Development (SFD)</x:v>
      </x:c>
      <x:c r="H77" s="168"/>
      <x:c r="I77" s="168"/>
      <x:c r="J77" s="168"/>
      <x:c r="K77" s="168" t="str">
        <x:v>CITATION_CARD</x:v>
      </x:c>
      <x:c r="L77" s="168" t="str">
        <x:v>النشرة الإخبارية للصندوق الاجتماعي للتنمية (الربع الأول من 2012)</x:v>
      </x:c>
      <x:c r="M77" s="168"/>
      <x:c r="N77" s="168"/>
      <x:c r="O77" s="168"/>
      <x:c r="S77" t="str">
        <x:v>NOT_ASSESSED</x:v>
      </x:c>
      <x:c r="Y77" t="str">
        <x:v>الصندوق الاجتماعي للتنمية</x:v>
      </x:c>
      <x:c r="Z77" t="str">
        <x:v>Newsletter</x:v>
      </x:c>
      <x:c r="AA77" t="str">
        <x:v>نشرة دورية</x:v>
      </x:c>
    </x:row>
    <x:row r="78">
      <x:c r="A78" s="24" t="str">
        <x:v>SRC-SFD-Q4-2012-001</x:v>
      </x:c>
      <x:c r="B78" s="24" t="str">
        <x:v>https://www.sfd-yemen.org/uploads/issues/SFD_Nwesletter_en-6-20130422-060753.pdf</x:v>
      </x:c>
      <x:c r="C78" s="24" t="str"/>
      <x:c r="D78" s="24" t="str">
        <x:v>DS-MFI-YEAR-COVERAGE,DS-MFI-TEMPORAL-SPINE,DS-MFI-METRIC-COVERAGE,DS-MF-ORIGIN-CHRONOLOGY</x:v>
      </x:c>
      <x:c r="E78" s="24" t="n">
        <x:v>4</x:v>
      </x:c>
      <x:c r="F78" s="168" t="str">
        <x:v>Social Fund for Development (SFD) Newsletter (fourth quarter of 2012)</x:v>
      </x:c>
      <x:c r="G78" s="168" t="str">
        <x:v>Social Fund for Development (SFD)</x:v>
      </x:c>
      <x:c r="H78" s="168"/>
      <x:c r="I78" s="168"/>
      <x:c r="J78" s="168"/>
      <x:c r="K78" s="168" t="str">
        <x:v>CITATION_CARD</x:v>
      </x:c>
      <x:c r="L78" s="168" t="str">
        <x:v>النشرة الإخبارية للصندوق الاجتماعي للتنمية (الربع الرابع من 2012)</x:v>
      </x:c>
      <x:c r="M78" s="168"/>
      <x:c r="N78" s="168"/>
      <x:c r="O78" s="168"/>
      <x:c r="S78" t="str">
        <x:v>NOT_ASSESSED</x:v>
      </x:c>
      <x:c r="Y78" t="str">
        <x:v>الصندوق الاجتماعي للتنمية</x:v>
      </x:c>
      <x:c r="Z78" t="str">
        <x:v>Newsletter</x:v>
      </x:c>
      <x:c r="AA78" t="str">
        <x:v>نشرة دورية</x:v>
      </x:c>
    </x:row>
    <x:row r="79">
      <x:c r="A79" s="24" t="str">
        <x:v>SRC-SFD-Q2-2013-001</x:v>
      </x:c>
      <x:c r="B79" s="24" t="str">
        <x:v>https://sfd.sfd-yemen.org/uploads/issues/SFD_Nwesletter_en-62-2%20NEW2-20140312-132450.pdf</x:v>
      </x:c>
      <x:c r="C79" s="24" t="str"/>
      <x:c r="D79" s="24" t="str">
        <x:v>DS-MFI-YEAR-COVERAGE,DS-MFI-TEMPORAL-SPINE,DS-MFI-METRIC-COVERAGE</x:v>
      </x:c>
      <x:c r="E79" s="24" t="n">
        <x:v>3</x:v>
      </x:c>
      <x:c r="F79" s="168" t="str">
        <x:v>Social Fund for Development (SFD) Newsletter (second quarter of 2013)</x:v>
      </x:c>
      <x:c r="G79" s="168" t="str">
        <x:v>Social Fund for Development (SFD)</x:v>
      </x:c>
      <x:c r="H79" s="168"/>
      <x:c r="I79" s="168"/>
      <x:c r="J79" s="168"/>
      <x:c r="K79" s="168" t="str">
        <x:v>CITATION_CARD</x:v>
      </x:c>
      <x:c r="L79" s="168" t="str">
        <x:v>النشرة الإخبارية للصندوق الاجتماعي للتنمية (الربع الثاني من 2013)</x:v>
      </x:c>
      <x:c r="M79" s="168"/>
      <x:c r="N79" s="168"/>
      <x:c r="O79" s="168"/>
      <x:c r="S79" t="str">
        <x:v>NOT_ASSESSED</x:v>
      </x:c>
      <x:c r="Y79" t="str">
        <x:v>الصندوق الاجتماعي للتنمية</x:v>
      </x:c>
      <x:c r="Z79" t="str">
        <x:v>Newsletter</x:v>
      </x:c>
      <x:c r="AA79" t="str">
        <x:v>نشرة دورية</x:v>
      </x:c>
    </x:row>
    <x:row r="80">
      <x:c r="A80" s="24" t="str">
        <x:v>SRC-SFD-Q2-2014-001</x:v>
      </x:c>
      <x:c r="B80" s="24" t="str">
        <x:v>https://www.sfd-yemen.org/uploads/issues/SFD_Nwesletter_en66%20final-20141224-124427.pdf</x:v>
      </x:c>
      <x:c r="C80" s="24" t="str"/>
      <x:c r="D80" s="24" t="str">
        <x:v>DS-MFI-YEAR-COVERAGE,DS-MFI-TEMPORAL-SPINE,DS-MFI-METRIC-COVERAGE</x:v>
      </x:c>
      <x:c r="E80" s="24" t="n">
        <x:v>3</x:v>
      </x:c>
      <x:c r="F80" s="168" t="str">
        <x:v>Social Fund for Development (SFD) Newsletter (second quarter of 2014)</x:v>
      </x:c>
      <x:c r="G80" s="168" t="str">
        <x:v>Social Fund for Development (SFD)</x:v>
      </x:c>
      <x:c r="H80" s="168"/>
      <x:c r="I80" s="168"/>
      <x:c r="J80" s="168"/>
      <x:c r="K80" s="168" t="str">
        <x:v>CITATION_CARD</x:v>
      </x:c>
      <x:c r="L80" s="168" t="str">
        <x:v>النشرة الإخبارية للصندوق الاجتماعي للتنمية (الربع الثاني من 2014)</x:v>
      </x:c>
      <x:c r="M80" s="168"/>
      <x:c r="N80" s="168"/>
      <x:c r="O80" s="168"/>
      <x:c r="S80" t="str">
        <x:v>NOT_ASSESSED</x:v>
      </x:c>
      <x:c r="Y80" t="str">
        <x:v>الصندوق الاجتماعي للتنمية</x:v>
      </x:c>
      <x:c r="Z80" t="str">
        <x:v>Newsletter</x:v>
      </x:c>
      <x:c r="AA80" t="str">
        <x:v>نشرة دورية</x:v>
      </x:c>
    </x:row>
    <x:row r="81">
      <x:c r="A81" s="24" t="str">
        <x:v>SRC-SFD-Q1-2015-001</x:v>
      </x:c>
      <x:c r="B81" s="24" t="str">
        <x:v>https://www.sfd-yemen.org/uploads/issues/NL69E-20160208-100802.pdf</x:v>
      </x:c>
      <x:c r="C81" s="24" t="str"/>
      <x:c r="D81" s="24" t="str">
        <x:v>DS-MFI-YEAR-COVERAGE,DS-MFI-TEMPORAL-SPINE,DS-MFI-METRIC-COVERAGE,DS-MF-ORIGIN-CHRONOLOGY</x:v>
      </x:c>
      <x:c r="E81" s="24" t="n">
        <x:v>4</x:v>
      </x:c>
      <x:c r="F81" s="168" t="str">
        <x:v>Social Fund for Development (SFD) Newsletter (first quarter of 2015)</x:v>
      </x:c>
      <x:c r="G81" s="168" t="str">
        <x:v>Social Fund for Development (SFD)</x:v>
      </x:c>
      <x:c r="H81" s="168"/>
      <x:c r="I81" s="168"/>
      <x:c r="J81" s="168"/>
      <x:c r="K81" s="168" t="str">
        <x:v>CITATION_CARD</x:v>
      </x:c>
      <x:c r="L81" s="168" t="str">
        <x:v>النشرة الإخبارية للصندوق الاجتماعي للتنمية (الربع الأول من 2015)</x:v>
      </x:c>
      <x:c r="M81" s="168"/>
      <x:c r="N81" s="168"/>
      <x:c r="O81" s="168"/>
      <x:c r="S81" t="str">
        <x:v>NOT_ASSESSED</x:v>
      </x:c>
      <x:c r="Y81" t="str">
        <x:v>الصندوق الاجتماعي للتنمية</x:v>
      </x:c>
      <x:c r="Z81" t="str">
        <x:v>Newsletter</x:v>
      </x:c>
      <x:c r="AA81" t="str">
        <x:v>نشرة دورية</x:v>
      </x:c>
    </x:row>
    <x:row r="82">
      <x:c r="A82" s="24" t="str">
        <x:v>SRC-SFD-Q3-2015-001</x:v>
      </x:c>
      <x:c r="B82" s="24" t="str">
        <x:v>https://www.sfd-yemen.org/uploads/issues/71E-20161101-183137.pdf</x:v>
      </x:c>
      <x:c r="C82" s="24" t="str"/>
      <x:c r="D82" s="24" t="str">
        <x:v>DS-MFI-YEAR-COVERAGE,DS-MFI-TEMPORAL-SPINE,DS-MFI-METRIC-COVERAGE,DS-MF-ORIGIN-CHRONOLOGY</x:v>
      </x:c>
      <x:c r="E82" s="24" t="n">
        <x:v>4</x:v>
      </x:c>
      <x:c r="F82" s="168" t="str">
        <x:v>Social Fund for Development (SFD) Newsletter (third quarter of 2015)</x:v>
      </x:c>
      <x:c r="G82" s="168" t="str">
        <x:v>Social Fund for Development (SFD)</x:v>
      </x:c>
      <x:c r="H82" s="168"/>
      <x:c r="I82" s="168"/>
      <x:c r="J82" s="168"/>
      <x:c r="K82" s="168" t="str">
        <x:v>CITATION_CARD</x:v>
      </x:c>
      <x:c r="L82" s="168" t="str">
        <x:v>النشرة الإخبارية للصندوق الاجتماعي للتنمية (الربع الثالث من 2015)</x:v>
      </x:c>
      <x:c r="M82" s="168"/>
      <x:c r="N82" s="168"/>
      <x:c r="O82" s="168"/>
      <x:c r="S82" t="str">
        <x:v>NOT_ASSESSED</x:v>
      </x:c>
      <x:c r="Y82" t="str">
        <x:v>الصندوق الاجتماعي للتنمية</x:v>
      </x:c>
      <x:c r="Z82" t="str">
        <x:v>Newsletter</x:v>
      </x:c>
      <x:c r="AA82" t="str">
        <x:v>نشرة دورية</x:v>
      </x:c>
    </x:row>
    <x:row r="83">
      <x:c r="A83" s="24" t="str">
        <x:v>SRC-SFD-Q4-2015-001</x:v>
      </x:c>
      <x:c r="B83" s="24" t="str">
        <x:v>https://www.sfd-yemen.org/uploads/issues/72E%282%29-20170212-184036.pdf</x:v>
      </x:c>
      <x:c r="C83" s="24" t="str"/>
      <x:c r="D83" s="24" t="str">
        <x:v>DS-MFI-YEAR-COVERAGE,DS-MFI-TEMPORAL-SPINE,DS-MFI-METRIC-COVERAGE,DS-MF-ORIGIN-CHRONOLOGY,DS-CONTRADICTIONS</x:v>
      </x:c>
      <x:c r="E83" s="24" t="n">
        <x:v>5</x:v>
      </x:c>
      <x:c r="F83" s="168" t="str">
        <x:v>Social Fund for Development (SFD) Newsletter (fourth quarter of 2015)</x:v>
      </x:c>
      <x:c r="G83" s="168" t="str">
        <x:v>Social Fund for Development (SFD)</x:v>
      </x:c>
      <x:c r="H83" s="168"/>
      <x:c r="I83" s="168"/>
      <x:c r="J83" s="168"/>
      <x:c r="K83" s="168" t="str">
        <x:v>CITATION_CARD</x:v>
      </x:c>
      <x:c r="L83" s="168" t="str">
        <x:v>النشرة الإخبارية للصندوق الاجتماعي للتنمية (الربع الرابع من 2015)</x:v>
      </x:c>
      <x:c r="M83" s="168"/>
      <x:c r="N83" s="168"/>
      <x:c r="O83" s="168"/>
      <x:c r="S83" t="str">
        <x:v>NOT_ASSESSED</x:v>
      </x:c>
      <x:c r="Y83" t="str">
        <x:v>الصندوق الاجتماعي للتنمية</x:v>
      </x:c>
      <x:c r="Z83" t="str">
        <x:v>Newsletter</x:v>
      </x:c>
      <x:c r="AA83" t="str">
        <x:v>نشرة دورية</x:v>
      </x:c>
    </x:row>
    <x:row r="84">
      <x:c r="A84" s="24" t="str">
        <x:v>SRC-SFD-Q3-2016-001</x:v>
      </x:c>
      <x:c r="B84" s="24" t="str">
        <x:v>https://www.sfd-yemen.org/uploads/issues/3rd_2016-en-Final-20170322-184916.pdf</x:v>
      </x:c>
      <x:c r="C84" s="24" t="str"/>
      <x:c r="D84" s="24" t="str">
        <x:v>DS-MFI-YEAR-COVERAGE,DS-MFI-TEMPORAL-SPINE,DS-MFI-METRIC-COVERAGE</x:v>
      </x:c>
      <x:c r="E84" s="24" t="n">
        <x:v>3</x:v>
      </x:c>
      <x:c r="F84" s="168" t="str">
        <x:v>Social Fund for Development (SFD) Newsletter (third quarter of 2016)</x:v>
      </x:c>
      <x:c r="G84" s="168" t="str">
        <x:v>Social Fund for Development (SFD)</x:v>
      </x:c>
      <x:c r="H84" s="168"/>
      <x:c r="I84" s="168"/>
      <x:c r="J84" s="168"/>
      <x:c r="K84" s="168" t="str">
        <x:v>CITATION_CARD</x:v>
      </x:c>
      <x:c r="L84" s="168" t="str">
        <x:v>النشرة الإخبارية للصندوق الاجتماعي للتنمية (الربع الثالث من 2016)</x:v>
      </x:c>
      <x:c r="M84" s="168"/>
      <x:c r="N84" s="168"/>
      <x:c r="O84" s="168"/>
      <x:c r="S84" t="str">
        <x:v>NOT_ASSESSED</x:v>
      </x:c>
      <x:c r="Y84" t="str">
        <x:v>الصندوق الاجتماعي للتنمية</x:v>
      </x:c>
      <x:c r="Z84" t="str">
        <x:v>Newsletter</x:v>
      </x:c>
      <x:c r="AA84" t="str">
        <x:v>نشرة دورية</x:v>
      </x:c>
    </x:row>
    <x:row r="85">
      <x:c r="A85" s="24" t="str">
        <x:v>SRC-SFD-Q4-2017-001</x:v>
      </x:c>
      <x:c r="B85" s="24" t="str">
        <x:v>https://www.sfd-yemen.org/uploads/issues/Newsletter%20Eng%204th-2017%20%20-20-4-18-20190129-214133.pdf</x:v>
      </x:c>
      <x:c r="C85" s="24" t="str"/>
      <x:c r="D85" s="24" t="str">
        <x:v>DS-MFI-YEAR-COVERAGE,DS-MFI-TEMPORAL-SPINE,DS-MFI-METRIC-COVERAGE</x:v>
      </x:c>
      <x:c r="E85" s="24" t="n">
        <x:v>3</x:v>
      </x:c>
      <x:c r="F85" s="168" t="str">
        <x:v>Social Fund for Development (SFD) Newsletter (fourth quarter of 2017)</x:v>
      </x:c>
      <x:c r="G85" s="168" t="str">
        <x:v>Social Fund for Development (SFD)</x:v>
      </x:c>
      <x:c r="H85" s="168"/>
      <x:c r="I85" s="168"/>
      <x:c r="J85" s="168"/>
      <x:c r="K85" s="168" t="str">
        <x:v>CITATION_CARD</x:v>
      </x:c>
      <x:c r="L85" s="168" t="str">
        <x:v>النشرة الإخبارية للصندوق الاجتماعي للتنمية (الربع الرابع من 2017)</x:v>
      </x:c>
      <x:c r="M85" s="168"/>
      <x:c r="N85" s="168"/>
      <x:c r="O85" s="168"/>
      <x:c r="S85" t="str">
        <x:v>NOT_ASSESSED</x:v>
      </x:c>
      <x:c r="Y85" t="str">
        <x:v>الصندوق الاجتماعي للتنمية</x:v>
      </x:c>
      <x:c r="Z85" t="str">
        <x:v>Newsletter</x:v>
      </x:c>
      <x:c r="AA85" t="str">
        <x:v>نشرة دورية</x:v>
      </x:c>
    </x:row>
    <x:row r="86">
      <x:c r="A86" s="24" t="str">
        <x:v>SRC-SFD-Q4-2018-001</x:v>
      </x:c>
      <x:c r="B86" s="24" t="str">
        <x:v>https://www.sfd-yemen.org/uploads/issues/EnglishNewsletter4thNL2018-20191202-201206.pdf</x:v>
      </x:c>
      <x:c r="C86" s="24" t="str"/>
      <x:c r="D86" s="24" t="str">
        <x:v>DS-MFI-YEAR-COVERAGE,DS-MFI-TEMPORAL-SPINE,DS-MFI-METRIC-COVERAGE,DS-CONTRADICTIONS</x:v>
      </x:c>
      <x:c r="E86" s="24" t="n">
        <x:v>4</x:v>
      </x:c>
      <x:c r="F86" s="168" t="str">
        <x:v>Social Fund for Development (SFD) Newsletter (fourth quarter of 2018)</x:v>
      </x:c>
      <x:c r="G86" s="168" t="str">
        <x:v>Social Fund for Development (SFD)</x:v>
      </x:c>
      <x:c r="H86" s="168"/>
      <x:c r="I86" s="168"/>
      <x:c r="J86" s="168"/>
      <x:c r="K86" s="168" t="str">
        <x:v>CITATION_CARD</x:v>
      </x:c>
      <x:c r="L86" s="168" t="str">
        <x:v>النشرة الإخبارية للصندوق الاجتماعي للتنمية (الربع الرابع من 2018)</x:v>
      </x:c>
      <x:c r="M86" s="168"/>
      <x:c r="N86" s="168"/>
      <x:c r="O86" s="168"/>
      <x:c r="S86" t="str">
        <x:v>NOT_ASSESSED</x:v>
      </x:c>
      <x:c r="Y86" t="str">
        <x:v>الصندوق الاجتماعي للتنمية</x:v>
      </x:c>
      <x:c r="Z86" t="str">
        <x:v>Newsletter</x:v>
      </x:c>
      <x:c r="AA86" t="str">
        <x:v>نشرة دورية</x:v>
      </x:c>
    </x:row>
    <x:row r="87">
      <x:c r="A87" s="24" t="str">
        <x:v>SRC-SFD-Q1-2019-001</x:v>
      </x:c>
      <x:c r="B87" s="24" t="str">
        <x:v>https://www.sfd-yemen.org/uploads/issues/1st%20NL%202019-20200123-102323.pdf</x:v>
      </x:c>
      <x:c r="C87" s="24" t="str"/>
      <x:c r="D87" s="24" t="str">
        <x:v>DS-MFI-YEAR-COVERAGE,DS-MFI-TEMPORAL-SPINE,DS-MFI-METRIC-COVERAGE</x:v>
      </x:c>
      <x:c r="E87" s="24" t="n">
        <x:v>3</x:v>
      </x:c>
      <x:c r="F87" s="168" t="str">
        <x:v>Social Fund for Development (SFD) Newsletter (first quarter of 2019)</x:v>
      </x:c>
      <x:c r="G87" s="168" t="str">
        <x:v>Social Fund for Development (SFD)</x:v>
      </x:c>
      <x:c r="H87" s="168"/>
      <x:c r="I87" s="168"/>
      <x:c r="J87" s="168"/>
      <x:c r="K87" s="168" t="str">
        <x:v>CITATION_CARD</x:v>
      </x:c>
      <x:c r="L87" s="168" t="str">
        <x:v>النشرة الإخبارية للصندوق الاجتماعي للتنمية (الربع الأول من 2019)</x:v>
      </x:c>
      <x:c r="M87" s="168"/>
      <x:c r="N87" s="168"/>
      <x:c r="O87" s="168"/>
      <x:c r="S87" t="str">
        <x:v>NOT_ASSESSED</x:v>
      </x:c>
      <x:c r="Y87" t="str">
        <x:v>الصندوق الاجتماعي للتنمية</x:v>
      </x:c>
      <x:c r="Z87" t="str">
        <x:v>Newsletter</x:v>
      </x:c>
      <x:c r="AA87" t="str">
        <x:v>نشرة دورية</x:v>
      </x:c>
    </x:row>
    <x:row r="88">
      <x:c r="A88" s="24" t="str">
        <x:v>SRC-SFD-Q4-2020-001</x:v>
      </x:c>
      <x:c r="B88" s="24" t="str">
        <x:v>https://sfd-yemen.org/uploads/issues/4th%20NL%202020-20211125-090031.pdf</x:v>
      </x:c>
      <x:c r="C88" s="24" t="str"/>
      <x:c r="D88" s="24" t="str">
        <x:v>DS-MFI-YEAR-COVERAGE,DS-MFI-TEMPORAL-SPINE,DS-MFI-METRIC-COVERAGE</x:v>
      </x:c>
      <x:c r="E88" s="24" t="n">
        <x:v>3</x:v>
      </x:c>
      <x:c r="F88" s="168" t="str">
        <x:v>Social Fund for Development (SFD) Newsletter (fourth quarter of 2020)</x:v>
      </x:c>
      <x:c r="G88" s="168" t="str">
        <x:v>Social Fund for Development (SFD)</x:v>
      </x:c>
      <x:c r="H88" s="168"/>
      <x:c r="I88" s="168"/>
      <x:c r="J88" s="168"/>
      <x:c r="K88" s="168" t="str">
        <x:v>CITATION_CARD</x:v>
      </x:c>
      <x:c r="L88" s="168" t="str">
        <x:v>النشرة الإخبارية للصندوق الاجتماعي للتنمية (الربع الرابع من 2020)</x:v>
      </x:c>
      <x:c r="M88" s="168"/>
      <x:c r="N88" s="168"/>
      <x:c r="O88" s="168"/>
      <x:c r="S88" t="str">
        <x:v>NOT_ASSESSED</x:v>
      </x:c>
      <x:c r="Y88" t="str">
        <x:v>الصندوق الاجتماعي للتنمية</x:v>
      </x:c>
      <x:c r="Z88" t="str">
        <x:v>Newsletter</x:v>
      </x:c>
      <x:c r="AA88" t="str">
        <x:v>نشرة دورية</x:v>
      </x:c>
    </x:row>
    <x:row r="89">
      <x:c r="A89" s="24" t="str">
        <x:v>SRC-WB-FINDEX-003</x:v>
      </x:c>
      <x:c r="B89" s="24" t="str">
        <x:v>https://microdata.worldbank.org/catalog/1096/study-description</x:v>
      </x:c>
      <x:c r="C89" s="24" t="str"/>
      <x:c r="D89" s="24" t="str">
        <x:v>DS-FINDEX-PUBLIC-HISTORY,DS-FINDEX-HISTORY-CROSSWALK</x:v>
      </x:c>
      <x:c r="E89" s="24" t="n">
        <x:v>1</x:v>
      </x:c>
      <x:c r="F89" s="168" t="str">
        <x:v>Global Financial Inclusion (Global Findex) Database 2011: Yemen (2011 survey)</x:v>
      </x:c>
      <x:c r="G89" s="168" t="str">
        <x:v>World Bank</x:v>
      </x:c>
      <x:c r="H89" s="168"/>
      <x:c r="I89" s="168"/>
      <x:c r="J89" s="168"/>
      <x:c r="K89" s="168" t="str">
        <x:v>CITATION_CARD</x:v>
      </x:c>
      <x:c r="L89" s="168" t="str">
        <x:v>قاعدة بيانات المؤشر العالمي للشمول المالي (Global Findex) لعام 2011: اليمن (مسح 2011)</x:v>
      </x:c>
      <x:c r="M89" s="168"/>
      <x:c r="N89" s="168"/>
      <x:c r="O89" s="168"/>
      <x:c r="S89" t="str">
        <x:v>NOT_ASSESSED</x:v>
      </x:c>
      <x:c r="Y89" t="str">
        <x:v>البنك الدولي</x:v>
      </x:c>
      <x:c r="Z89" t="str">
        <x:v>Survey dataset or indicator</x:v>
      </x:c>
      <x:c r="AA89" t="str">
        <x:v>مسح أو مؤشر</x:v>
      </x:c>
      <x:c r="AB89" t="str">
        <x:v>2015-04-03</x:v>
      </x:c>
    </x:row>
    <x:row r="90">
      <x:c r="A90" s="24" t="str">
        <x:v>SRC-WB-FINDEX-2014-001</x:v>
      </x:c>
      <x:c r="B90" s="24" t="str">
        <x:v>https://microdata.worldbank.org/catalog/2513</x:v>
      </x:c>
      <x:c r="C90" s="24" t="str"/>
      <x:c r="D90" s="24" t="str">
        <x:v>DS-FINDEX-PUBLIC-HISTORY,DS-FINDEX-HISTORY-CROSSWALK,DS-DEMAND-VINTAGE-LENS</x:v>
      </x:c>
      <x:c r="E90" s="24" t="n">
        <x:v>1</x:v>
      </x:c>
      <x:c r="F90" s="168" t="str">
        <x:v>Global Financial Inclusion (Global Findex) Database 2014: Yemen (2014 survey)</x:v>
      </x:c>
      <x:c r="G90" s="168" t="str">
        <x:v>World Bank</x:v>
      </x:c>
      <x:c r="H90" s="168"/>
      <x:c r="I90" s="168"/>
      <x:c r="J90" s="168"/>
      <x:c r="K90" s="168" t="str">
        <x:v>CITATION_CARD</x:v>
      </x:c>
      <x:c r="L90" s="168" t="str">
        <x:v>قاعدة بيانات المؤشر العالمي للشمول المالي (Global Findex) لعام 2014: اليمن (مسح 2014)</x:v>
      </x:c>
      <x:c r="M90" s="168"/>
      <x:c r="N90" s="168"/>
      <x:c r="O90" s="168"/>
      <x:c r="S90" t="str">
        <x:v>NOT_ASSESSED</x:v>
      </x:c>
      <x:c r="Y90" t="str">
        <x:v>البنك الدولي</x:v>
      </x:c>
      <x:c r="Z90" t="str">
        <x:v>Survey dataset or indicator</x:v>
      </x:c>
      <x:c r="AA90" t="str">
        <x:v>مسح أو مؤشر</x:v>
      </x:c>
      <x:c r="AB90" t="str">
        <x:v>2015-08-27</x:v>
      </x:c>
    </x:row>
    <x:row r="91">
      <x:c r="A91" s="24" t="str">
        <x:v>SRC-WB-FINDEX-LDB-2015-001</x:v>
      </x:c>
      <x:c r="B91" s="24" t="str">
        <x:v>https://documents1.worldbank.org/curated/en/621891468329460041/pdf/956790PUB097810til0Apr170at011300am.pdf</x:v>
      </x:c>
      <x:c r="C91" s="24" t="str">
        <x:v>["https://thedocs.worldbank.org/en/doc/215611483565355628-0050022017/original/LDB2015final.pdf"]</x:v>
      </x:c>
      <x:c r="D91" s="24" t="str">
        <x:v>DS-FINDEX-PUBLIC-HISTORY,DS-FINDEX-HISTORY-CROSSWALK,DS-DEMAND-VINTAGE-LENS</x:v>
      </x:c>
      <x:c r="E91" s="24" t="n">
        <x:v>42</x:v>
      </x:c>
      <x:c r="F91" s="168" t="str">
        <x:v>The Little Data Book on Financial Inclusion 2015 (Yemen data for 2014, with selected 2011 comparators)</x:v>
      </x:c>
      <x:c r="G91" s="168" t="str">
        <x:v>World Bank</x:v>
      </x:c>
      <x:c r="H91" s="168"/>
      <x:c r="I91" s="168"/>
      <x:c r="J91" s="168"/>
      <x:c r="K91" s="168" t="str">
        <x:v>CITATION_CARD</x:v>
      </x:c>
      <x:c r="L91" s="168" t="str">
        <x:v>كتيّب البيانات الموجز عن الشمول المالي 2015 (The Little Data Book on Financial Inclusion): بيانات اليمن لعام 2014 مع مقارنات مختارة لعام 2011</x:v>
      </x:c>
      <x:c r="M91" s="168"/>
      <x:c r="N91" s="168"/>
      <x:c r="O91" s="168"/>
      <x:c r="S91" t="str">
        <x:v>NOT_ASSESSED</x:v>
      </x:c>
      <x:c r="Y91" t="str">
        <x:v>البنك الدولي</x:v>
      </x:c>
      <x:c r="Z91" t="str">
        <x:v>Survey dataset or indicator</x:v>
      </x:c>
      <x:c r="AA91" t="str">
        <x:v>مسح أو مؤشر</x:v>
      </x:c>
      <x:c r="AB91" t="str">
        <x:v>2015</x:v>
      </x:c>
    </x:row>
    <x:row r="92">
      <x:c r="A92" s="24" t="str">
        <x:v>SRC-WB-NFID-RFX-2026-001</x:v>
      </x:c>
      <x:c r="B92" s="24" t="str">
        <x:v>https://www.worldbank.org/en/about/corporate-procurement/business-opportunities/administrative-procurement</x:v>
      </x:c>
      <x:c r="C92" s="24"/>
      <x:c r="D92" s="24" t="str">
        <x:v>DS-NFID-EOI-ALIGNMENT</x:v>
      </x:c>
      <x:c r="E92" s="24" t="n">
        <x:v>2</x:v>
      </x:c>
      <x:c r="F92" s="168"/>
      <x:c r="G92" s="168"/>
      <x:c r="H92" s="168"/>
      <x:c r="I92" s="168"/>
      <x:c r="J92" s="168"/>
      <x:c r="K92" s="168" t="str">
        <x:v>LOCATOR_ONLY</x:v>
      </x:c>
      <x:c r="L92" s="168"/>
      <x:c r="M92" s="168"/>
      <x:c r="N92" s="168"/>
      <x:c r="O92" s="168"/>
      <x:c r="S92" t="str">
        <x:v>NOT_ASSESSED</x:v>
      </x:c>
    </x:row>
    <x:row r="93">
      <x:c r="A93" s="24" t="str">
        <x:v>SRC-WB-FMIIP-ISR2-2026-001</x:v>
      </x:c>
      <x:c r="B93" s="24" t="str">
        <x:v>https://documents.worldbank.org/en/publication/documents-reports/documentdetail/099040826144025755</x:v>
      </x:c>
      <x:c r="C93" s="24" t="str"/>
      <x:c r="D93" s="24" t="str">
        <x:v>DS-NFID-EOI-ALIGNMENT,DS-REFORM-EVENTS,DS-FMIIP-IMPLEMENTATION-2026</x:v>
      </x:c>
      <x:c r="E93" s="24" t="n">
        <x:v>1</x:v>
      </x:c>
      <x:c r="F93" s="168" t="str">
        <x:v>Yemen Financial Market Infrastructure and Inclusion Project (FMIIP): Implementation Status and Results Report, sequence 2 (8 April 2026)</x:v>
      </x:c>
      <x:c r="G93" s="168" t="str">
        <x:v>World Bank</x:v>
      </x:c>
      <x:c r="H93" s="168" t="str">
        <x:v>Current Yemen payment-infrastructure programmes</x:v>
      </x:c>
      <x:c r="I93" s="168" t="str">
        <x:v>Provides a dated public implementation-status vintage for FMIIP, helping distinguish reported implementation progress from the project's end targets and from later operational outcomes.</x:v>
      </x:c>
      <x:c r="J93" s="168" t="str">
        <x:v>The existence of an implementation report, rating or milestone does not by itself prove that FPS or RTGS is fully live, reliable, widely used or delivering inclusion outcomes.</x:v>
      </x:c>
      <x:c r="K93" s="168" t="str">
        <x:v>FULL_PUBLIC_CARD</x:v>
      </x:c>
      <x:c r="L93" s="168" t="str">
        <x:v>مشروع البنية التحتية للأسواق المالية والشمول المالي في اليمن (FMIIP): تقرير حالة التنفيذ والنتائج، التسلسل 2 (8 أبريل 2026)</x:v>
      </x:c>
      <x:c r="M93" s="168" t="str">
        <x:v>برامج البنية التحتية للمدفوعات الجارية في اليمن</x:v>
      </x:c>
      <x:c r="N93"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3" s="168" t="str">
        <x:v>لا يثبت وجود تقرير تنفيذ أو تقييم أو معلم مرحلي بذاته أن نظام الدفع السريع أو نظام التسوية الإجمالية الفورية يعملان بالكامل وبموثوقية وانتشار واسع أو أنهما حققا نتائج للشمول المالي.</x:v>
      </x:c>
      <x:c r="S93" t="str">
        <x:v>NOT_ASSESSED</x:v>
      </x:c>
      <x:c r="Y93" t="str">
        <x:v>البنك الدولي</x:v>
      </x:c>
      <x:c r="Z93" t="str">
        <x:v>Project document</x:v>
      </x:c>
      <x:c r="AA93" t="str">
        <x:v>وثيقة مشروع</x:v>
      </x:c>
      <x:c r="AB93" t="str">
        <x:v>2026-04-08</x:v>
      </x:c>
    </x:row>
    <x:row r="94">
      <x:c r="A94" s="24" t="str">
        <x:v>SRC-CBY-HIST-METHOD-001</x:v>
      </x:c>
      <x:c r="B94" s="24" t="str">
        <x:v>https://english.cby-ye.com/files/615d821b9d52b.pdf</x:v>
      </x:c>
      <x:c r="C94" s="24" t="str"/>
      <x:c r="D94" s="24" t="str">
        <x:v>DS-K04-CBY-CORPUS, DS-K04-CBY-OBJECTS</x:v>
      </x:c>
      <x:c r="E94" s="24" t="n">
        <x:v>3</x:v>
      </x:c>
      <x:c r="F94" s="168" t="str">
        <x:v>Quarterly Bulletin, Issue No. 1 (December 2020)</x:v>
      </x:c>
      <x:c r="G94" s="168" t="str">
        <x:v>Central Bank of Yemen — Aden</x:v>
      </x:c>
      <x:c r="H94" s="168"/>
      <x:c r="I94" s="168"/>
      <x:c r="J94" s="168"/>
      <x:c r="K94" s="168" t="str">
        <x:v>CITATION_CARD</x:v>
      </x:c>
      <x:c r="L94" s="168" t="str">
        <x:v>النشرة الفصلية، العدد 1 (ديسمبر 2020)</x:v>
      </x:c>
      <x:c r="M94" s="168"/>
      <x:c r="N94" s="168"/>
      <x:c r="O94" s="168"/>
      <x:c r="S94" t="str">
        <x:v>NOT_ASSESSED</x:v>
      </x:c>
      <x:c r="V94" t="str">
        <x:v>2026-09-26</x:v>
      </x:c>
      <x:c r="Y94" t="str">
        <x:v>البنك المركزي اليمني – عدن</x:v>
      </x:c>
      <x:c r="Z94" t="str">
        <x:v>Periodic statistical report</x:v>
      </x:c>
      <x:c r="AA94" t="str">
        <x:v>تقرير إحصائي دوري</x:v>
      </x:c>
      <x:c r="AB94" t="str">
        <x:v>2020-12</x:v>
      </x:c>
    </x:row>
    <x:row r="95">
      <x:c r="A95" s="24" t="str">
        <x:v>SRC-CBY-AR2015-HIST-001</x:v>
      </x:c>
      <x:c r="B95" s="24" t="str">
        <x:v>http://centralbank.gov.ye/App_Upload/Ann_rep2015AR.pdf</x:v>
      </x:c>
      <x:c r="C95" s="24" t="str"/>
      <x:c r="D95" s="24" t="str">
        <x:v>DS-K04-CBY-CORPUS, DS-K04-CBY-OBJECTS</x:v>
      </x:c>
      <x:c r="E95" s="24" t="n">
        <x:v>1</x:v>
      </x:c>
      <x:c r="F95" s="168"/>
      <x:c r="G95" s="168"/>
      <x:c r="H95" s="168"/>
      <x:c r="I95" s="168"/>
      <x:c r="J95" s="168"/>
      <x:c r="K95" s="168" t="str">
        <x:v>LOCATOR_ONLY</x:v>
      </x:c>
      <x:c r="L95" s="168"/>
      <x:c r="M95" s="168"/>
      <x:c r="N95" s="168"/>
      <x:c r="O95" s="168"/>
      <x:c r="S95" t="str">
        <x:v>NOT_ASSESSED</x:v>
      </x:c>
    </x:row>
    <x:row r="96">
      <x:c r="A96" s="24" t="str">
        <x:v>SRC-CBY-SANAA-C12-2024</x:v>
      </x:c>
      <x:c r="B96" s="24" t="str">
        <x:v>https://yemeneco.org/wp-content/uploads/2024/03/تعميم-رقم-12-خدمات-البنوك-والمؤسسات-المالية-العاملة-في-خدمات-الحوالات-الخارجية.pdf</x:v>
      </x:c>
      <x:c r="C96" s="24" t="str"/>
      <x:c r="D96" s="24" t="str">
        <x:v>DS-K04-CBY-CORPUS, DS-K04-CBY-OBJECTS</x:v>
      </x:c>
      <x:c r="E96" s="24" t="n">
        <x:v>1</x:v>
      </x:c>
      <x:c r="F96" s="168"/>
      <x:c r="G96" s="168"/>
      <x:c r="H96" s="168"/>
      <x:c r="I96" s="168"/>
      <x:c r="J96" s="168"/>
      <x:c r="K96" s="168" t="str">
        <x:v>LOCATOR_ONLY</x:v>
      </x:c>
      <x:c r="L96" s="168"/>
      <x:c r="M96" s="168"/>
      <x:c r="N96" s="168"/>
      <x:c r="O96" s="168"/>
      <x:c r="S96" t="str">
        <x:v>NOT_ASSESSED</x:v>
      </x:c>
    </x:row>
    <x:row r="97">
      <x:c r="A97" s="24" t="str">
        <x:v>SRC-CBY-SANAA-C14-2024</x:v>
      </x:c>
      <x:c r="B97" s="24" t="str">
        <x:v>https://www.ecoi.net/en/file/local/2117585/n2425953.pdf</x:v>
      </x:c>
      <x:c r="C97" s="24" t="str"/>
      <x:c r="D97" s="24" t="str">
        <x:v>DS-K04-CBY-CORPUS, DS-K04-CBY-OBJECTS</x:v>
      </x:c>
      <x:c r="E97" s="24" t="n">
        <x:v>1</x:v>
      </x:c>
      <x:c r="F97" s="168"/>
      <x:c r="G97" s="168"/>
      <x:c r="H97" s="168"/>
      <x:c r="I97" s="168"/>
      <x:c r="J97" s="168"/>
      <x:c r="K97" s="168" t="str">
        <x:v>LOCATOR_ONLY</x:v>
      </x:c>
      <x:c r="L97" s="168"/>
      <x:c r="M97" s="168"/>
      <x:c r="N97" s="168"/>
      <x:c r="O97" s="168"/>
      <x:c r="S97" t="str">
        <x:v>NOT_ASSESSED</x:v>
      </x:c>
    </x:row>
    <x:row r="98">
      <x:c r="A98" s="24" t="str">
        <x:v>SRC-CBY-SANAA-CURR-2024</x:v>
      </x:c>
      <x:c r="B98" s="24" t="str">
        <x:v>https://www.saba.ye/ar/news3337222.htm</x:v>
      </x:c>
      <x:c r="C98" s="24" t="str">
        <x:v>["https://centralbank.gov.ye/upldImgAndFile/file/urgent.pdf"]</x:v>
      </x:c>
      <x:c r="D98" s="24" t="str">
        <x:v>DS-K04-CBY-CORPUS, DS-K04-CBY-OBJECTS</x:v>
      </x:c>
      <x:c r="E98" s="24" t="n">
        <x:v>1</x:v>
      </x:c>
      <x:c r="F98" s="168" t="str">
        <x:v>News item concerning the Central Bank of Yemen — Sana'a (2024)</x:v>
      </x:c>
      <x:c r="G98" s="168" t="str">
        <x:v>Saba News Agency (saba.ye)</x:v>
      </x:c>
      <x:c r="H98" s="168"/>
      <x:c r="I98" s="168"/>
      <x:c r="J98" s="168"/>
      <x:c r="K98" s="168" t="str">
        <x:v>CITATION_CARD</x:v>
      </x:c>
      <x:c r="L98" s="168" t="str">
        <x:v>خبر يتعلق بالبنك المركزي اليمني – صنعاء (2024)</x:v>
      </x:c>
      <x:c r="M98" s="168"/>
      <x:c r="N98" s="168"/>
      <x:c r="O98" s="168"/>
      <x:c r="S98" t="str">
        <x:v>NOT_ASSESSED</x:v>
      </x:c>
      <x:c r="V98" t="str">
        <x:v>2026-09-26</x:v>
      </x:c>
      <x:c r="Y98" t="str">
        <x:v>وكالة الأنباء اليمنية سبأ (saba.ye)</x:v>
      </x:c>
      <x:c r="Z98" t="str">
        <x:v>Web page</x:v>
      </x:c>
      <x:c r="AA98" t="str">
        <x:v>صفحة إلكترونية</x:v>
      </x:c>
    </x:row>
    <x:row r="99">
      <x:c r="A99" s="24" t="str">
        <x:v>SRC-IMF-YEM-AIV-2025-2026</x:v>
      </x:c>
      <x:c r="B99" s="24" t="str">
        <x:v>https://www.imf.org/-/media/files/publications/cr/2026/english/1yemea2026001-source-pdf.pdf</x:v>
      </x:c>
      <x:c r="C99" s="24" t="str"/>
      <x:c r="D99" s="24" t="str">
        <x:v>DS-K04-REMIT-METHOD-RECON,DS-K04-REMIT-SOURCE-LENSES,DS-K04-V034-RECON-GATE</x:v>
      </x:c>
      <x:c r="E99" s="24" t="n">
        <x:v>8</x:v>
      </x:c>
      <x:c r="F99" s="168" t="str">
        <x:v>Republic of Yemen: 2025 Article IV Consultation (IMF Country Report No. 26/80)</x:v>
      </x:c>
      <x:c r="G99" s="168" t="str">
        <x:v>International Monetary Fund</x:v>
      </x:c>
      <x:c r="H99" s="168" t="str">
        <x:v>Yemen macro-financial and external-sector context</x:v>
      </x:c>
      <x:c r="I99" s="168" t="str">
        <x:v>Provides the current IMF Article IV macro-financial framework, external-sector and banking context, and methodological information used to interpret remittances, reserves, banking conditions and reform context.</x:v>
      </x:c>
      <x:c r="J99" s="168" t="str">
        <x:v>The IMF macro framework and aggregates are not population financial-inclusion measures and should not be treated as whole-Yemen prevalence or as evidence that reform outcomes have been achieved.</x:v>
      </x:c>
      <x:c r="K99" s="168" t="str">
        <x:v>FULL_PUBLIC_CARD</x:v>
      </x:c>
      <x:c r="L99" s="168" t="str">
        <x:v>الجمهورية اليمنية: مشاورات المادة الرابعة لعام 2025 (تقرير صندوق النقد الدولي القُطري رقم 26/80)</x:v>
      </x:c>
      <x:c r="M99" s="168" t="str">
        <x:v>السياق الاقتصادي والمالي والقطاع الخارجي في اليمن</x:v>
      </x:c>
      <x:c r="N99"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99" s="168" t="str">
        <x:v>لا تمثل المؤشرات الكلية لصندوق النقد مقاييس سكانية للشمول المالي، ولا يجوز معاملتها كمعدلات انتشار لليمن كله أو كدليل على تحقق نتائج الإصلاح.</x:v>
      </x:c>
      <x:c r="S99" t="str">
        <x:v>NOT_ASSESSED</x:v>
      </x:c>
      <x:c r="Y99" t="str">
        <x:v>صندوق النقد الدولي</x:v>
      </x:c>
      <x:c r="Z99" t="str">
        <x:v>Staff report</x:v>
      </x:c>
      <x:c r="AA99" t="str">
        <x:v>تقرير خبراء</x:v>
      </x:c>
    </x:row>
    <x:row r="100">
      <x:c r="A100" s="24" t="str">
        <x:v>SRC-IMF-YEM-EGDDS-VAL-1996</x:v>
      </x:c>
      <x:c r="B100" s="24" t="str">
        <x:v>https://dsbb.imf.org/e-gdds/dqaf-base/country/YEM/category/AAB00</x:v>
      </x:c>
      <x:c r="C100" s="24" t="str"/>
      <x:c r="D100" s="24" t="str">
        <x:v>DS-K04-BANK-VALUATION-RECON</x:v>
      </x:c>
      <x:c r="E100" s="24" t="n">
        <x:v>1</x:v>
      </x:c>
      <x:c r="F100" s="168" t="str">
        <x:v>Yemen: e-GDDS metadata on market-rate valuation of foreign-currency accounts (historical reference 1996)</x:v>
      </x:c>
      <x:c r="G100" s="168" t="str">
        <x:v>International Monetary Fund</x:v>
      </x:c>
      <x:c r="H100" s="168"/>
      <x:c r="I100" s="168"/>
      <x:c r="J100" s="168"/>
      <x:c r="K100" s="168" t="str">
        <x:v>CITATION_CARD</x:v>
      </x:c>
      <x:c r="L100" s="168" t="str">
        <x:v>اليمن: البيانات الوصفية ضمن النظام العام المعزَّز لنشر البيانات (e-GDDS) بشأن تقييم حسابات العملات الأجنبية بسعر السوق (مرجع تاريخي: 1996)</x:v>
      </x:c>
      <x:c r="M100" s="168"/>
      <x:c r="N100" s="168"/>
      <x:c r="O100" s="168"/>
      <x:c r="S100" t="str">
        <x:v>NOT_ASSESSED</x:v>
      </x:c>
      <x:c r="Y100" t="str">
        <x:v>صندوق النقد الدولي</x:v>
      </x:c>
      <x:c r="Z100" t="str">
        <x:v>Method or standard</x:v>
      </x:c>
      <x:c r="AA100" t="str">
        <x:v>منهج أو معيار</x:v>
      </x:c>
    </x:row>
    <x:row r="101">
      <x:c r="A101" s="24" t="str">
        <x:v>SRC-WB-WDI-REMIT-YEM-CURRENT</x:v>
      </x:c>
      <x:c r="B101" s="24" t="str">
        <x:v>https://data.worldbank.org/indicator/BX.TRF.PWKR.CD.DT?locations=YE</x:v>
      </x:c>
      <x:c r="C101" s="24" t="str"/>
      <x:c r="D101" s="24" t="str">
        <x:v>DS-K04-REMIT-SOURCE-LENSES,DS-K04-PUBLICATION-BENCHMARK,DS-K04-REMIT-REGIMES</x:v>
      </x:c>
      <x:c r="E101" s="24" t="n">
        <x:v>2</x:v>
      </x:c>
      <x:c r="F101" s="168" t="str">
        <x:v>World Development Indicators: personal remittances received, Yemen (public data page reviewed 10 September 2026)</x:v>
      </x:c>
      <x:c r="G101" s="168" t="str">
        <x:v>World Bank</x:v>
      </x:c>
      <x:c r="H101" s="168"/>
      <x:c r="I101" s="168"/>
      <x:c r="J101" s="168"/>
      <x:c r="K101" s="168" t="str">
        <x:v>CITATION_CARD</x:v>
      </x:c>
      <x:c r="L101" s="168" t="str">
        <x:v>مؤشرات التنمية العالمية: التحويلات الشخصية الواردة، اليمن (صفحة البيانات العامة كما اطُّلع عليها في 10 سبتمبر 2026)</x:v>
      </x:c>
      <x:c r="M101" s="168"/>
      <x:c r="N101" s="168"/>
      <x:c r="O101" s="168"/>
      <x:c r="S101" t="str">
        <x:v>NOT_ASSESSED</x:v>
      </x:c>
      <x:c r="W101" t="str">
        <x:v>dataset</x:v>
      </x:c>
      <x:c r="Y101" t="str">
        <x:v>البنك الدولي</x:v>
      </x:c>
      <x:c r="Z101" t="str">
        <x:v>Survey dataset or indicator</x:v>
      </x:c>
      <x:c r="AA101" t="str">
        <x:v>مسح أو مؤشر</x:v>
      </x:c>
    </x:row>
    <x:row r="102">
      <x:c r="A102" s="24" t="str">
        <x:v>SRC-IGC-AIDDATA-REMIT-YEM-2026</x:v>
      </x:c>
      <x:c r="B102" s="24" t="str">
        <x:v>https://www.theigc.org/publications/cash-capital-leveraging-remittances-yemens-economic-future</x:v>
      </x:c>
      <x:c r="C102" s="24" t="str"/>
      <x:c r="D102" s="24" t="str">
        <x:v>DS-K04-REMIT-SOURCE-LENSES,DS-K04-PUBLICATION-BENCHMARK,DS-K04-CAUSEWAY-READING-001</x:v>
      </x:c>
      <x:c r="E102" s="24" t="n">
        <x:v>2</x:v>
      </x:c>
      <x:c r="F102" s="168" t="str">
        <x:v>From cash to capital: leveraging remittances for Yemen's economic future (February 2026)</x:v>
      </x:c>
      <x:c r="G102" s="168" t="str">
        <x:v>International Growth Centre (IGC), with AidData</x:v>
      </x:c>
      <x:c r="H102" s="168"/>
      <x:c r="I102" s="168"/>
      <x:c r="J102" s="168"/>
      <x:c r="K102" s="168" t="str">
        <x:v>CITATION_CARD</x:v>
      </x:c>
      <x:c r="L102" s="168" t="str">
        <x:v>من النقد إلى رأس المال: توظيف التحويلات لمستقبل اليمن الاقتصادي (فبراير 2026)</x:v>
      </x:c>
      <x:c r="M102" s="168"/>
      <x:c r="N102" s="168"/>
      <x:c r="O102" s="168"/>
      <x:c r="S102" t="str">
        <x:v>NOT_ASSESSED</x:v>
      </x:c>
      <x:c r="Y102" t="str">
        <x:v>المركز الدولي للنمو (IGC) بالشراكة مع AidData</x:v>
      </x:c>
      <x:c r="Z102" t="str">
        <x:v>Research or policy paper</x:v>
      </x:c>
      <x:c r="AA102" t="str">
        <x:v>ورقة بحثية أو سياساتية</x:v>
      </x:c>
      <x:c r="AB102" t="str">
        <x:v>2026-02</x:v>
      </x:c>
    </x:row>
    <x:row r="103">
      <x:c r="A103" s="24" t="str">
        <x:v>SRC-WB-MDB40-2024</x:v>
      </x:c>
      <x:c r="B103" s="24" t="str">
        <x:v>https://documents1.worldbank.org/curated/en/099714008132436612/pdf/IDU-a9cf73b5-fcad-425a-a0dd-cc8f2f3331ce.pdf</x:v>
      </x:c>
      <x:c r="C103" s="24" t="str"/>
      <x:c r="D103" s="24" t="str">
        <x:v>DS-K04-REMIT-SOURCE-LENSES</x:v>
      </x:c>
      <x:c r="E103" s="24" t="n">
        <x:v>1</x:v>
      </x:c>
      <x:c r="F103" s="168" t="str">
        <x:v>Remittances Slowed in 2023, Expected to Grow Faster in 2024: Migration and Development Brief 40 (June 2024)</x:v>
      </x:c>
      <x:c r="G103" s="168" t="str">
        <x:v>World Bank</x:v>
      </x:c>
      <x:c r="H103" s="168"/>
      <x:c r="I103" s="168"/>
      <x:c r="J103" s="168"/>
      <x:c r="K103" s="168" t="str">
        <x:v>CITATION_CARD</x:v>
      </x:c>
      <x:c r="L103" s="168" t="str">
        <x:v>تباطأت التحويلات في 2023 ويُتوقع أن تنمو بوتيرة أسرع في 2024: موجز الهجرة والتنمية رقم 40 (يونيو 2024)</x:v>
      </x:c>
      <x:c r="M103" s="168"/>
      <x:c r="N103" s="168"/>
      <x:c r="O103" s="168"/>
      <x:c r="S103" t="str">
        <x:v>NOT_ASSESSED</x:v>
      </x:c>
      <x:c r="Y103" t="str">
        <x:v>البنك الدولي</x:v>
      </x:c>
      <x:c r="Z103" t="str">
        <x:v>Research or policy paper</x:v>
      </x:c>
      <x:c r="AA103" t="str">
        <x:v>ورقة بحثية أو سياساتية</x:v>
      </x:c>
      <x:c r="AB103" t="str">
        <x:v>2024-06</x:v>
      </x:c>
    </x:row>
    <x:row r="104">
      <x:c r="A104" s="24" t="str">
        <x:v>SRC-SC-TRADE-FIN-YEM-2026</x:v>
      </x:c>
      <x:c r="B104" s="24" t="str">
        <x:v>https://sanaacenter.org/publications/policy-research/26389</x:v>
      </x:c>
      <x:c r="C104" s="24" t="str"/>
      <x:c r="D104" s="24" t="str">
        <x:v>DS-K04-PUBLICATION-BENCHMARK,DS-K04-REMIT-SOURCE-LENSES,DS-K04-CAUSEWAY-READING-001</x:v>
      </x:c>
      <x:c r="E104" s="24" t="n">
        <x:v>2</x:v>
      </x:c>
      <x:c r="F104" s="168" t="str">
        <x:v>Supporting Trade Finance in Yemen Amid Uncertainty (February 2026)</x:v>
      </x:c>
      <x:c r="G104" s="168" t="str">
        <x:v>Sana’a Center for Strategic Studies</x:v>
      </x:c>
      <x:c r="H104" s="168"/>
      <x:c r="I104" s="168"/>
      <x:c r="J104" s="168"/>
      <x:c r="K104" s="168" t="str">
        <x:v>CITATION_CARD</x:v>
      </x:c>
      <x:c r="L104" s="168" t="str">
        <x:v>دعم تمويل التجارة في اليمن في ظل حالة عدم اليقين (فبراير 2026)</x:v>
      </x:c>
      <x:c r="M104" s="168"/>
      <x:c r="N104" s="168"/>
      <x:c r="O104" s="168"/>
      <x:c r="S104" t="str">
        <x:v>NOT_ASSESSED</x:v>
      </x:c>
      <x:c r="Y104" t="str">
        <x:v>مركز صنعاء للدراسات الاستراتيجية</x:v>
      </x:c>
      <x:c r="Z104" t="str">
        <x:v>Research or policy paper</x:v>
      </x:c>
      <x:c r="AA104" t="str">
        <x:v>ورقة بحثية أو سياساتية</x:v>
      </x:c>
      <x:c r="AB104" t="str">
        <x:v>2026-02-17</x:v>
      </x:c>
    </x:row>
    <x:row r="105">
      <x:c r="A105" s="24" t="str">
        <x:v>SRC-ACAPS-YEM-REMIT-2021</x:v>
      </x:c>
      <x:c r="B105" s="24" t="str">
        <x:v>https://www.acaps.org/fileadmin/Data_Product/Main_media/20211015_acaps_yemen_analysis_hub_impact_of_remittances_on_yemens_economy.pdf</x:v>
      </x:c>
      <x:c r="C105" s="24" t="str"/>
      <x:c r="D105" s="24" t="str">
        <x:v>DS-K04-REMIT-SOURCE-LENSES,DS-K04-PUBLICATION-BENCHMARK</x:v>
      </x:c>
      <x:c r="E105" s="24" t="n">
        <x:v>1</x:v>
      </x:c>
      <x:c r="F105" s="168" t="str">
        <x:v>The impact of remittances on Yemen's economy (October 2021)</x:v>
      </x:c>
      <x:c r="G105" s="168" t="str">
        <x:v>ACAPS (Yemen Analysis Hub)</x:v>
      </x:c>
      <x:c r="H105" s="168"/>
      <x:c r="I105" s="168"/>
      <x:c r="J105" s="168"/>
      <x:c r="K105" s="168" t="str">
        <x:v>CITATION_CARD</x:v>
      </x:c>
      <x:c r="L105" s="168" t="str">
        <x:v>أثر التحويلات في اقتصاد اليمن (أكتوبر 2021)</x:v>
      </x:c>
      <x:c r="M105" s="168"/>
      <x:c r="N105" s="168"/>
      <x:c r="O105" s="168"/>
      <x:c r="S105" t="str">
        <x:v>NOT_ASSESSED</x:v>
      </x:c>
      <x:c r="Y105" t="str">
        <x:v>ACAPS (مركز تحليل اليمن)</x:v>
      </x:c>
      <x:c r="Z105" t="str">
        <x:v>Research or policy paper</x:v>
      </x:c>
      <x:c r="AA105" t="str">
        <x:v>ورقة بحثية أو سياساتية</x:v>
      </x:c>
      <x:c r="AB105" t="str">
        <x:v>2021-10-15</x:v>
      </x:c>
    </x:row>
    <x:row r="106">
      <x:c r="A106" s="24" t="str">
        <x:v>SRC-IMF-D4D-YEM-ESS-2025</x:v>
      </x:c>
      <x:c r="B106" s="24" t="str">
        <x:v>https://www.imf.org/-/media/files/capacity-developement/d4d/january-2026/d4d-fund-implementation-progress-fy26-midyear-january-2026.pdf</x:v>
      </x:c>
      <x:c r="C106" s="24" t="str"/>
      <x:c r="D106" s="24" t="str">
        <x:v>DS-K04-REMIT-REGIMES,DS-K04-BOP-COMPONENT-XWALK,DS-K04-V035-RECON-GATE</x:v>
      </x:c>
      <x:c r="E106" s="24" t="n">
        <x:v>2</x:v>
      </x:c>
      <x:c r="F106" s="168" t="str">
        <x:v>D4D-II implementation progress report (January 2026)</x:v>
      </x:c>
      <x:c r="G106" s="168" t="str">
        <x:v>International Monetary Fund</x:v>
      </x:c>
      <x:c r="H106" s="168"/>
      <x:c r="I106" s="168"/>
      <x:c r="J106" s="168"/>
      <x:c r="K106" s="168" t="str">
        <x:v>CITATION_CARD</x:v>
      </x:c>
      <x:c r="L106" s="168" t="str">
        <x:v>تقرير التقدم في التنفيذ لصندوق D4D-II (يناير 2026)</x:v>
      </x:c>
      <x:c r="M106" s="168"/>
      <x:c r="N106" s="168"/>
      <x:c r="O106" s="168"/>
      <x:c r="S106" t="str">
        <x:v>NOT_ASSESSED</x:v>
      </x:c>
      <x:c r="Y106" t="str">
        <x:v>صندوق النقد الدولي</x:v>
      </x:c>
      <x:c r="Z106" t="str">
        <x:v>Project document</x:v>
      </x:c>
      <x:c r="AA106" t="str">
        <x:v>وثيقة مشروع</x:v>
      </x:c>
      <x:c r="AB106" t="str">
        <x:v>2026-01</x:v>
      </x:c>
    </x:row>
    <x:row r="107">
      <x:c r="A107" s="24" t="str">
        <x:v>SRC-CBY-AR2025-BOP</x:v>
      </x:c>
      <x:c r="B107" s="24" t="str">
        <x:v>https://english.cby-ye.com/files/6a54b8fcd8b68.pdf</x:v>
      </x:c>
      <x:c r="C107" s="24"/>
      <x:c r="D107" s="24" t="str">
        <x:v>DS-K04-BOP-RESIDUAL-STRESS,DS-K04-BOP-COMPONENT-XWALK</x:v>
      </x:c>
      <x:c r="E107" s="24" t="n">
        <x:v>2</x:v>
      </x:c>
      <x:c r="F107" s="168" t="str">
        <x:v>Annual Report 2025</x:v>
      </x:c>
      <x:c r="G107" s="168" t="str">
        <x:v>Central Bank of Yemen — Aden</x:v>
      </x:c>
      <x:c r="H107" s="168" t="str">
        <x:v>Primary administrative and statistical material</x:v>
      </x:c>
      <x:c r="I107" s="168" t="str">
        <x:v>Provides the 2025 publication vintage used to inspect revisions to balance-of-payments remittance values and related external-sector series.</x:v>
      </x:c>
      <x:c r="J107" s="168" t="str">
        <x:v>A publication revision does not by itself establish an economic change between years, informal hawala volume, or a population financial-inclusion outcome.</x:v>
      </x:c>
      <x:c r="K107" s="168" t="str">
        <x:v>FULL_PUBLIC_CARD</x:v>
      </x:c>
      <x:c r="L107" s="168" t="str">
        <x:v>التقرير السنوي 2025</x:v>
      </x:c>
      <x:c r="M107" s="168" t="str">
        <x:v>مواد إدارية وإحصائية أولية</x:v>
      </x:c>
      <x:c r="N107" s="168" t="str">
        <x:v>يوفر نسخة النشر لعام 2025 المستخدمة لفحص مراجعات قيم تحويلات العاملين في ميزان المدفوعات والسلاسل ذات الصلة بالقطاع الخارجي.</x:v>
      </x:c>
      <x:c r="O107" s="168" t="str">
        <x:v>لا تثبت مراجعة نسخة النشر بذاتها تغيرًا اقتصاديًا بين عامين، ولا حجم الحوالات غير الرسمية، ولا نتيجة سكانية للشمول المالي.</x:v>
      </x:c>
      <x:c r="S107" t="str">
        <x:v>NOT_ASSESSED</x:v>
      </x:c>
      <x:c r="Y107" t="str">
        <x:v>البنك المركزي اليمني – عدن</x:v>
      </x:c>
      <x:c r="Z107" t="str">
        <x:v>Annual report</x:v>
      </x:c>
      <x:c r="AA107" t="str">
        <x:v>تقرير سنوي</x:v>
      </x:c>
    </x:row>
    <x:row r="108">
      <x:c r="A108" s="24" t="str">
        <x:v>SRC-CBY-AR2024-BOP</x:v>
      </x:c>
      <x:c r="B108" s="24" t="str">
        <x:v>https://english.cby-ye.com/files/68c2ef16b4225.pdf</x:v>
      </x:c>
      <x:c r="C108" s="24"/>
      <x:c r="D108" s="24" t="str">
        <x:v>DS-K04-REMIT-REGIMES,DS-K04-BOP-COMPONENT-XWALK</x:v>
      </x:c>
      <x:c r="E108" s="24" t="n">
        <x:v>2</x:v>
      </x:c>
      <x:c r="F108" s="168" t="str">
        <x:v>Annual Report 2024</x:v>
      </x:c>
      <x:c r="G108" s="168" t="str">
        <x:v>Central Bank of Yemen — Aden</x:v>
      </x:c>
      <x:c r="H108" s="168" t="str">
        <x:v>Primary administrative and statistical material</x:v>
      </x:c>
      <x:c r="I108" s="168" t="str">
        <x:v>Provides the 2024 publication vintage used to compare the same reference-year remittance and balance-of-payments values across annual-report vintages.</x:v>
      </x:c>
      <x:c r="J108" s="168" t="str">
        <x:v>A value published in this vintage must not be treated as directly comparable with a later restatement without preserving the publication-vintage distinction.</x:v>
      </x:c>
      <x:c r="K108" s="168" t="str">
        <x:v>FULL_PUBLIC_CARD</x:v>
      </x:c>
      <x:c r="L108" s="168" t="str">
        <x:v>التقرير السنوي 2024</x:v>
      </x:c>
      <x:c r="M108" s="168" t="str">
        <x:v>مواد إدارية وإحصائية أولية</x:v>
      </x:c>
      <x:c r="N108" s="168" t="str">
        <x:v>يوفر نسخة النشر لعام 2024 المستخدمة لمقارنة قيم التحويلات وبنود ميزان المدفوعات للسنة المرجعية نفسها عبر نسخ التقارير السنوية.</x:v>
      </x:c>
      <x:c r="O108" s="168" t="str">
        <x:v>لا يجوز التعامل مع قيمة منشورة في هذه النسخة بوصفها قابلة للمقارنة مباشرة مع إعادة عرض لاحقة من دون الحفاظ على فرق نسخة النشر.</x:v>
      </x:c>
      <x:c r="S108" t="str">
        <x:v>NOT_ASSESSED</x:v>
      </x:c>
      <x:c r="Y108" t="str">
        <x:v>البنك المركزي اليمني – عدن</x:v>
      </x:c>
      <x:c r="Z108" t="str">
        <x:v>Annual report</x:v>
      </x:c>
      <x:c r="AA108" t="str">
        <x:v>تقرير سنوي</x:v>
      </x:c>
    </x:row>
    <x:row r="109">
      <x:c r="A109" s="24" t="str">
        <x:v>SRC-IMF-BPM6</x:v>
      </x:c>
      <x:c r="B109" s="24" t="str">
        <x:v>https://data.imf.org/-/media/iData/External-Storage/Documents/73FBCD5B6CDE4D289C60B9B0CAA40622/en/2-bpm6.pdf</x:v>
      </x:c>
      <x:c r="C109" s="24" t="str"/>
      <x:c r="D109" s="24" t="str">
        <x:v>DS-K04-BOP-IIP-RECON-SPEC</x:v>
      </x:c>
      <x:c r="E109" s="24" t="n">
        <x:v>2</x:v>
      </x:c>
      <x:c r="F109" s="168" t="str">
        <x:v>Balance of Payments and International Investment Position Manual, sixth edition (BPM6)</x:v>
      </x:c>
      <x:c r="G109" s="168" t="str">
        <x:v>International Monetary Fund</x:v>
      </x:c>
      <x:c r="H109" s="168"/>
      <x:c r="I109" s="168"/>
      <x:c r="J109" s="168"/>
      <x:c r="K109" s="168" t="str">
        <x:v>CITATION_CARD</x:v>
      </x:c>
      <x:c r="L109" s="168" t="str">
        <x:v>دليل ميزان المدفوعات ووضع الاستثمار الدولي، الطبعة السادسة (BPM6)</x:v>
      </x:c>
      <x:c r="M109" s="168"/>
      <x:c r="N109" s="168"/>
      <x:c r="O109" s="168"/>
      <x:c r="S109" t="str">
        <x:v>NOT_ASSESSED</x:v>
      </x:c>
      <x:c r="W109" t="str">
        <x:v>method/standard</x:v>
      </x:c>
      <x:c r="X109" t="str">
        <x:v>global method reference</x:v>
      </x:c>
      <x:c r="Y109" t="str">
        <x:v>صندوق النقد الدولي</x:v>
      </x:c>
      <x:c r="Z109" t="str">
        <x:v>Method or standard</x:v>
      </x:c>
      <x:c r="AA109" t="str">
        <x:v>منهج أو معيار</x:v>
      </x:c>
    </x:row>
    <x:row r="110">
      <x:c r="A110" s="24" t="str">
        <x:v>SRC-IMF-BPM6-COMP-GUIDE</x:v>
      </x:c>
      <x:c r="B110" s="24" t="str">
        <x:v>https://www.imf.org/external/pubs/ft/bop/2014/pdf/guide.pdf</x:v>
      </x:c>
      <x:c r="C110" s="24" t="str"/>
      <x:c r="D110" s="24" t="str">
        <x:v>DS-K04-BOP-IIP-RECON-SPEC</x:v>
      </x:c>
      <x:c r="E110" s="24" t="n">
        <x:v>2</x:v>
      </x:c>
      <x:c r="F110" s="168" t="str">
        <x:v>Balance of Payments and International Investment Position Compilation Guide (companion to BPM6)</x:v>
      </x:c>
      <x:c r="G110" s="168" t="str">
        <x:v>International Monetary Fund</x:v>
      </x:c>
      <x:c r="H110" s="168"/>
      <x:c r="I110" s="168"/>
      <x:c r="J110" s="168"/>
      <x:c r="K110" s="168" t="str">
        <x:v>CITATION_CARD</x:v>
      </x:c>
      <x:c r="L110" s="168" t="str">
        <x:v>دليل تجميع إحصاءات ميزان المدفوعات ووضع الاستثمار الدولي (المرافق للطبعة السادسة BPM6)</x:v>
      </x:c>
      <x:c r="M110" s="168"/>
      <x:c r="N110" s="168"/>
      <x:c r="O110" s="168"/>
      <x:c r="S110" t="str">
        <x:v>NOT_ASSESSED</x:v>
      </x:c>
      <x:c r="W110" t="str">
        <x:v>method/standard</x:v>
      </x:c>
      <x:c r="X110" t="str">
        <x:v>global method reference</x:v>
      </x:c>
      <x:c r="Y110" t="str">
        <x:v>صندوق النقد الدولي</x:v>
      </x:c>
      <x:c r="Z110" t="str">
        <x:v>Method or standard</x:v>
      </x:c>
      <x:c r="AA110" t="str">
        <x:v>منهج أو معيار</x:v>
      </x:c>
    </x:row>
    <x:row r="111">
      <x:c r="A111" s="24" t="str">
        <x:v>SRC-IMF-BPM7-IMPLEMENTATION</x:v>
      </x:c>
      <x:c r="B111" s="24" t="str">
        <x:v>https://www.imf.org/en/publications/policy-papers/issues/2025/07/10/release-of-new-standards-for-macroeconomic-statistics-bpm7-568453</x:v>
      </x:c>
      <x:c r="C111" s="24" t="str"/>
      <x:c r="D111" s="24" t="str">
        <x:v>DS-K04-BOP-IIP-RECON-SPEC,DS-K04-V035-RECON-GATE</x:v>
      </x:c>
      <x:c r="E111" s="24" t="n">
        <x:v>2</x:v>
      </x:c>
      <x:c r="F111" s="168" t="str">
        <x:v>Release of BPM7 and its implementation strategy (2025)</x:v>
      </x:c>
      <x:c r="G111" s="168" t="str">
        <x:v>International Monetary Fund</x:v>
      </x:c>
      <x:c r="H111" s="168"/>
      <x:c r="I111" s="168"/>
      <x:c r="J111" s="168"/>
      <x:c r="K111" s="168" t="str">
        <x:v>CITATION_CARD</x:v>
      </x:c>
      <x:c r="L111" s="168" t="str">
        <x:v>إصدار الطبعة السابعة من دليل ميزان المدفوعات (BPM7) واستراتيجية تطبيقها (2025)</x:v>
      </x:c>
      <x:c r="M111" s="168"/>
      <x:c r="N111" s="168"/>
      <x:c r="O111" s="168"/>
      <x:c r="S111" t="str">
        <x:v>NOT_ASSESSED</x:v>
      </x:c>
      <x:c r="W111" t="str">
        <x:v>method/standard</x:v>
      </x:c>
      <x:c r="X111" t="str">
        <x:v>global method reference</x:v>
      </x:c>
      <x:c r="Y111" t="str">
        <x:v>صندوق النقد الدولي</x:v>
      </x:c>
      <x:c r="Z111" t="str">
        <x:v>Method or standard</x:v>
      </x:c>
      <x:c r="AA111" t="str">
        <x:v>منهج أو معيار</x:v>
      </x:c>
    </x:row>
    <x:row r="112">
      <x:c r="A112" s="24" t="str">
        <x:v>SRC-IMF-YEM-SMP-2026</x:v>
      </x:c>
      <x:c r="B112" s="24" t="str">
        <x:v>https://www.imf.org/en/news/articles/2026/07/16/pr26249-yemen-imf-reaches-sla-on-new-staff-monitored-program</x:v>
      </x:c>
      <x:c r="C112" s="24" t="str"/>
      <x:c r="D112" s="24" t="str">
        <x:v>DS-K04-CBY-IMF-XWALK-REQUEST,DS-K04-V035-RECON-GATE</x:v>
      </x:c>
      <x:c r="E112" s="24" t="n">
        <x:v>1</x:v>
      </x:c>
      <x:c r="F112" s="168" t="str">
        <x:v>Yemen: staff-level agreement on a proposed Staff-Monitored Program (16 July 2026)</x:v>
      </x:c>
      <x:c r="G112" s="168" t="str">
        <x:v>International Monetary Fund</x:v>
      </x:c>
      <x:c r="H112" s="168" t="str">
        <x:v>Current Yemen macro-financial and reform context</x:v>
      </x:c>
      <x:c r="I112" s="168" t="str">
        <x:v>Provides a dated statement of the reform and macro-financial policy package discussed with IMF staff in July 2026, useful for identifying the state of the reform process without collapsing agreement, implementation and outcome.</x:v>
      </x:c>
      <x:c r="J112" s="168" t="str">
        <x:v>A staff-level agreement on policies that could underpin an SMP is not IMF Board-approved financing and does not establish that the reforms were implemented or produced financial-inclusion outcomes.</x:v>
      </x:c>
      <x:c r="K112" s="168" t="str">
        <x:v>FULL_PUBLIC_CARD</x:v>
      </x:c>
      <x:c r="L112" s="168" t="str">
        <x:v>اليمن: اتفاق على مستوى الخبراء بشأن برنامج مقترح يراقبه خبراء صندوق النقد الدولي (SMP) (16 يوليو 2026)</x:v>
      </x:c>
      <x:c r="M112" s="168" t="str">
        <x:v>السياق الراهن للإصلاح والاقتصاد المالي في اليمن</x:v>
      </x:c>
      <x:c r="N112"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2" s="168" t="str">
        <x:v>لا يمثل الاتفاق على مستوى الخبراء بشأن سياسات يمكن أن يقوم عليها برنامج يخضع لمراقبة الصندوق تمويلًا معتمدًا من مجلس الصندوق، ولا يثبت تنفيذ الإصلاحات أو تحقق نتائج للشمول المالي.</x:v>
      </x:c>
      <x:c r="S112" t="str">
        <x:v>NOT_ASSESSED</x:v>
      </x:c>
      <x:c r="Y112" t="str">
        <x:v>صندوق النقد الدولي</x:v>
      </x:c>
      <x:c r="Z112" t="str">
        <x:v>News release</x:v>
      </x:c>
      <x:c r="AA112" t="str">
        <x:v>بيان صحفي</x:v>
      </x:c>
      <x:c r="AB112" t="str">
        <x:v>2026-07-16</x:v>
      </x:c>
    </x:row>
    <x:row r="113">
      <x:c r="A113" s="24" t="str">
        <x:v>SRC-CCY-REMIT-ESTIMATE-2025</x:v>
      </x:c>
      <x:c r="B113" s="24"/>
      <x:c r="C113" s="24" t="str"/>
      <x:c r="D113" s="24" t="str">
        <x:v>DS-K04-BOP-RESIDUAL-STRESS,DS-K04-SOURCE-DEEP-INTAKE</x:v>
      </x:c>
      <x:c r="E113" s="24" t="n">
        <x:v>2</x:v>
      </x:c>
      <x:c r="F113" s="168"/>
      <x:c r="G113" s="168"/>
      <x:c r="H113" s="168"/>
      <x:c r="I113" s="168"/>
      <x:c r="J113" s="168"/>
      <x:c r="K113" s="168" t="str">
        <x:v>LOCATOR_ONLY</x:v>
      </x:c>
      <x:c r="L113" s="168"/>
      <x:c r="M113" s="168"/>
      <x:c r="N113" s="168"/>
      <x:c r="O113" s="168"/>
      <x:c r="P113" t="str">
        <x:v>USER_PROVIDED_FILE: Remittances in Yemen_Estimates and Impact_CCY.pdf</x:v>
      </x:c>
      <x:c r="S113" t="str">
        <x:v>NOT_ASSESSED</x:v>
      </x:c>
    </x:row>
    <x:row r="114">
      <x:c r="A114" s="24" t="str">
        <x:v>SRC-CCY-SAM-2024</x:v>
      </x:c>
      <x:c r="B114" s="24"/>
      <x:c r="C114" s="24" t="str"/>
      <x:c r="D114" s="24" t="str">
        <x:v>DS-K04-SOURCE-DEEP-INTAKE,DS-K04-CASH-FIN-TRANSMISSION</x:v>
      </x:c>
      <x:c r="E114" s="24" t="n">
        <x:v>2</x:v>
      </x:c>
      <x:c r="F114" s="168"/>
      <x:c r="G114" s="168"/>
      <x:c r="H114" s="168"/>
      <x:c r="I114" s="168"/>
      <x:c r="J114" s="168"/>
      <x:c r="K114" s="168" t="str">
        <x:v>LOCATOR_ONLY</x:v>
      </x:c>
      <x:c r="L114" s="168"/>
      <x:c r="M114" s="168"/>
      <x:c r="N114" s="168"/>
      <x:c r="O114" s="168"/>
      <x:c r="P114" t="str">
        <x:v>USER_PROVIDED_FILE: SAM_Multiplie Effect of Cash Study.pdf</x:v>
      </x:c>
      <x:c r="S114" t="str">
        <x:v>NOT_ASSESSED</x:v>
      </x:c>
    </x:row>
    <x:row r="115">
      <x:c r="A115" s="24" t="str">
        <x:v>SRC-CCY-CASH-DURATION-2026</x:v>
      </x:c>
      <x:c r="B115" s="24"/>
      <x:c r="C115" s="24" t="str"/>
      <x:c r="D115" s="24" t="str">
        <x:v>DS-K04-SOURCE-DEEP-INTAKE,DS-K04-CASH-FIN-TRANSMISSION</x:v>
      </x:c>
      <x:c r="E115" s="24" t="n">
        <x:v>2</x:v>
      </x:c>
      <x:c r="F115" s="168"/>
      <x:c r="G115" s="168"/>
      <x:c r="H115" s="168"/>
      <x:c r="I115" s="168"/>
      <x:c r="J115" s="168"/>
      <x:c r="K115" s="168" t="str">
        <x:v>LOCATOR_ONLY</x:v>
      </x:c>
      <x:c r="L115" s="168"/>
      <x:c r="M115" s="168"/>
      <x:c r="N115" s="168"/>
      <x:c r="O115" s="168"/>
      <x:c r="P115" t="str">
        <x:v>USER_PROVIDED_FILE: Cash Duration Report_CCY_2026.06.22.pdf</x:v>
      </x:c>
      <x:c r="S115" t="str">
        <x:v>NOT_ASSESSED</x:v>
      </x:c>
    </x:row>
    <x:row r="116">
      <x:c r="A116" s="24" t="str">
        <x:v>SRC-CCY-ISP-2024</x:v>
      </x:c>
      <x:c r="B116" s="24"/>
      <x:c r="C116" s="24" t="str"/>
      <x:c r="D116" s="24" t="str">
        <x:v>DS-K04-SOURCE-DEEP-INTAKE,DS-K04-CASH-FIN-TRANSMISSION</x:v>
      </x:c>
      <x:c r="E116" s="24" t="n">
        <x:v>2</x:v>
      </x:c>
      <x:c r="F116" s="168"/>
      <x:c r="G116" s="168"/>
      <x:c r="H116" s="168"/>
      <x:c r="I116" s="168"/>
      <x:c r="J116" s="168"/>
      <x:c r="K116" s="168" t="str">
        <x:v>LOCATOR_ONLY</x:v>
      </x:c>
      <x:c r="L116" s="168"/>
      <x:c r="M116" s="168"/>
      <x:c r="N116" s="168"/>
      <x:c r="O116" s="168"/>
      <x:c r="P116" t="str">
        <x:v>USER_PROVIDED_FILE: The Unseen Assistance_Measuring Informal Social Protection in Yemen.pdf</x:v>
      </x:c>
      <x:c r="S116" t="str">
        <x:v>NOT_ASSESSED</x:v>
      </x:c>
    </x:row>
    <x:row r="117">
      <x:c r="A117" s="24" t="str">
        <x:v>SRC-CCY-AMAL-2025</x:v>
      </x:c>
      <x:c r="B117" s="24"/>
      <x:c r="C117" s="24" t="str"/>
      <x:c r="D117" s="24" t="str">
        <x:v>DS-K04-SOURCE-DEEP-INTAKE,DS-K04-CASH-FIN-TRANSMISSION</x:v>
      </x:c>
      <x:c r="E117" s="24" t="n">
        <x:v>2</x:v>
      </x:c>
      <x:c r="F117" s="168"/>
      <x:c r="G117" s="168"/>
      <x:c r="H117" s="168"/>
      <x:c r="I117" s="168"/>
      <x:c r="J117" s="168"/>
      <x:c r="K117" s="168" t="str">
        <x:v>LOCATOR_ONLY</x:v>
      </x:c>
      <x:c r="L117" s="168"/>
      <x:c r="M117" s="168"/>
      <x:c r="N117" s="168"/>
      <x:c r="O117" s="168"/>
      <x:c r="P117" t="str">
        <x:v>USER_PROVIDED_FILE: AMAL Market Assessment _ Final.pdf</x:v>
      </x:c>
      <x:c r="S117" t="str">
        <x:v>NOT_ASSESSED</x:v>
      </x:c>
    </x:row>
    <x:row r="118">
      <x:c r="A118" s="24" t="str">
        <x:v>SRC-CCY-PRESSURE-2026</x:v>
      </x:c>
      <x:c r="B118" s="24"/>
      <x:c r="C118" s="24" t="str"/>
      <x:c r="D118" s="24" t="str">
        <x:v>DS-K04-SOURCE-DEEP-INTAKE,DS-K04-CASH-FIN-TRANSMISSION</x:v>
      </x:c>
      <x:c r="E118" s="24" t="n">
        <x:v>2</x:v>
      </x:c>
      <x:c r="F118" s="168"/>
      <x:c r="G118" s="168"/>
      <x:c r="H118" s="168"/>
      <x:c r="I118" s="168"/>
      <x:c r="J118" s="168"/>
      <x:c r="K118" s="168" t="str">
        <x:v>LOCATOR_ONLY</x:v>
      </x:c>
      <x:c r="L118" s="168"/>
      <x:c r="M118" s="168"/>
      <x:c r="N118" s="168"/>
      <x:c r="O118" s="168"/>
      <x:c r="P118" t="str">
        <x:v>USER_PROVIDED_FILE: Economic Impact of Iran-US War on Yemen_May 2026.pdf</x:v>
      </x:c>
      <x:c r="S118" t="str">
        <x:v>NOT_ASSESSED</x:v>
      </x:c>
    </x:row>
    <x:row r="119">
      <x:c r="A119" s="24" t="str">
        <x:v>SRC-AIDDATA-SAUDI-YEM-2015</x:v>
      </x:c>
      <x:c r="B119" s="24" t="str">
        <x:v>https://www.aiddata.org/blog/saudi-aid-to-yemen-stability-over-development</x:v>
      </x:c>
      <x:c r="C119" s="24" t="str"/>
      <x:c r="D119" s="24" t="str">
        <x:v>DS-K04-SOURCE-DEEP-INTAKE,DS-K04-SAUDI-SUPPORT-TRANSMISSION</x:v>
      </x:c>
      <x:c r="E119" s="24" t="n">
        <x:v>2</x:v>
      </x:c>
      <x:c r="F119" s="168" t="str">
        <x:v>Saudi aid to Yemen: stability over development? (May 2015)</x:v>
      </x:c>
      <x:c r="G119" s="168" t="str">
        <x:v>AidData</x:v>
      </x:c>
      <x:c r="H119" s="168"/>
      <x:c r="I119" s="168"/>
      <x:c r="J119" s="168"/>
      <x:c r="K119" s="168" t="str">
        <x:v>CITATION_CARD</x:v>
      </x:c>
      <x:c r="L119" s="168" t="str">
        <x:v>المساعدات السعودية لليمن: الاستقرار قبل التنمية؟ (مايو 2015)</x:v>
      </x:c>
      <x:c r="M119" s="168"/>
      <x:c r="N119" s="168"/>
      <x:c r="O119" s="168"/>
      <x:c r="S119" t="str">
        <x:v>NOT_ASSESSED</x:v>
      </x:c>
      <x:c r="Y119" t="str">
        <x:v>AidData</x:v>
      </x:c>
      <x:c r="Z119" t="str">
        <x:v>Research or policy paper</x:v>
      </x:c>
      <x:c r="AA119" t="str">
        <x:v>ورقة بحثية أو سياساتية</x:v>
      </x:c>
      <x:c r="AB119" t="str">
        <x:v>2015-05-08</x:v>
      </x:c>
    </x:row>
    <x:row r="120">
      <x:c r="A120" s="24" t="str">
        <x:v>SRC-WB-RPW-KSA-YEM-2025Q3</x:v>
      </x:c>
      <x:c r="B120" s="24" t="str">
        <x:v>https://remittanceprices.worldbank.org/corridor/Saudi%20Arabia/Yemen</x:v>
      </x:c>
      <x:c r="C120" s="24" t="str"/>
      <x:c r="D120" s="24" t="str">
        <x:v>DS-K04-REMIT-REGIMES,DS-K04-CASH-FIN-TRANSMISSION</x:v>
      </x:c>
      <x:c r="E120" s="24" t="n">
        <x:v>2</x:v>
      </x:c>
      <x:c r="F120" s="168" t="str">
        <x:v>Remittance Prices Worldwide: Saudi Arabia to Yemen corridor (third quarter of 2025)</x:v>
      </x:c>
      <x:c r="G120" s="168" t="str">
        <x:v>World Bank</x:v>
      </x:c>
      <x:c r="H120" s="168"/>
      <x:c r="I120" s="168"/>
      <x:c r="J120" s="168"/>
      <x:c r="K120" s="168" t="str">
        <x:v>CITATION_CARD</x:v>
      </x:c>
      <x:c r="L120" s="168" t="str">
        <x:v>قاعدة بيانات Remittance Prices Worldwide: ممر الحوالات من المملكة العربية السعودية إلى اليمن (الربع الثالث من 2025)</x:v>
      </x:c>
      <x:c r="M120" s="168"/>
      <x:c r="N120" s="168"/>
      <x:c r="O120" s="168"/>
      <x:c r="S120" t="str">
        <x:v>NOT_ASSESSED</x:v>
      </x:c>
      <x:c r="Y120" t="str">
        <x:v>البنك الدولي</x:v>
      </x:c>
      <x:c r="Z120" t="str">
        <x:v>Database or web interface</x:v>
      </x:c>
      <x:c r="AA120" t="str">
        <x:v>قاعدة بيانات أو واجهة إلكترونية</x:v>
      </x:c>
    </x:row>
    <x:row r="121">
      <x:c r="A121" s="24" t="str">
        <x:v>SRC-LIT-XIDIAN-YEM-FI-2025</x:v>
      </x:c>
      <x:c r="B121" s="24" t="str">
        <x:v>https://www.researchgate.net/publication/393091523_The_Reality_of_Financial_Inclusion_and_Crucial_Issues_in_Yemen</x:v>
      </x:c>
      <x:c r="C121" s="24" t="str"/>
      <x:c r="D121" s="24" t="str">
        <x:v>DS-K04-SOURCE-DEEP-INTAKE,DS-K04-LITERATURE-SOURCE-AUDIT</x:v>
      </x:c>
      <x:c r="E121" s="24" t="n">
        <x:v>2</x:v>
      </x:c>
      <x:c r="F121" s="168"/>
      <x:c r="G121" s="168"/>
      <x:c r="H121" s="168"/>
      <x:c r="I121" s="168"/>
      <x:c r="J121" s="168"/>
      <x:c r="K121" s="168" t="str">
        <x:v>LOCATOR_ONLY</x:v>
      </x:c>
      <x:c r="L121" s="168"/>
      <x:c r="M121" s="168"/>
      <x:c r="N121" s="168"/>
      <x:c r="O121" s="168"/>
      <x:c r="S121" t="str">
        <x:v>NOT_ASSESSED</x:v>
      </x:c>
    </x:row>
    <x:row r="122">
      <x:c r="A122" s="24" t="str">
        <x:v>SRC-LIT-INVEST-ISLAMIC-FI-2024</x:v>
      </x:c>
      <x:c r="B122" s="24" t="str">
        <x:v>https://jurnal.iainponorogo.ac.id/index.php/invest/article/view/8340</x:v>
      </x:c>
      <x:c r="C122" s="24" t="str"/>
      <x:c r="D122" s="24" t="str">
        <x:v>DS-K04-SOURCE-DEEP-INTAKE,DS-K04-LITERATURE-SOURCE-AUDIT</x:v>
      </x:c>
      <x:c r="E122" s="24" t="n">
        <x:v>2</x:v>
      </x:c>
      <x:c r="F122" s="168"/>
      <x:c r="G122" s="168"/>
      <x:c r="H122" s="168"/>
      <x:c r="I122" s="168"/>
      <x:c r="J122" s="168"/>
      <x:c r="K122" s="168" t="str">
        <x:v>LOCATOR_ONLY</x:v>
      </x:c>
      <x:c r="L122" s="168"/>
      <x:c r="M122" s="168"/>
      <x:c r="N122" s="168"/>
      <x:c r="O122" s="168"/>
      <x:c r="S122" t="str">
        <x:v>NOT_ASSESSED</x:v>
      </x:c>
    </x:row>
    <x:row r="123">
      <x:c r="A123" s="24" t="str">
        <x:v>SRC-LIT-OEB-FX-PRICES-2025</x:v>
      </x:c>
      <x:c r="B123" s="24" t="str">
        <x:v>https://asjp.cerist.dz/en/article/273259</x:v>
      </x:c>
      <x:c r="C123" s="24" t="str"/>
      <x:c r="D123" s="24" t="str">
        <x:v>DS-K04-SOURCE-DEEP-INTAKE,DS-K04-LITERATURE-SOURCE-AUDIT</x:v>
      </x:c>
      <x:c r="E123" s="24" t="n">
        <x:v>2</x:v>
      </x:c>
      <x:c r="F123" s="168"/>
      <x:c r="G123" s="168"/>
      <x:c r="H123" s="168"/>
      <x:c r="I123" s="168"/>
      <x:c r="J123" s="168"/>
      <x:c r="K123" s="168" t="str">
        <x:v>LOCATOR_ONLY</x:v>
      </x:c>
      <x:c r="L123" s="168"/>
      <x:c r="M123" s="168"/>
      <x:c r="N123" s="168"/>
      <x:c r="O123" s="168"/>
      <x:c r="S123" t="str">
        <x:v>NOT_ASSESSED</x:v>
      </x:c>
    </x:row>
    <x:row r="124">
      <x:c r="A124" s="24" t="str">
        <x:v>SRC-LIT-ALG-FI-COMPARATIVE</x:v>
      </x:c>
      <x:c r="B124" s="24"/>
      <x:c r="C124" s="24" t="str"/>
      <x:c r="D124" s="24" t="str">
        <x:v>DS-K04-LITERATURE-SOURCE-AUDIT</x:v>
      </x:c>
      <x:c r="E124" s="24" t="n">
        <x:v>1</x:v>
      </x:c>
      <x:c r="F124" s="168"/>
      <x:c r="G124" s="168"/>
      <x:c r="H124" s="168"/>
      <x:c r="I124" s="168"/>
      <x:c r="J124" s="168"/>
      <x:c r="K124" s="168" t="str">
        <x:v>LOCATOR_ONLY</x:v>
      </x:c>
      <x:c r="L124" s="168"/>
      <x:c r="M124" s="168"/>
      <x:c r="N124" s="168"/>
      <x:c r="O124" s="168"/>
      <x:c r="P124" t="str">
        <x:v>USER_PROVIDED_FILE: Algeria_Financial_Inclusion_Governance_COMPARATIVE_ONLY.pdf</x:v>
      </x:c>
      <x:c r="S124" t="str">
        <x:v>NOT_ASSESSED</x:v>
      </x:c>
    </x:row>
    <x:row r="125">
      <x:c r="A125" s="24" t="str">
        <x:v>SRC-LIT-IND-FI-TEMPLATE-2023</x:v>
      </x:c>
      <x:c r="B125" s="24"/>
      <x:c r="C125" s="24" t="str"/>
      <x:c r="D125" s="24" t="str">
        <x:v>DS-K04-LITERATURE-SOURCE-AUDIT</x:v>
      </x:c>
      <x:c r="E125" s="24" t="n">
        <x:v>1</x:v>
      </x:c>
      <x:c r="F125" s="168"/>
      <x:c r="G125" s="168"/>
      <x:c r="H125" s="168"/>
      <x:c r="I125" s="168"/>
      <x:c r="J125" s="168"/>
      <x:c r="K125" s="168" t="str">
        <x:v>LOCATOR_ONLY</x:v>
      </x:c>
      <x:c r="L125" s="168"/>
      <x:c r="M125" s="168"/>
      <x:c r="N125" s="168"/>
      <x:c r="O125" s="168"/>
      <x:c r="P125" t="str">
        <x:v>USER_PROVIDED_FILE: REJECTED_AS_YEMEN_EVIDENCE__India_FI_Index_Template_2023.pdf</x:v>
      </x:c>
      <x:c r="S125" t="str">
        <x:v>NOT_ASSESSED</x:v>
      </x:c>
    </x:row>
    <x:row r="126">
      <x:c r="A126" s="24" t="str">
        <x:v>SRC-SANAA-MF-2020</x:v>
      </x:c>
      <x:c r="B126" s="24" t="str">
        <x:v>https://sanaacenter.org/publications/policy-research/9808</x:v>
      </x:c>
      <x:c r="C126" s="24" t="str">
        <x:v>["https://sanaacenter.org/files/Rethinking_Yemens_Economy_No6.pdf"]</x:v>
      </x:c>
      <x:c r="D126" s="24" t="str">
        <x:v>DS-K04-SOURCE-DEEP-INTAKE,DS-K04-LITERATURE-SOURCE-AUDIT,DS-V041-STRICT-COUNSEL</x:v>
      </x:c>
      <x:c r="E126" s="24" t="n">
        <x:v>3</x:v>
      </x:c>
      <x:c r="F126" s="168" t="str">
        <x:v>Microfinance in Yemen: An Overview of Challenges and Opportunities — Rethinking Yemen's Economy No. 6 (April 2020)</x:v>
      </x:c>
      <x:c r="G126" s="168" t="str">
        <x:v>Sana’a Center for Strategic Studies</x:v>
      </x:c>
      <x:c r="H126" s="168"/>
      <x:c r="I126" s="168"/>
      <x:c r="J126" s="168"/>
      <x:c r="K126" s="168" t="str">
        <x:v>CITATION_CARD</x:v>
      </x:c>
      <x:c r="L126" s="168" t="str">
        <x:v>التمويل الأصغر في اليمن: نظرة عامة على التحديات والفرص — سلسلة Rethinking Yemen's Economy، العدد 6 (أبريل 2020)</x:v>
      </x:c>
      <x:c r="M126" s="168"/>
      <x:c r="N126" s="168"/>
      <x:c r="O126" s="168"/>
      <x:c r="S126" t="str">
        <x:v>NOT_ASSESSED</x:v>
      </x:c>
      <x:c r="Y126" t="str">
        <x:v>مركز صنعاء للدراسات الاستراتيجية</x:v>
      </x:c>
      <x:c r="Z126" t="str">
        <x:v>Research or policy paper</x:v>
      </x:c>
      <x:c r="AA126" t="str">
        <x:v>ورقة بحثية أو سياساتية</x:v>
      </x:c>
      <x:c r="AB126" t="str">
        <x:v>2020-04-30</x:v>
      </x:c>
    </x:row>
    <x:row r="127">
      <x:c r="A127" s="24" t="str">
        <x:v>SRC-SANAA-EMONEY-2022</x:v>
      </x:c>
      <x:c r="B127" s="24" t="str">
        <x:v>https://sanaacenter.org/publications/policy-research/16974</x:v>
      </x:c>
      <x:c r="C127" s="24" t="str"/>
      <x:c r="D127" s="24" t="str">
        <x:v>DS-K04-SOURCE-DEEP-INTAKE,DS-K04-LITERATURE-SOURCE-AUDIT,DS-K04-CAUSEWAY-READING-002</x:v>
      </x:c>
      <x:c r="E127" s="24" t="n">
        <x:v>3</x:v>
      </x:c>
      <x:c r="F127" s="168" t="str">
        <x:v>Challenges and Prospects for Electronic Money and Payment Systems in Yemen</x:v>
      </x:c>
      <x:c r="G127" s="168" t="str">
        <x:v>Sana’a Center for Strategic Studies</x:v>
      </x:c>
      <x:c r="H127" s="168" t="str">
        <x:v>Yemen analytical literature and sector context</x:v>
      </x:c>
      <x:c r="I127" s="168" t="str">
        <x:v>Provides Yemen-specific analytical context on e-money regulation, provider models, payment infrastructure and institutional fragmentation. It is useful for interpreting the historical pathway to today’s payment reforms and for generating verification questions against primary regulatory sources.</x:v>
      </x:c>
      <x:c r="J127" s="168" t="str">
        <x:v>This 2022 analytical paper does not establish current law, current provider operating status, current adoption, or national financial-inclusion prevalence.</x:v>
      </x:c>
      <x:c r="K127" s="168" t="str">
        <x:v>FULL_PUBLIC_CARD</x:v>
      </x:c>
      <x:c r="L127" s="168" t="str">
        <x:v>تحديات وآفاق النقود الإلكترونية وأنظمة الدفع في اليمن</x:v>
      </x:c>
      <x:c r="M127" s="168" t="str">
        <x:v>الأدبيات والتحليلات القطاعية الخاصة باليمن</x:v>
      </x:c>
      <x:c r="N127" s="168" t="str">
        <x:v>يوفر سياقًا تحليليًا خاصًا باليمن حول تنظيم النقود الإلكترونية ونماذج مقدمي الخدمات وبنية المدفوعات والانقسام المؤسسي. ويفيد في تفسير المسار التاريخي المؤدي إلى إصلاحات المدفوعات الحالية وفي توليد أسئلة للتحقق من المصادر التنظيمية الأصلية.</x:v>
      </x:c>
      <x:c r="O127"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27" t="str">
        <x:v>NOT_ASSESSED</x:v>
      </x:c>
      <x:c r="Y127" t="str">
        <x:v>مركز صنعاء للدراسات الاستراتيجية</x:v>
      </x:c>
      <x:c r="Z127" t="str">
        <x:v>Research or policy paper</x:v>
      </x:c>
      <x:c r="AA127" t="str">
        <x:v>ورقة بحثية أو سياساتية</x:v>
      </x:c>
    </x:row>
    <x:row r="128">
      <x:c r="A128" s="24" t="str">
        <x:v>SRC-SANAA-MFB-2024</x:v>
      </x:c>
      <x:c r="B128" s="24" t="str">
        <x:v>https://sanaacenter.org/publications/policy-research/23418</x:v>
      </x:c>
      <x:c r="C128" s="24" t="str"/>
      <x:c r="D128" s="24" t="str">
        <x:v>DS-K04-SOURCE-DEEP-INTAKE,DS-K04-LITERATURE-SOURCE-AUDIT,DS-K04-CAUSEWAY-READING-002,DS-K04-MFB2023-RECON,DS-K04-MFB-TRANSFORM-LENS,DS-K04-CAUSEWAY-READING-003</x:v>
      </x:c>
      <x:c r="E128" s="24" t="n">
        <x:v>8</x:v>
      </x:c>
      <x:c r="F128" s="168" t="str">
        <x:v>Enhancing the Role of Microfinance Banks for Sustainable Impact in Yemen (2024)</x:v>
      </x:c>
      <x:c r="G128" s="168" t="str">
        <x:v>Sana’a Center for Strategic Studies</x:v>
      </x:c>
      <x:c r="H128" s="168" t="str">
        <x:v>Yemen analytical literature and sector context</x:v>
      </x:c>
      <x:c r="I128" s="168" t="str">
        <x:v>Provides Yemen-specific analysis of the changing microfinance-bank landscape, licensing incentives, institutional fragmentation and sustainability risks. It is useful for interpreting provider and microfinance evidence and for triangulating questions that require primary supervisory or institution-level data.</x:v>
      </x:c>
      <x:c r="J128" s="168" t="str">
        <x:v>The policy brief is not a current sector census, does not establish whether a named institution is operating now, and does not provide a national finance-access rate or causal impact estimate.</x:v>
      </x:c>
      <x:c r="K128" s="168" t="str">
        <x:v>FULL_PUBLIC_CARD</x:v>
      </x:c>
      <x:c r="L128" s="168" t="str">
        <x:v>تعزيز دور بنوك التمويل الأصغر لتحقيق أثر مستدام في اليمن (2024)</x:v>
      </x:c>
      <x:c r="M128" s="168" t="str">
        <x:v>الأدبيات والتحليلات القطاعية الخاصة باليمن</x:v>
      </x:c>
      <x:c r="N128"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28" s="168" t="str">
        <x:v>لا تمثل الورقة موجزًا إحصائيًا راهنًا للقطاع، ولا تثبت أن مؤسسة مسماة تعمل حاليًا، ولا تقدم معدلًا وطنيًا للوصول إلى التمويل أو تقديرًا سببيًا للأثر.</x:v>
      </x:c>
      <x:c r="S128" t="str">
        <x:v>NOT_ASSESSED</x:v>
      </x:c>
      <x:c r="Y128" t="str">
        <x:v>مركز صنعاء للدراسات الاستراتيجية</x:v>
      </x:c>
      <x:c r="Z128" t="str">
        <x:v>Research or policy paper</x:v>
      </x:c>
      <x:c r="AA128" t="str">
        <x:v>ورقة بحثية أو سياساتية</x:v>
      </x:c>
      <x:c r="AB128" t="str">
        <x:v>2024</x:v>
      </x:c>
    </x:row>
    <x:row r="129">
      <x:c r="A129" s="24" t="str">
        <x:v>SRC-MDPI-UTAUT-YEM-2022</x:v>
      </x:c>
      <x:c r="B129" s="24" t="str">
        <x:v>https://www.mdpi.com/2227-7099/10/10/259</x:v>
      </x:c>
      <x:c r="C129" s="24" t="str"/>
      <x:c r="D129" s="24" t="str">
        <x:v>DS-K04-SOURCE-DEEP-INTAKE,DS-K04-LITERATURE-SOURCE-AUDIT,DS-K04-CAUSEWAY-READING-002</x:v>
      </x:c>
      <x:c r="E129" s="24" t="n">
        <x:v>3</x:v>
      </x:c>
      <x:c r="F129" s="168" t="str">
        <x:v>Intention to Use E-Payments from the Perspective of the Unified Theory of Acceptance and Use of Technology (UTAUT): Evidence from Yemen (October 2022)</x:v>
      </x:c>
      <x:c r="G129" s="168" t="str">
        <x:v>Economies (MDPI)</x:v>
      </x:c>
      <x:c r="H129" s="168"/>
      <x:c r="I129" s="168"/>
      <x:c r="J129" s="168"/>
      <x:c r="K129" s="168" t="str">
        <x:v>CITATION_CARD</x:v>
      </x:c>
      <x:c r="L129" s="168" t="str">
        <x:v>نية استخدام المدفوعات الإلكترونية من منظور النظرية الموحدة لقبول التكنولوجيا واستخدامها (UTAUT): أدلة من اليمن (أكتوبر 2022)</x:v>
      </x:c>
      <x:c r="M129" s="168"/>
      <x:c r="N129" s="168"/>
      <x:c r="O129" s="168"/>
      <x:c r="S129" t="str">
        <x:v>NOT_ASSESSED</x:v>
      </x:c>
      <x:c r="Y129" t="str">
        <x:v>مجلة Economies (الناشر MDPI)</x:v>
      </x:c>
      <x:c r="Z129" t="str">
        <x:v>Research or policy paper</x:v>
      </x:c>
      <x:c r="AA129" t="str">
        <x:v>ورقة بحثية أو سياساتية</x:v>
      </x:c>
      <x:c r="AB129" t="str">
        <x:v>2022-10-18</x:v>
      </x:c>
    </x:row>
    <x:row r="130">
      <x:c r="A130" s="24" t="str">
        <x:v>SRC-IBS-EPAY-YEM-2020</x:v>
      </x:c>
      <x:c r="B130" s="24" t="str">
        <x:v>https://www.findevgateway.org/paper/2020/10/electronic-payment-services-yemen-challenges-and-opportunities-success</x:v>
      </x:c>
      <x:c r="C130"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0" s="24" t="str">
        <x:v>DS-K04-SOURCE-DEEP-INTAKE,DS-K04-LITERATURE-SOURCE-AUDIT,DS-K04-IBS2020-UPSTREAM,DS-K04-IBS2020-RECON</x:v>
      </x:c>
      <x:c r="E130" s="24" t="n">
        <x:v>4</x:v>
      </x:c>
      <x:c r="F130" s="168" t="str">
        <x:v>Electronic Payment Services in Yemen: Challenges and Opportunities for Success (October 2020)</x:v>
      </x:c>
      <x:c r="G130" s="168" t="str">
        <x:v>Institute of Banking Studies (IBS)</x:v>
      </x:c>
      <x:c r="H130" s="168"/>
      <x:c r="I130" s="168"/>
      <x:c r="J130" s="168"/>
      <x:c r="K130" s="168" t="str">
        <x:v>CITATION_CARD</x:v>
      </x:c>
      <x:c r="L130" s="168" t="str">
        <x:v>خدمات الدفع الإلكتروني في اليمن: التحديات وفرص النجاح (أكتوبر 2020)</x:v>
      </x:c>
      <x:c r="M130" s="168"/>
      <x:c r="N130" s="168"/>
      <x:c r="O130" s="168"/>
      <x:c r="S130" t="str">
        <x:v>NOT_ASSESSED</x:v>
      </x:c>
      <x:c r="Y130" t="str">
        <x:v>معهد الدراسات المصرفية</x:v>
      </x:c>
      <x:c r="Z130" t="str">
        <x:v>Research or policy paper</x:v>
      </x:c>
      <x:c r="AA130" t="str">
        <x:v>ورقة بحثية أو سياساتية</x:v>
      </x:c>
      <x:c r="AB130" t="str">
        <x:v>2020-10</x:v>
      </x:c>
    </x:row>
    <x:row r="131">
      <x:c r="A131" s="24" t="str">
        <x:v>SRC-ADEN-CBY-LIQ-2016</x:v>
      </x:c>
      <x:c r="B131" s="24" t="str">
        <x:v>https://search.mandumah.com/Record/932295</x:v>
      </x:c>
      <x:c r="C131" s="24" t="str"/>
      <x:c r="D131" s="24" t="str">
        <x:v>DS-K04-SOURCE-DEEP-INTAKE,DS-K04-LITERATURE-SOURCE-AUDIT</x:v>
      </x:c>
      <x:c r="E131" s="24" t="n">
        <x:v>2</x:v>
      </x:c>
      <x:c r="F131" s="168"/>
      <x:c r="G131" s="168"/>
      <x:c r="H131" s="168"/>
      <x:c r="I131" s="168"/>
      <x:c r="J131" s="168"/>
      <x:c r="K131" s="168" t="str">
        <x:v>LOCATOR_ONLY</x:v>
      </x:c>
      <x:c r="L131" s="168"/>
      <x:c r="M131" s="168"/>
      <x:c r="N131" s="168"/>
      <x:c r="O131" s="168"/>
      <x:c r="S131" t="str">
        <x:v>NOT_ASSESSED</x:v>
      </x:c>
    </x:row>
    <x:row r="132">
      <x:c r="A132" s="24" t="str">
        <x:v>SRC-SFD-SMED-LP-2023-NOV</x:v>
      </x:c>
      <x:c r="B132" s="24" t="str">
        <x:v>https://smed.sfd-yemen.org/index.php/en/blog-4/aaflp1/477-nov-2023</x:v>
      </x:c>
      <x:c r="C132" s="24" t="str"/>
      <x:c r="D132" s="24" t="str">
        <x:v>DS-K04-MFB2023-RECON,DS-K04-MFB-TRANSFORM-LENS</x:v>
      </x:c>
      <x:c r="E132" s="24" t="n">
        <x:v>2</x:v>
      </x:c>
      <x:c r="F132" s="168" t="str">
        <x:v>Small and Microenterprise Development (SMED) loan portfolio archive: November 2023 page</x:v>
      </x:c>
      <x:c r="G132" s="168" t="str">
        <x:v>Social Fund for Development (SFD)</x:v>
      </x:c>
      <x:c r="H132" s="168"/>
      <x:c r="I132" s="168"/>
      <x:c r="J132" s="168"/>
      <x:c r="K132" s="168" t="str">
        <x:v>CITATION_CARD</x:v>
      </x:c>
      <x:c r="L132" s="168" t="str">
        <x:v>أرشيف المحفظة الإقراضية لوحدة تنمية المنشآت الصغيرة والأصغر (SMED): صفحة نوفمبر 2023</x:v>
      </x:c>
      <x:c r="M132" s="168"/>
      <x:c r="N132" s="168"/>
      <x:c r="O132" s="168"/>
      <x:c r="S132" t="str">
        <x:v>NOT_ASSESSED</x:v>
      </x:c>
      <x:c r="Y132" t="str">
        <x:v>الصندوق الاجتماعي للتنمية</x:v>
      </x:c>
      <x:c r="Z132" t="str">
        <x:v>Database or web interface</x:v>
      </x:c>
      <x:c r="AA132" t="str">
        <x:v>قاعدة بيانات أو واجهة إلكترونية</x:v>
      </x:c>
    </x:row>
    <x:row r="133">
      <x:c r="A133" s="24" t="str">
        <x:v>SRC-MOPIC-YSEU-2023-080</x:v>
      </x:c>
      <x:c r="B133" s="24"/>
      <x:c r="C133" s="24" t="str"/>
      <x:c r="D133" s="24" t="str">
        <x:v>DS-K04-MFB2023-RECON — primary public locator unresolved; retain only as bounded cited dependency until source is recovered</x:v>
      </x:c>
      <x:c r="E133" s="24" t="n">
        <x:v>1</x:v>
      </x:c>
      <x:c r="F133" s="168"/>
      <x:c r="G133" s="168"/>
      <x:c r="H133" s="168"/>
      <x:c r="I133" s="168"/>
      <x:c r="J133" s="168"/>
      <x:c r="K133" s="168" t="str">
        <x:v>LOCATOR_ONLY</x:v>
      </x:c>
      <x:c r="L133" s="168"/>
      <x:c r="M133" s="168"/>
      <x:c r="N133" s="168"/>
      <x:c r="O133" s="168"/>
      <x:c r="S133" t="str">
        <x:v>NOT_ASSESSED</x:v>
      </x:c>
    </x:row>
    <x:row r="134">
      <x:c r="A134" s="24" t="str">
        <x:v>SRC-SANAA-SOCPROT-2024</x:v>
      </x:c>
      <x:c r="B134" s="24" t="str">
        <x:v>https://sanaacenter.org/publications/policy-research/22910</x:v>
      </x:c>
      <x:c r="C134" s="24" t="str"/>
      <x:c r="D134" s="24" t="str">
        <x:v>DS-K04-MFB2023-RECON,DS-K04-CAUSEWAY-READING-003</x:v>
      </x:c>
      <x:c r="E134" s="24" t="n">
        <x:v>2</x:v>
      </x:c>
      <x:c r="F134" s="168" t="str">
        <x:v>From Vulnerability to Empowerment: The Future of Social Protection in Yemen (July 2024)</x:v>
      </x:c>
      <x:c r="G134" s="168" t="str">
        <x:v>Sana’a Center for Strategic Studies</x:v>
      </x:c>
      <x:c r="H134" s="168"/>
      <x:c r="I134" s="168"/>
      <x:c r="J134" s="168"/>
      <x:c r="K134" s="168" t="str">
        <x:v>CITATION_CARD</x:v>
      </x:c>
      <x:c r="L134" s="168" t="str">
        <x:v>من الهشاشة إلى التمكين: مستقبل الحماية الاجتماعية في اليمن (يوليو 2024)</x:v>
      </x:c>
      <x:c r="M134" s="168"/>
      <x:c r="N134" s="168"/>
      <x:c r="O134" s="168"/>
      <x:c r="S134" t="str">
        <x:v>NOT_ASSESSED</x:v>
      </x:c>
      <x:c r="Y134" t="str">
        <x:v>مركز صنعاء للدراسات الاستراتيجية</x:v>
      </x:c>
      <x:c r="Z134" t="str">
        <x:v>Research or policy paper</x:v>
      </x:c>
      <x:c r="AA134" t="str">
        <x:v>ورقة بحثية أو سياساتية</x:v>
      </x:c>
      <x:c r="AB134" t="str">
        <x:v>2024-07-09</x:v>
      </x:c>
    </x:row>
    <x:row r="135">
      <x:c r="A135" s="24" t="str">
        <x:v>SRC-SANAA-YR-2025-Q2-MFB</x:v>
      </x:c>
      <x:c r="B135" s="24" t="str">
        <x:v>https://sanaacenter.org/the-yemen-review/april-june-2025/25056</x:v>
      </x:c>
      <x:c r="C135" s="24" t="str"/>
      <x:c r="D135" s="24" t="str">
        <x:v>DS-K04-MFB2023-RECON,DS-K04-CAUSEWAY-READING-003</x:v>
      </x:c>
      <x:c r="E135" s="24" t="n">
        <x:v>1</x:v>
      </x:c>
      <x:c r="F135" s="168" t="str">
        <x:v>The Economy — The Yemen Review Quarterly: April–June 2025 (July 2025)</x:v>
      </x:c>
      <x:c r="G135" s="168" t="str">
        <x:v>Sana’a Center for Strategic Studies</x:v>
      </x:c>
      <x:c r="H135" s="168"/>
      <x:c r="I135" s="168"/>
      <x:c r="J135" s="168"/>
      <x:c r="K135" s="168" t="str">
        <x:v>CITATION_CARD</x:v>
      </x:c>
      <x:c r="L135" s="168" t="str">
        <x:v>باب الاقتصاد في التقرير الفصلي The Yemen Review: أبريل–يونيو 2025 (يوليو 2025)</x:v>
      </x:c>
      <x:c r="M135" s="168"/>
      <x:c r="N135" s="168"/>
      <x:c r="O135" s="168"/>
      <x:c r="S135" t="str">
        <x:v>NOT_ASSESSED</x:v>
      </x:c>
      <x:c r="Y135" t="str">
        <x:v>مركز صنعاء للدراسات الاستراتيجية</x:v>
      </x:c>
      <x:c r="Z135" t="str">
        <x:v>Newsletter</x:v>
      </x:c>
      <x:c r="AA135" t="str">
        <x:v>نشرة دورية</x:v>
      </x:c>
      <x:c r="AB135" t="str">
        <x:v>2025-07-22</x:v>
      </x:c>
    </x:row>
    <x:row r="136">
      <x:c r="A136" s="24" t="str">
        <x:v>SRC-SMEPS-AR2024-2025</x:v>
      </x:c>
      <x:c r="B136" s="24" t="str">
        <x:v>https://smeps.org.ye/post/85</x:v>
      </x:c>
      <x:c r="C136" s="24" t="str">
        <x:v>["https://smeps.org.ye/upfiles/posts/SMEPS_File_08-10-2025-44011.pdf"]</x:v>
      </x:c>
      <x:c r="D136" s="24" t="str">
        <x:v>DS-SMEPS-2024-PROGRAMME-EVIDENCE</x:v>
      </x:c>
      <x:c r="E136" s="24" t="n">
        <x:v>28</x:v>
      </x:c>
      <x:c r="F136" s="168" t="str">
        <x:v>Small and Micro Enterprise Promotion Service (SMEPS) Annual Report 2024</x:v>
      </x:c>
      <x:c r="G136" s="168" t="str">
        <x:v>Small and Micro Enterprise Promotion Service (SMEPS)</x:v>
      </x:c>
      <x:c r="H136" s="168"/>
      <x:c r="I136" s="168"/>
      <x:c r="J136" s="168"/>
      <x:c r="K136" s="168" t="str">
        <x:v>CITATION_CARD</x:v>
      </x:c>
      <x:c r="L136" s="168" t="str">
        <x:v>التقرير السنوي لوكالة تنمية المنشآت الصغيرة والأصغر (SMEPS) لعام 2024</x:v>
      </x:c>
      <x:c r="M136" s="168"/>
      <x:c r="N136" s="168"/>
      <x:c r="O136" s="168"/>
      <x:c r="S136" t="str">
        <x:v>NOT_ASSESSED</x:v>
      </x:c>
      <x:c r="Y136" t="str">
        <x:v>وكالة تنمية المنشآت الصغيرة والأصغر</x:v>
      </x:c>
      <x:c r="Z136" t="str">
        <x:v>Annual report</x:v>
      </x:c>
      <x:c r="AA136" t="str">
        <x:v>تقرير سنوي</x:v>
      </x:c>
    </x:row>
    <x:row r="137">
      <x:c r="A137" s="24" t="str">
        <x:v>SRC-UNDP-FMIIP-001</x:v>
      </x:c>
      <x:c r="B137" s="24" t="str">
        <x:v>https://www.undp.org/yemen/projects/yemen-financial-market-infrastructure-and-inclusion-project</x:v>
      </x:c>
      <x:c r="C137" s="24" t="str">
        <x:v>["https://www.undp.org/ar/yemen/projects/mshrw-albnyt-althtyt-llaswaq-walshmwl-almaly-fy-alymn-fmiip"]</x:v>
      </x:c>
      <x:c r="D137" s="24" t="str">
        <x:v>DS-FMIIP-PROJECT-RESULTS, DS-FMIIP-IMPLEMENTATION-2026, 49_METRIC_CROSSWALK</x:v>
      </x:c>
      <x:c r="E137" s="24" t="n">
        <x:v>1</x:v>
      </x:c>
      <x:c r="F137" s="168" t="str">
        <x:v>Yemen Financial Market Infrastructure and Inclusion Project (FMIIP): implementation overview (2025–2030)</x:v>
      </x:c>
      <x:c r="G137" s="168" t="str">
        <x:v>United Nations Development Programme (UNDP)</x:v>
      </x:c>
      <x:c r="H137" s="168" t="str">
        <x:v>Current Yemen payment-infrastructure programmes</x:v>
      </x:c>
      <x:c r="I137" s="168" t="str">
        <x:v>Official implementation overview for FMIIP, including the distinct FPS, RTGS/core-banking, access-and-use, and project-management components and the project's published result targets.</x:v>
      </x:c>
      <x:c r="J137" s="168" t="str">
        <x:v>Project design, funding, targets or implementation activity do not by themselves establish full go-live, reliable operation, adoption, unique active users or a financial-inclusion outcome.</x:v>
      </x:c>
      <x:c r="K137" s="168" t="str">
        <x:v>FULL_PUBLIC_CARD</x:v>
      </x:c>
      <x:c r="L137" s="168" t="str">
        <x:v>مشروع البنية التحتية للأسواق المالية والشمول المالي في اليمن (FMIIP): نظرة عامة على التنفيذ (2025–2030)</x:v>
      </x:c>
      <x:c r="M137" s="168" t="str">
        <x:v>برامج البنية التحتية للمدفوعات الجارية في اليمن</x:v>
      </x:c>
      <x:c r="N137" s="168" t="str">
        <x:v>المرجع الرسمي لعرض 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37"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37" t="str">
        <x:v>NOT_ASSESSED</x:v>
      </x:c>
      <x:c r="Y137" t="str">
        <x:v>برنامج الأمم المتحدة الإنمائي</x:v>
      </x:c>
      <x:c r="Z137" t="str">
        <x:v>Event or programme page</x:v>
      </x:c>
      <x:c r="AA137" t="str">
        <x:v>صفحة فعالية أو برنامج</x:v>
      </x:c>
    </x:row>
    <x:row r="138">
      <x:c r="A138" s="24" t="str">
        <x:v>SRC-WB-YEM-OUTLOOK-2016-001</x:v>
      </x:c>
      <x:c r="B138" s="24" t="str">
        <x:v>https://www.worldbank.org/en/country/yemen/publication/economic-outlook-spring-2016</x:v>
      </x:c>
      <x:c r="C138" s="24" t="str"/>
      <x:c r="D138" s="24" t="str">
        <x:v>DS-V4R3-SYSTEM-CHRONOLOGY</x:v>
      </x:c>
      <x:c r="E138" s="24" t="n">
        <x:v>2</x:v>
      </x:c>
      <x:c r="F138" s="168" t="str">
        <x:v>Yemen's Economic Outlook, Spring 2016</x:v>
      </x:c>
      <x:c r="G138" s="168" t="str">
        <x:v>World Bank</x:v>
      </x:c>
      <x:c r="H138" s="168"/>
      <x:c r="I138" s="168"/>
      <x:c r="J138" s="168"/>
      <x:c r="K138" s="168" t="str">
        <x:v>CITATION_CARD</x:v>
      </x:c>
      <x:c r="L138" s="168" t="str">
        <x:v>الآفاق الاقتصادية لليمن، ربيع 2016</x:v>
      </x:c>
      <x:c r="M138" s="168"/>
      <x:c r="N138" s="168"/>
      <x:c r="O138" s="168"/>
      <x:c r="S138" t="str">
        <x:v>NOT_ASSESSED</x:v>
      </x:c>
      <x:c r="Y138" t="str">
        <x:v>البنك الدولي</x:v>
      </x:c>
      <x:c r="Z138" t="str">
        <x:v>Research or policy paper</x:v>
      </x:c>
      <x:c r="AA138" t="str">
        <x:v>ورقة بحثية أو سياساتية</x:v>
      </x:c>
      <x:c r="AB138" t="str">
        <x:v>2016</x:v>
      </x:c>
    </x:row>
    <x:row r="139">
      <x:c r="A139" s="24" t="str">
        <x:v>SRC-WB-YEM-MONITOR-FALL2018-001</x:v>
      </x:c>
      <x:c r="B139" s="24" t="str">
        <x:v>https://documents1.worldbank.org/curated/en/508301539801659212/pdf/130967-REVISED-BRI-PUBLIC-Disclosed-10-19-2018.pdf</x:v>
      </x:c>
      <x:c r="C139" s="24" t="str">
        <x:v>["https://documents1.worldbank.org/curated/en/860331539801787860/pdf/130967-REVISED-BRI-ARABIC-PUBLIC-Disclosed-10-19-2018.pdf"]</x:v>
      </x:c>
      <x:c r="D139" s="24" t="str">
        <x:v>DS-V4R3-SYSTEM-CHRONOLOGY</x:v>
      </x:c>
      <x:c r="E139" s="24" t="n">
        <x:v>1</x:v>
      </x:c>
      <x:c r="F139" s="168" t="str">
        <x:v>Yemen Economic Monitoring Brief, Fall 2018</x:v>
      </x:c>
      <x:c r="G139" s="168" t="str">
        <x:v>World Bank</x:v>
      </x:c>
      <x:c r="H139" s="168"/>
      <x:c r="I139" s="168"/>
      <x:c r="J139" s="168"/>
      <x:c r="K139" s="168" t="str">
        <x:v>CITATION_CARD</x:v>
      </x:c>
      <x:c r="L139" s="168" t="str">
        <x:v>موجز الرصد الاقتصادي لليمن، خريف 2018</x:v>
      </x:c>
      <x:c r="M139" s="168"/>
      <x:c r="N139" s="168"/>
      <x:c r="O139" s="168"/>
      <x:c r="S139" t="str">
        <x:v>NOT_ASSESSED</x:v>
      </x:c>
      <x:c r="Y139" t="str">
        <x:v>البنك الدولي</x:v>
      </x:c>
      <x:c r="Z139" t="str">
        <x:v>Research or policy paper</x:v>
      </x:c>
      <x:c r="AA139" t="str">
        <x:v>ورقة بحثية أو سياساتية</x:v>
      </x:c>
      <x:c r="AB139" t="str">
        <x:v>2018</x:v>
      </x:c>
    </x:row>
    <x:row r="140">
      <x:c r="A140" s="24" t="str">
        <x:v>SRC-SPA-SAU-CBY-DEPOSIT-2018-001</x:v>
      </x:c>
      <x:c r="B140" s="24" t="str">
        <x:v>https://www.spa.gov.sa/w643267</x:v>
      </x:c>
      <x:c r="C140" s="24" t="str">
        <x:v>["https://www.spa.gov.sa/1739575"]</x:v>
      </x:c>
      <x:c r="D140" s="24" t="str">
        <x:v>DS-V4R3-SYSTEM-CHRONOLOGY</x:v>
      </x:c>
      <x:c r="E140" s="24" t="n">
        <x:v>1</x:v>
      </x:c>
      <x:c r="F140" s="168" t="str">
        <x:v>Saudi directive and agreement on a US$2 billion deposit to the Central Bank of Yemen (January–March 2018)</x:v>
      </x:c>
      <x:c r="G140" s="168" t="str">
        <x:v>Saudi Press Agency</x:v>
      </x:c>
      <x:c r="H140" s="168"/>
      <x:c r="I140" s="168"/>
      <x:c r="J140" s="168"/>
      <x:c r="K140" s="168" t="str">
        <x:v>CITATION_CARD</x:v>
      </x:c>
      <x:c r="L140" s="168" t="str">
        <x:v>توجيه سعودي واتفاقية بشأن وديعة بقيمة ملياري دولار في البنك المركزي اليمني (يناير–مارس 2018)</x:v>
      </x:c>
      <x:c r="M140" s="168"/>
      <x:c r="N140" s="168"/>
      <x:c r="O140" s="168"/>
      <x:c r="S140" t="str">
        <x:v>NOT_ASSESSED</x:v>
      </x:c>
      <x:c r="Y140" t="str">
        <x:v>وكالة الأنباء السعودية</x:v>
      </x:c>
      <x:c r="Z140" t="str">
        <x:v>News release</x:v>
      </x:c>
      <x:c r="AA140" t="str">
        <x:v>بيان صحفي</x:v>
      </x:c>
    </x:row>
    <x:row r="141">
      <x:c r="A141" s="24" t="str">
        <x:v>SRC-WB-YEM-MEU-2019-12-001</x:v>
      </x:c>
      <x:c r="B141" s="24" t="str">
        <x:v>https://documents1.worldbank.org/curated/en/812731581364170917/pdf/Yemen-Monthly-Economic-Update-December-2019.pdf</x:v>
      </x:c>
      <x:c r="C141" s="24" t="str"/>
      <x:c r="D141" s="24" t="str">
        <x:v>DS-V4R3-SYSTEM-CHRONOLOGY</x:v>
      </x:c>
      <x:c r="E141" s="24" t="n">
        <x:v>1</x:v>
      </x:c>
      <x:c r="F141" s="168" t="str">
        <x:v>Yemen Monthly Economic Update, December 2019</x:v>
      </x:c>
      <x:c r="G141" s="168" t="str">
        <x:v>World Bank</x:v>
      </x:c>
      <x:c r="H141" s="168"/>
      <x:c r="I141" s="168"/>
      <x:c r="J141" s="168"/>
      <x:c r="K141" s="168" t="str">
        <x:v>CITATION_CARD</x:v>
      </x:c>
      <x:c r="L141" s="168" t="str">
        <x:v>التحديث الاقتصادي الشهري لليمن، ديسمبر 2019</x:v>
      </x:c>
      <x:c r="M141" s="168"/>
      <x:c r="N141" s="168"/>
      <x:c r="O141" s="168"/>
      <x:c r="S141" t="str">
        <x:v>NOT_ASSESSED</x:v>
      </x:c>
      <x:c r="Y141" t="str">
        <x:v>البنك الدولي</x:v>
      </x:c>
      <x:c r="Z141" t="str">
        <x:v>Research or policy paper</x:v>
      </x:c>
      <x:c r="AA141" t="str">
        <x:v>ورقة بحثية أو سياساتية</x:v>
      </x:c>
      <x:c r="AB141" t="str">
        <x:v>2019-12</x:v>
      </x:c>
    </x:row>
    <x:row r="142">
      <x:c r="A142" s="24" t="str">
        <x:v>SRC-WB-YEM-ECON-2020-04-001</x:v>
      </x:c>
      <x:c r="B142" s="24" t="str">
        <x:v>https://www.worldbank.org/en/country/yemen/publication/economic-update-april-2020</x:v>
      </x:c>
      <x:c r="C142" s="24" t="str">
        <x:v>["https://documents1.worldbank.org/curated/en/306471584593583827/pdf/Yemen-Monthly-Economic-Update-February-2020.pdf"]</x:v>
      </x:c>
      <x:c r="D142" s="24" t="str">
        <x:v>DS-V4R3-SYSTEM-CHRONOLOGY</x:v>
      </x:c>
      <x:c r="E142" s="24" t="n">
        <x:v>1</x:v>
      </x:c>
      <x:c r="F142" s="168" t="str">
        <x:v>Yemen's Economic Update, April 2020</x:v>
      </x:c>
      <x:c r="G142" s="168" t="str">
        <x:v>World Bank</x:v>
      </x:c>
      <x:c r="H142" s="168"/>
      <x:c r="I142" s="168"/>
      <x:c r="J142" s="168"/>
      <x:c r="K142" s="168" t="str">
        <x:v>CITATION_CARD</x:v>
      </x:c>
      <x:c r="L142" s="168" t="str">
        <x:v>المستجدات الاقتصادية في اليمن، أبريل 2020</x:v>
      </x:c>
      <x:c r="M142" s="168"/>
      <x:c r="N142" s="168"/>
      <x:c r="O142" s="168"/>
      <x:c r="S142" t="str">
        <x:v>NOT_ASSESSED</x:v>
      </x:c>
      <x:c r="Y142" t="str">
        <x:v>البنك الدولي</x:v>
      </x:c>
      <x:c r="Z142" t="str">
        <x:v>Research or policy paper</x:v>
      </x:c>
      <x:c r="AA142" t="str">
        <x:v>ورقة بحثية أو سياساتية</x:v>
      </x:c>
      <x:c r="AB142" t="str">
        <x:v>2020-04-16</x:v>
      </x:c>
    </x:row>
    <x:row r="143">
      <x:c r="A143" s="24" t="str">
        <x:v>SRC-SPA-SAU-CBY-DEPOSIT-2023-001</x:v>
      </x:c>
      <x:c r="B143" s="24" t="str">
        <x:v>https://www.spa.gov.sa/w1857622</x:v>
      </x:c>
      <x:c r="C143" s="24" t="str"/>
      <x:c r="D143" s="24" t="str">
        <x:v>DS-V4R3-SYSTEM-CHRONOLOGY</x:v>
      </x:c>
      <x:c r="E143" s="24" t="n">
        <x:v>2</x:v>
      </x:c>
      <x:c r="F143" s="168" t="str">
        <x:v>Agreement on a US$1 billion Saudi deposit to the Central Bank of Yemen (21 February 2023)</x:v>
      </x:c>
      <x:c r="G143" s="168" t="str">
        <x:v>Saudi Press Agency</x:v>
      </x:c>
      <x:c r="H143" s="168"/>
      <x:c r="I143" s="168"/>
      <x:c r="J143" s="168"/>
      <x:c r="K143" s="168" t="str">
        <x:v>CITATION_CARD</x:v>
      </x:c>
      <x:c r="L143" s="168" t="str">
        <x:v>اتفاقية وديعة سعودية بقيمة مليار دولار في البنك المركزي اليمني (21 فبراير 2023)</x:v>
      </x:c>
      <x:c r="M143" s="168"/>
      <x:c r="N143" s="168"/>
      <x:c r="O143" s="168"/>
      <x:c r="S143" t="str">
        <x:v>NOT_ASSESSED</x:v>
      </x:c>
      <x:c r="Y143" t="str">
        <x:v>وكالة الأنباء السعودية</x:v>
      </x:c>
      <x:c r="Z143" t="str">
        <x:v>News release</x:v>
      </x:c>
      <x:c r="AA143" t="str">
        <x:v>بيان صحفي</x:v>
      </x:c>
    </x:row>
    <x:row r="144">
      <x:c r="A144" s="24" t="str">
        <x:v>SRC-WB-YEM-FRAGMENTATION-2025-001</x:v>
      </x:c>
      <x:c r="B144" s="24" t="str">
        <x:v>https://documents1.worldbank.org/curated/en/099052825174515006/pdf/BOSIB-524dd7c7-d52c-4876-80ed-1e3ea9df2463.pdf</x:v>
      </x:c>
      <x:c r="C144" s="24" t="str">
        <x:v>["https://documents1.worldbank.org/curated/en/099943010292431765/pdf/IDU1f65eefe71d79414f1618a511921980f32f1b.pdf"]</x:v>
      </x:c>
      <x:c r="D144" s="24" t="str">
        <x:v>DS-V4R3-SYSTEM-CHRONOLOGY</x:v>
      </x:c>
      <x:c r="E144" s="24" t="n">
        <x:v>2</x:v>
      </x:c>
      <x:c r="F144" s="168" t="str">
        <x:v>Yemen Financial Market Infrastructure and Inclusion Project (FMIIP, P180708): appraisal document (project approved 17 June 2025)</x:v>
      </x:c>
      <x:c r="G144" s="168" t="str">
        <x:v>World Bank</x:v>
      </x:c>
      <x:c r="H144" s="168"/>
      <x:c r="I144" s="168"/>
      <x:c r="J144" s="168"/>
      <x:c r="K144" s="168" t="str">
        <x:v>CITATION_CARD</x:v>
      </x:c>
      <x:c r="L144" s="168" t="str">
        <x:v>مشروع البنية التحتية للأسواق المالية والشمول المالي في اليمن (FMIIP، P180708): وثيقة التقييم المسبق (أُقرّ المشروع في 17 يونيو 2025)</x:v>
      </x:c>
      <x:c r="M144" s="168"/>
      <x:c r="N144" s="168"/>
      <x:c r="O144" s="168"/>
      <x:c r="S144" t="str">
        <x:v>NOT_ASSESSED</x:v>
      </x:c>
      <x:c r="Y144" t="str">
        <x:v>البنك الدولي</x:v>
      </x:c>
      <x:c r="Z144" t="str">
        <x:v>Project document</x:v>
      </x:c>
      <x:c r="AA144" t="str">
        <x:v>وثيقة مشروع</x:v>
      </x:c>
    </x:row>
    <x:row r="145">
      <x:c r="A145" s="24" t="str">
        <x:v>SRC-SPA-SAU-BUDGET-2026-001</x:v>
      </x:c>
      <x:c r="B145" s="24" t="str">
        <x:v>https://www.spa.gov.sa/en/N2525739</x:v>
      </x:c>
      <x:c r="C145" s="24" t="str">
        <x:v>["https://www.spa.gov.sa/N2525728"]</x:v>
      </x:c>
      <x:c r="D145" s="24" t="str">
        <x:v>DS-V4R3-SYSTEM-CHRONOLOGY</x:v>
      </x:c>
      <x:c r="E145" s="24" t="n">
        <x:v>1</x:v>
      </x:c>
      <x:c r="F145" s="168" t="str">
        <x:v>Agreement between the Saudi Development and Reconstruction Program for Yemen (SDRPY) and Yemen's Ministry of Finance on SAR1.3 billion in economic support (1 March 2026)</x:v>
      </x:c>
      <x:c r="G145" s="168" t="str">
        <x:v>Saudi Press Agency</x:v>
      </x:c>
      <x:c r="H145" s="168"/>
      <x:c r="I145" s="168"/>
      <x:c r="J145" s="168"/>
      <x:c r="K145" s="168" t="str">
        <x:v>CITATION_CARD</x:v>
      </x:c>
      <x:c r="L145" s="168" t="str">
        <x:v>اتفاقية بين البرنامج السعودي لتنمية وإعمار اليمن (SDRPY) ووزارة المالية اليمنية بشأن دعم اقتصادي بقيمة 1.3 مليار ريال سعودي (1 مارس 2026)</x:v>
      </x:c>
      <x:c r="M145" s="168"/>
      <x:c r="N145" s="168"/>
      <x:c r="O145" s="168"/>
      <x:c r="S145" t="str">
        <x:v>NOT_ASSESSED</x:v>
      </x:c>
      <x:c r="Y145" t="str">
        <x:v>وكالة الأنباء السعودية</x:v>
      </x:c>
      <x:c r="Z145" t="str">
        <x:v>News release</x:v>
      </x:c>
      <x:c r="AA145" t="str">
        <x:v>بيان صحفي</x:v>
      </x:c>
    </x:row>
    <x:row r="146">
      <x:c r="A146" s="24" t="str">
        <x:v>SRC-OECD-INFE-2023</x:v>
      </x:c>
      <x:c r="B146" s="24" t="str">
        <x:v>https://www.oecd.org/content/dam/oecd/en/publications/reports/2023/12/oecd-infe-2023-international-survey-of-adult-financial-literacy_8ce94e2c/56003a32-en.pdf</x:v>
      </x:c>
      <x:c r="C146" s="24" t="str"/>
      <x:c r="D146" s="24" t="str">
        <x:v>OECD/INFE method and benchmarks</x:v>
      </x:c>
      <x:c r="E146" s="24" t="str"/>
      <x:c r="F146" s="168" t="str">
        <x:v>OECD/INFE 2023 International Survey of Adult Financial Literacy</x:v>
      </x:c>
      <x:c r="G146" s="168" t="str">
        <x:v>OECD</x:v>
      </x:c>
      <x:c r="H146" s="168" t="str">
        <x:v>Global/regional measurement standards and methods</x:v>
      </x:c>
      <x:c r="I146"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46" s="168" t="str">
        <x:v>The international report does not by itself resolve Yemen-specific sampling, coverage or currentness questions, and it does not replace the underlying Yemen survey evidence or establish a 2026 population state.</x:v>
      </x:c>
      <x:c r="K146" s="168" t="str">
        <x:v>FULL_PUBLIC_CARD</x:v>
      </x:c>
      <x:c r="L146" s="168" t="str">
        <x:v>المسح الدولي OECD/INFE لعام 2023 حول الثقافة المالية للبالغين</x:v>
      </x:c>
      <x:c r="M146" s="168" t="str">
        <x:v>معايير ومناهج القياس العالمية والإقليمية</x:v>
      </x:c>
      <x:c r="N146"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46" s="168" t="str">
        <x:v>لا يحسم التقرير الدولي بمفرده مسائل العينة أو التغطية أو الحداثة الخاصة باليمن، ولا يحل محل دليل المسح اليمني الأصلي أو يثبت حالة سكانية لعام 2026.</x:v>
      </x:c>
      <x:c r="S146" t="str">
        <x:v>NOT_ASSESSED</x:v>
      </x:c>
      <x:c r="W146" t="str">
        <x:v>survey</x:v>
      </x:c>
      <x:c r="Y146" t="str">
        <x:v>منظمة التعاون الاقتصادي والتنمية</x:v>
      </x:c>
      <x:c r="Z146" t="str">
        <x:v>Survey dataset or indicator</x:v>
      </x:c>
      <x:c r="AA146" t="str">
        <x:v>مسح أو مؤشر</x:v>
      </x:c>
      <x:c r="AB146" t="str">
        <x:v>2023</x:v>
      </x:c>
    </x:row>
    <x:row r="147">
      <x:c r="A147" s="142" t="str">
        <x:v>SRC-WB-FINDEX-2025-EDITION</x:v>
      </x:c>
      <x:c r="B147" s="142" t="str">
        <x:v>https://www.worldbank.org/en/publication/globalfindex/download-data</x:v>
      </x:c>
      <x:c r="C147" s="142" t="str">
        <x:v>["https://www.worldbank.org/en/publication/globalfindex/report"]</x:v>
      </x:c>
      <x:c r="D147" s="142" t="str">
        <x:v>DS-FINDEX-CURRENTNESS</x:v>
      </x:c>
      <x:c r="E147" s="142" t="n">
        <x:v>1</x:v>
      </x:c>
      <x:c r="F147" s="168" t="str">
        <x:v>The Global Findex Database 2025: report, data and methodology</x:v>
      </x:c>
      <x:c r="G147" s="168" t="str">
        <x:v>World Bank</x:v>
      </x:c>
      <x:c r="H147" s="168" t="str">
        <x:v>Global/regional measurement standards and methods</x:v>
      </x:c>
      <x:c r="I147" s="168" t="str">
        <x:v>Provides the current global demand-side financial-inclusion measurement framework, report, data resources and methodology used to interpret currentness, definitions and cross-country measurement practice.</x:v>
      </x:c>
      <x:c r="J147" s="168" t="str">
        <x:v>The 2025 edition does not create a newer Yemen population estimate where no comparable Yemen observation exists; Yemen's available representative observation retains its own wave and fieldwork dates.</x:v>
      </x:c>
      <x:c r="K147" s="168" t="str">
        <x:v>FULL_PUBLIC_CARD</x:v>
      </x:c>
      <x:c r="L147" s="168" t="str">
        <x:v>قاعدة بيانات المؤشر العالمي للشمول المالي (Global Findex) 2025: التقرير والبيانات والمنهجية</x:v>
      </x:c>
      <x:c r="M147" s="168" t="str">
        <x:v>معايير ومناهج القياس العالمية والإقليمية</x:v>
      </x:c>
      <x:c r="N147"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47" s="168" t="str">
        <x:v>لا تنشئ نسخة 2025 تقديرًا سكانيًا أحدث لليمن في غياب مشاهدة يمنية قابلة للمقارنة؛ وتحتفظ المشاهدة اليمنية المتاحة بموجتها وتواريخ عملها الميداني.</x:v>
      </x:c>
      <x:c r="S147" t="str">
        <x:v>NOT_ASSESSED</x:v>
      </x:c>
      <x:c r="Y147" t="str">
        <x:v>البنك الدولي</x:v>
      </x:c>
      <x:c r="Z147" t="str">
        <x:v>Data portal</x:v>
      </x:c>
      <x:c r="AA147" t="str">
        <x:v>بوابة بيانات</x:v>
      </x:c>
      <x:c r="AB147" t="str">
        <x:v>2025</x:v>
      </x:c>
    </x:row>
    <x:row r="148">
      <x:c r="A148" s="142" t="str">
        <x:v>SRC-WB-FMIIP-P180708</x:v>
      </x:c>
      <x:c r="B148" s="142" t="str">
        <x:v>https://maps.worldbank.org/projects/wb/pid/P180708?status=active</x:v>
      </x:c>
      <x:c r="C148" s="142" t="str">
        <x:v>["https://www.worldbank.org/en/news/press-release/2025/06/17/world-bank-approves-us-30-million-to-support-financial-inclusion-and-education-in-yemen", "https://documents1.worldbank.org/curated/en/099092225124020645/pdf/P180708-5de900d7-912a-4077-a4f4-f1664228ab67.pdf"]</x:v>
      </x:c>
      <x:c r="D148" s="142" t="str">
        <x:v>DS-FMIIP-PROJECT-RESULTS</x:v>
      </x:c>
      <x:c r="E148" s="142" t="n">
        <x:v>24</x:v>
      </x:c>
      <x:c r="F148" s="168" t="str">
        <x:v>Yemen Financial Market Infrastructure and Inclusion Project (FMIIP, P180708): project record and results framework (2025–2030)</x:v>
      </x:c>
      <x:c r="G148" s="168" t="str">
        <x:v>World Bank</x:v>
      </x:c>
      <x:c r="H148" s="168" t="str">
        <x:v>Current Yemen payment-infrastructure programmes</x:v>
      </x:c>
      <x:c r="I148" s="168" t="str">
        <x:v>Official World Bank project record and results framework for FMIIP, including commitment, dates, development objective and the baseline/target indicators used to distinguish implementation outputs from measured outcomes.</x:v>
      </x:c>
      <x:c r="J148" s="168" t="str">
        <x:v>Approval, commitment amounts and project targets are not observed results and do not establish nationwide operational coverage or financial-inclusion prevalence.</x:v>
      </x:c>
      <x:c r="K148" s="168" t="str">
        <x:v>FULL_PUBLIC_CARD</x:v>
      </x:c>
      <x:c r="L148" s="168" t="str">
        <x:v>مشروع البنية التحتية للأسواق المالية والشمول المالي في اليمن (FMIIP، P180708): سجل المشروع وإطار النتائج (2025–2030)</x:v>
      </x:c>
      <x:c r="M148" s="168" t="str">
        <x:v>برامج البنية التحتية للمدفوعات الجارية في اليمن</x:v>
      </x:c>
      <x:c r="N148"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48" s="168" t="str">
        <x:v>لا تعني الموافقة أو قيمة الالتزام أو المستهدفات أنها نتائج مرصودة، ولا تثبت تغطية تشغيلية وطنية أو معدلًا للشمول المالي.</x:v>
      </x:c>
      <x:c r="S148" t="str">
        <x:v>NOT_ASSESSED</x:v>
      </x:c>
      <x:c r="Y148" t="str">
        <x:v>البنك الدولي</x:v>
      </x:c>
      <x:c r="Z148" t="str">
        <x:v>Project document</x:v>
      </x:c>
      <x:c r="AA148" t="str">
        <x:v>وثيقة مشروع</x:v>
      </x:c>
    </x:row>
    <x:row r="149">
      <x:c r="A149" t="str">
        <x:v>SRC-CGAP-ARAB-MEAS-2017-001</x:v>
      </x:c>
      <x:c r="B149" t="str">
        <x:v>https://www.cgap.org/research/publication/financial-inclusion-measurement-in-arab-world</x:v>
      </x:c>
      <x:c r="C149"/>
      <x:c r="D149" t="str">
        <x:v>RESOURCE_LIBRARY_ONLY__MEASUREMENT_METHOD</x:v>
      </x:c>
      <x:c r="E149" t="n">
        <x:v>0</x:v>
      </x:c>
      <x:c r="F149" s="168" t="str">
        <x:v>Financial Inclusion Measurement in the Arab World</x:v>
      </x:c>
      <x:c r="G149" s="168" t="str">
        <x:v>CGAP</x:v>
      </x:c>
      <x:c r="H149" s="168" t="str">
        <x:v>Global/regional measurement standards and methods</x:v>
      </x:c>
      <x:c r="I149" s="168" t="str">
        <x:v>Useful for framing measurement choices and comparability questions in Arab financial-inclusion systems.</x:v>
      </x:c>
      <x:c r="J149" s="168" t="str">
        <x:v>Does not provide a Yemen population estimate or update a Yemen observation.</x:v>
      </x:c>
      <x:c r="K149" s="168" t="str">
        <x:v>FULL_PUBLIC_CARD</x:v>
      </x:c>
      <x:c r="L149" s="168" t="str">
        <x:v>قياس الشمول المالي في العالم العربي</x:v>
      </x:c>
      <x:c r="M149" s="168" t="str">
        <x:v>معايير ومناهج القياس العالمية والإقليمية</x:v>
      </x:c>
      <x:c r="N149" s="168" t="str">
        <x:v>يفيد في تأطير خيارات القياس وأسئلة قابلية المقارنة في منظومات الشمول المالي العربية.</x:v>
      </x:c>
      <x:c r="O149" s="168" t="str">
        <x:v>لا يقدم تقديرًا سكانيًا لليمن ولا يحدّث أي مشاهدة يمنية.</x:v>
      </x:c>
      <x:c r="S149" t="str">
        <x:v>NOT_ASSESSED</x:v>
      </x:c>
      <x:c r="Y149" t="str">
        <x:v>المجموعة الاستشارية لمساعدة الفقراء (CGAP)</x:v>
      </x:c>
      <x:c r="Z149" t="str">
        <x:v>Research or policy paper</x:v>
      </x:c>
      <x:c r="AA149" t="str">
        <x:v>ورقة بحثية أو سياساتية</x:v>
      </x:c>
    </x:row>
    <x:row r="150">
      <x:c r="A150" t="str">
        <x:v>SRC-OECD-YOUTH-DFI-2020-001</x:v>
      </x:c>
      <x:c r="B150" t="str">
        <x:v>https://www.oecd.org/en/publications/advancing-the-digital-financial-inclusion-of-youth_21b829d8-en.html</x:v>
      </x:c>
      <x:c r="C150"/>
      <x:c r="D150" t="str">
        <x:v>RESOURCE_LIBRARY_ONLY__YOUTH_DIGITAL_INCLUSION</x:v>
      </x:c>
      <x:c r="E150" t="n">
        <x:v>0</x:v>
      </x:c>
      <x:c r="F150" s="168" t="str">
        <x:v>Advancing the Digital Financial Inclusion of Youth</x:v>
      </x:c>
      <x:c r="G150" s="168" t="str">
        <x:v>OECD</x:v>
      </x:c>
      <x:c r="H150" s="168" t="str">
        <x:v>Global/regional measurement standards and methods</x:v>
      </x:c>
      <x:c r="I150" s="168" t="str">
        <x:v>Useful for designing youth-focused digital-inclusion measurement and interpreting adoption barriers.</x:v>
      </x:c>
      <x:c r="J150" s="168" t="str">
        <x:v>Does not establish a Yemen youth financial-inclusion rate or current Yemen outcome.</x:v>
      </x:c>
      <x:c r="K150" s="168" t="str">
        <x:v>FULL_PUBLIC_CARD</x:v>
      </x:c>
      <x:c r="L150" s="168" t="str">
        <x:v>تعزيز الشمول المالي الرقمي للشباب</x:v>
      </x:c>
      <x:c r="M150" s="168" t="str">
        <x:v>معايير ومناهج القياس العالمية والإقليمية</x:v>
      </x:c>
      <x:c r="N150" s="168" t="str">
        <x:v>يفيد في تصميم قياس يركز على الشمول الرقمي للشباب وفهم عوائق التبني.</x:v>
      </x:c>
      <x:c r="O150" s="168" t="str">
        <x:v>لا يثبت معدلًا للشمول المالي لدى شباب اليمن ولا نتيجة يمنية راهنة.</x:v>
      </x:c>
      <x:c r="S150" t="str">
        <x:v>NOT_ASSESSED</x:v>
      </x:c>
      <x:c r="Y150" t="str">
        <x:v>منظمة التعاون الاقتصادي والتنمية</x:v>
      </x:c>
      <x:c r="Z150" t="str">
        <x:v>Research or policy paper</x:v>
      </x:c>
      <x:c r="AA150" t="str">
        <x:v>ورقة بحثية أو سياساتية</x:v>
      </x:c>
    </x:row>
    <x:row r="151">
      <x:c r="A151" t="str">
        <x:v>SRC-CBY-AR2022-001</x:v>
      </x:c>
      <x:c r="B151" t="str">
        <x:v>https://cby-ye.com/files/64a1f54c878e1.pdf</x:v>
      </x:c>
      <x:c r="C151"/>
      <x:c r="D151" t="str">
        <x:v>DS-K04-BANK-VALUATION-RECON,173_CBY_ANNUAL_VINTAGES</x:v>
      </x:c>
      <x:c r="E151" t="n">
        <x:v>0</x:v>
      </x:c>
      <x:c r="F151" t="str">
        <x:v>Annual Report 2022</x:v>
      </x:c>
      <x:c r="G151" t="str">
        <x:v>Central Bank of Yemen — Aden</x:v>
      </x:c>
      <x:c r="H151" t="str">
        <x:v>Primary administrative and statistical material</x:v>
      </x:c>
      <x:c r="I151" t="str">
        <x:v>Provides the earlier annual-report vintage required to test whether later publication changes reflect a valuation/restatement break rather than economic movement alone.</x:v>
      </x:c>
      <x:c r="J151" t="str">
        <x:v>Does not by itself establish current banking-system conditions, solvency, operating reach or a financial-inclusion outcome.</x:v>
      </x:c>
      <x:c r="K151" t="str">
        <x:v>FULL_PUBLIC_CARD</x:v>
      </x:c>
      <x:c r="L151" t="str">
        <x:v>التقرير السنوي 2022</x:v>
      </x:c>
      <x:c r="M151" t="str">
        <x:v>مواد إدارية وإحصائية أولية</x:v>
      </x:c>
      <x:c r="N151" t="str">
        <x:v>يوفر نسخة التقرير السنوي الأقدم اللازمة لاختبار ما إذا كانت التغيرات اللاحقة في النشر تعكس كسرًا في التقييم أو إعادة العرض بدل أن تكون حركة اقتصادية فقط.</x:v>
      </x:c>
      <x:c r="O151" t="str">
        <x:v>لا يثبت بذاته أوضاع القطاع المصرفي الحالية أو الملاءة أو الوصول التشغيلي أو نتيجة للشمول المالي.</x:v>
      </x:c>
      <x:c r="S151" t="str">
        <x:v>NOT_ASSESSED</x:v>
      </x:c>
      <x:c r="Y151" t="str">
        <x:v>البنك المركزي اليمني – عدن</x:v>
      </x:c>
      <x:c r="Z151" t="str">
        <x:v>Annual report</x:v>
      </x:c>
      <x:c r="AA151" t="str">
        <x:v>تقرير سنوي</x:v>
      </x:c>
    </x:row>
    <x:row r="152">
      <x:c r="A152" t="str">
        <x:v>SRC-CBY-AR2023-001</x:v>
      </x:c>
      <x:c r="B152" t="str">
        <x:v>https://www.english.cby-ye.com/files/66e7e260be038.pdf</x:v>
      </x:c>
      <x:c r="C152"/>
      <x:c r="D152" t="str">
        <x:v>DS-K04-BANK-VALUATION-RECON,173_CBY_ANNUAL_VINTAGES</x:v>
      </x:c>
      <x:c r="E152" t="n">
        <x:v>0</x:v>
      </x:c>
      <x:c r="F152" t="str">
        <x:v>Annual Report 2023</x:v>
      </x:c>
      <x:c r="G152" t="str">
        <x:v>Central Bank of Yemen — Aden</x:v>
      </x:c>
      <x:c r="H152" t="str">
        <x:v>Primary administrative and statistical material</x:v>
      </x:c>
      <x:c r="I152" t="str">
        <x:v>Documents the 2023 publication vintage, including the valuation-basis context needed to interpret restated banking positions across annual reports.</x:v>
      </x:c>
      <x:c r="J152" t="str">
        <x:v>Does not by itself prove that higher nominal banking positions represent real growth, broader credit reach, improved solvency or financial inclusion.</x:v>
      </x:c>
      <x:c r="K152" t="str">
        <x:v>FULL_PUBLIC_CARD</x:v>
      </x:c>
      <x:c r="L152" t="str">
        <x:v>التقرير السنوي 2023</x:v>
      </x:c>
      <x:c r="M152" t="str">
        <x:v>مواد إدارية وإحصائية أولية</x:v>
      </x:c>
      <x:c r="N152" t="str">
        <x:v>يوثق نسخة النشر لعام 2023، بما في ذلك سياق أساس التقييم اللازم لتفسير إعادة عرض المراكز المصرفية عبر التقارير السنوية.</x:v>
      </x:c>
      <x:c r="O152" t="str">
        <x:v>لا يثبت بذاته أن ارتفاع القيم الاسمية للمراكز المصرفية يمثل نموًا حقيقيًا أو اتساعًا في الوصول إلى الائتمان أو تحسنًا في الملاءة أو الشمول المالي.</x:v>
      </x:c>
      <x:c r="S152" t="str">
        <x:v>NOT_ASSESSED</x:v>
      </x:c>
      <x:c r="Y152" t="str">
        <x:v>البنك المركزي اليمني – عدن</x:v>
      </x:c>
      <x:c r="Z152" t="str">
        <x:v>Annual report</x:v>
      </x:c>
      <x:c r="AA152" t="str">
        <x:v>تقرير سنوي</x:v>
      </x:c>
    </x:row>
    <x:row r="153">
      <x:c r="A153" t="str">
        <x:v>SRC-CBY-ENF-17-2026</x:v>
      </x:c>
      <x:c r="B153" t="str">
        <x:v>https://cby-ye.com/news/973</x:v>
      </x:c>
      <x:c r="C153"/>
      <x:c r="D153" t="str">
        <x:v>DS-PROVIDER-MASTER,DS-PROVIDER-STATUS-EVENTS</x:v>
      </x:c>
      <x:c r="E153" t="n">
        <x:v>2</x:v>
      </x:c>
      <x:c r="F153" t="str">
        <x:v>Governor's Decision No. 17 of 2026 on the licence suspension and closure of an exchange company (17 September 2026)</x:v>
      </x:c>
      <x:c r="G153" t="str">
        <x:v>Central Bank of Yemen — Aden</x:v>
      </x:c>
      <x:c r="H153"/>
      <x:c r="I153"/>
      <x:c r="J153"/>
      <x:c r="K153" t="str">
        <x:v>CITATION_CARD</x:v>
      </x:c>
      <x:c r="L153" t="str">
        <x:v>قرار المحافظ رقم (17) لسنة 2026 بشأن إيقاف ترخيص شركة صرافة وإغلاق مقرها (17 سبتمبر 2026)</x:v>
      </x:c>
      <x:c r="M153"/>
      <x:c r="N153"/>
      <x:c r="O153"/>
      <x:c r="S153" t="str">
        <x:v>NOT_ASSESSED</x:v>
      </x:c>
      <x:c r="W153" t="str">
        <x:v>decision/enforcement</x:v>
      </x:c>
      <x:c r="X153" t="str">
        <x:v>status event</x:v>
      </x:c>
      <x:c r="Y153" t="str">
        <x:v>البنك المركزي اليمني – عدن</x:v>
      </x:c>
      <x:c r="Z153" t="str">
        <x:v>Enforcement decision</x:v>
      </x:c>
      <x:c r="AA153" t="str">
        <x:v>قرار إنفاذ</x:v>
      </x:c>
      <x:c r="AB153" t="str">
        <x:v>2026-09-17</x:v>
      </x:c>
    </x:row>
    <x:row r="154">
      <x:c r="A154" t="str">
        <x:v>SRC-BIS-CPMI-FPS-RTGS-2021-001</x:v>
      </x:c>
      <x:c r="B154" t="str">
        <x:v>https://www.bis.org/publications/developments-retail-fast-payments-and-implications-rtgs-systems</x:v>
      </x:c>
      <x:c r="C154"/>
      <x:c r="D154" t="str">
        <x:v>RESOURCE_LIBRARY_ONLY__FPS_RTGS_IMPLEMENTATION</x:v>
      </x:c>
      <x:c r="E154" t="n">
        <x:v>0</x:v>
      </x:c>
      <x:c r="F154" t="str">
        <x:v>Developments in Retail Fast Payments and Implications for RTGS Systems</x:v>
      </x:c>
      <x:c r="G154" t="str">
        <x:v>Committee on Payments and Market Infrastructures (CPMI), Bank for International Settlements</x:v>
      </x:c>
      <x:c r="H154" t="str">
        <x:v>Global payment-system implementation and design references</x:v>
      </x:c>
      <x:c r="I154" t="str">
        <x:v>Clarifies how retail fast-payment systems relate to RTGS, including central-bank roles, settlement design, operating hours, availability and reliability — useful for interpreting Yemen's separate FPS and RTGS components without conflating them.</x:v>
      </x:c>
      <x:c r="J154" t="str">
        <x:v>Cross-country design evidence does not establish Yemen implementation status, architecture choices, adoption, reliability or inclusion outcomes.</x:v>
      </x:c>
      <x:c r="K154" t="str">
        <x:v>FULL_PUBLIC_CARD</x:v>
      </x:c>
      <x:c r="L154" t="str">
        <x:v>تطورات المدفوعات السريعة للأفراد وانعكاساتها على أنظمة التسوية الإجمالية الفورية</x:v>
      </x:c>
      <x:c r="M154" t="str">
        <x:v>مراجع عالمية لتصميم وتنفيذ أنظمة المدفوعات</x:v>
      </x:c>
      <x:c r="N154"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دمجهما.</x:v>
      </x:c>
      <x:c r="O154" t="str">
        <x:v>لا تثبت الأدلة المقارنة بين البلدان حالة التنفيذ في اليمن أو خيارات البنية أو التبني أو الموثوقية أو نتائج الشمول المالي.</x:v>
      </x:c>
      <x:c r="S154" t="str">
        <x:v>NOT_ASSESSED</x:v>
      </x:c>
      <x:c r="Y154" t="str">
        <x:v>لجنة المدفوعات والبنى التحتية للأسواق (CPMI)، بنك التسويات الدولية</x:v>
      </x:c>
      <x:c r="Z154" t="str">
        <x:v>Research or policy paper</x:v>
      </x:c>
      <x:c r="AA154" t="str">
        <x:v>ورقة بحثية أو سياساتية</x:v>
      </x:c>
    </x:row>
    <x:row r="155">
      <x:c r="A155" t="str">
        <x:v>SRC-BIS-CPMI-PAFI-FINTECH-2020-001</x:v>
      </x:c>
      <x:c r="B155" t="str">
        <x:v>https://www.bis.org/publications/payment-aspects-financial-inclusion-fintech-era</x:v>
      </x:c>
      <x:c r="C155"/>
      <x:c r="D155" t="str">
        <x:v>RESOURCE_LIBRARY_ONLY__PAFI_FINTECH</x:v>
      </x:c>
      <x:c r="E155" t="n">
        <x:v>0</x:v>
      </x:c>
      <x:c r="F155" t="str">
        <x:v>Payment Aspects of Financial Inclusion in the Fintech Era</x:v>
      </x:c>
      <x:c r="G155" t="str">
        <x:v>Committee on Payments and Market Infrastructures (CPMI) and World Bank Group</x:v>
      </x:c>
      <x:c r="H155" t="str">
        <x:v>Global financial-inclusion measurement and implementation references</x:v>
      </x:c>
      <x:c r="I155" t="str">
        <x:v>Extends the PAFI framework for the fintech era and is useful for separating access to safe transaction accounts, frequent use, enabling payment infrastructure and the risks that accompany digitalisation.</x:v>
      </x:c>
      <x:c r="J155" t="str">
        <x:v>A global framework does not establish a Yemen rate, a Yemen causal effect or the success of any specific digital-finance project.</x:v>
      </x:c>
      <x:c r="K155" t="str">
        <x:v>FULL_PUBLIC_CARD</x:v>
      </x:c>
      <x:c r="L155" t="str">
        <x:v>جوانب المدفوعات في الشمول المالي في عصر التكنولوجيا المالية</x:v>
      </x:c>
      <x:c r="M155" t="str">
        <x:v>مراجع عالمية لقياس وتنفيذ الشمول المالي</x:v>
      </x:c>
      <x:c r="N155" t="str">
        <x:v>يوسع إطار PAFI ليتناول عصر التكنولوجيا المالية، ويفيد في الفصل بين الوصول إلى حسابات معاملات آمنة والاستخدام المتكرر والبنية التحتية الممكنة للمدفوعات والمخاطر المصاحبة للرقمنة.</x:v>
      </x:c>
      <x:c r="O155" t="str">
        <x:v>لا يثبت الإطار العالمي معدلًا لليمن أو أثرًا سببيًا في اليمن أو نجاح أي مشروع محدد للتمويل الرقمي.</x:v>
      </x:c>
      <x:c r="S155" t="str">
        <x:v>NOT_ASSESSED</x:v>
      </x:c>
      <x:c r="Y155" t="str">
        <x:v>لجنة المدفوعات والبنى التحتية للأسواق (CPMI) ومجموعة البنك الدولي</x:v>
      </x:c>
      <x:c r="Z155" t="str">
        <x:v>Research or policy paper</x:v>
      </x:c>
      <x:c r="AA155" t="str">
        <x:v>ورقة بحثية أو سياساتية</x:v>
      </x:c>
    </x:row>
    <x:row r="156">
      <x:c r="A156" t="str">
        <x:v>SRC-WB-FASTT-FPS-2021-001</x:v>
      </x:c>
      <x:c r="B156" t="str">
        <x:v>https://fastpayments.worldbank.org/sites/default/files/2021-11/Fast%20Payment%20Flagship_Final_Nov%201.pdf</x:v>
      </x:c>
      <x:c r="C156" t="str">
        <x:v>["https://fastpayments.worldbank.org/resources"]</x:v>
      </x:c>
      <x:c r="D156" t="str">
        <x:v>RESOURCE_LIBRARY_ONLY__FPS_IMPLEMENTATION</x:v>
      </x:c>
      <x:c r="E156" t="n">
        <x:v>0</x:v>
      </x:c>
      <x:c r="F156" t="str">
        <x:v>Considerations and Lessons for the Development and Implementation of Fast Payment Systems</x:v>
      </x:c>
      <x:c r="G156" t="str">
        <x:v>World Bank</x:v>
      </x:c>
      <x:c r="H156" t="str">
        <x:v>Global payment-system implementation and design references</x:v>
      </x:c>
      <x:c r="I156" t="str">
        <x:v>Provides a practical FPS lifecycle from conceptualisation through design, implementation, go-live and scale, covering use cases, participants, pricing, governance, interoperability, reliability and user adoption.</x:v>
      </x:c>
      <x:c r="J156" t="str">
        <x:v>It is an implementation reference, not a prescription for Yemen and not evidence that Yemen's FPS has reached any specific lifecycle stage or performance level.</x:v>
      </x:c>
      <x:c r="K156" t="str">
        <x:v>FULL_PUBLIC_CARD</x:v>
      </x:c>
      <x:c r="L156" t="str">
        <x:v>اعتبارات ودروس لتطوير أنظمة الدفع السريع وتنفيذها</x:v>
      </x:c>
      <x:c r="M156" t="str">
        <x:v>مراجع عالمية لتصميم وتنفيذ أنظمة المدفوعات</x:v>
      </x:c>
      <x:c r="N156"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56" t="str">
        <x:v>هو مرجع للتنفيذ وليس وصفة إلزامية لليمن، ولا يثبت أن نظام الدفع السريع في اليمن بلغ مرحلة محددة من دورة الحياة أو مستوى أداء بعينه.</x:v>
      </x:c>
      <x:c r="S156" t="str">
        <x:v>NOT_ASSESSED</x:v>
      </x:c>
      <x:c r="Y156" t="str">
        <x:v>البنك الدولي</x:v>
      </x:c>
      <x:c r="Z156" t="str">
        <x:v>Method or standard</x:v>
      </x:c>
      <x:c r="AA156" t="str">
        <x:v>منهج أو معيار</x:v>
      </x:c>
    </x:row>
    <x:row r="157">
      <x:c r="A157" t="str">
        <x:v>SRC-WB-G2PX-001</x:v>
      </x:c>
      <x:c r="B157" t="str">
        <x:v>https://www.worldbank.org/en/programs/g2px/overview</x:v>
      </x:c>
      <x:c r="C157" t="str">
        <x:v>["https://www.worldbank.org/en/programs/g2px/knowledge"]</x:v>
      </x:c>
      <x:c r="D157" t="str">
        <x:v>RESOURCE_LIBRARY_ONLY__G2P_DIGITISATION</x:v>
      </x:c>
      <x:c r="E157" t="n">
        <x:v>0</x:v>
      </x:c>
      <x:c r="F157" t="str">
        <x:v>G2Px: government-to-person payments — overview and knowledge resources</x:v>
      </x:c>
      <x:c r="G157" t="str">
        <x:v>World Bank</x:v>
      </x:c>
      <x:c r="H157" t="str">
        <x:v>Digital public payments and inclusion practice</x:v>
      </x:c>
      <x:c r="I157" t="str">
        <x:v>Useful for designing questions around responsible digitisation of government and social payments: recipient experience, cash-out cost and distance, complaint handling, account access and continued use after payment.</x:v>
      </x:c>
      <x:c r="J157" t="str">
        <x:v>Global G2P practice does not establish durable post-transfer use or any Yemen programme outcome.</x:v>
      </x:c>
      <x:c r="K157" t="str">
        <x:v>FULL_PUBLIC_CARD</x:v>
      </x:c>
      <x:c r="L157" t="str">
        <x:v>G2Px: المدفوعات من الحكومة إلى الأفراد — نظرة عامة وموارد معرفية</x:v>
      </x:c>
      <x:c r="M157" t="str">
        <x:v>ممارسات المدفوعات العامة الرقمية والشمول المالي</x:v>
      </x:c>
      <x:c r="N157" t="str">
        <x:v>يفيد في تصميم أسئلة الرقمنة المسؤولة للمدفوعات الحكومية والاجتماعية، بما يشمل تجربة المستفيد وتكلفة وزمن الوصول إلى السحب وآليات الشكاوى والوصول إلى الحساب واستمرار الاستخدام بعد استلام الدفعة.</x:v>
      </x:c>
      <x:c r="O157" t="str">
        <x:v>لا تثبت الخبرات العالمية لمدفوعات G2P استمرار الاستخدام بعد التحويل ولا أي نتيجة لبرنامج يمني.</x:v>
      </x:c>
      <x:c r="S157" t="str">
        <x:v>NOT_ASSESSED</x:v>
      </x:c>
      <x:c r="Y157" t="str">
        <x:v>البنك الدولي</x:v>
      </x:c>
      <x:c r="Z157" t="str">
        <x:v>Event or programme page</x:v>
      </x:c>
      <x:c r="AA157" t="str">
        <x:v>صفحة فعالية أو برنامج</x:v>
      </x:c>
    </x:row>
    <x:row r="158">
      <x:c r="A158" t="str">
        <x:v>SRC-WB-YEM-CPF-2026-2030-001</x:v>
      </x:c>
      <x:c r="B158" t="str">
        <x:v>https://documents.worldbank.org/en/publication/documents-reports/documentdetail/099051226123536066</x:v>
      </x:c>
      <x:c r="C158" t="str">
        <x:v>["https://www.worldbank.org/ext/en/country/yemen/cpf"]</x:v>
      </x:c>
      <x:c r="D158" t="str">
        <x:v>RESOURCE_LIBRARY_ONLY__CURRENT_YEMEN_DEVELOPMENT_CONTEXT</x:v>
      </x:c>
      <x:c r="E158" t="n">
        <x:v>0</x:v>
      </x:c>
      <x:c r="F158" t="str">
        <x:v>Republic of Yemen: Country Partnership Framework for FY2026–FY2030</x:v>
      </x:c>
      <x:c r="G158" t="str">
        <x:v>World Bank Group</x:v>
      </x:c>
      <x:c r="H158" t="str">
        <x:v>Current Yemen development and private-sector context</x:v>
      </x:c>
      <x:c r="I158" t="str">
        <x:v>Anchors the current World Bank Group country-strategy context for livelihoods, jobs, women’s economic participation, private-sector development and institutional strengthening, helping place financial-inclusion evidence inside the wider development programme.</x:v>
      </x:c>
      <x:c r="J158" t="str">
        <x:v>A country strategy and approved operations are not observed financial-inclusion outcomes and do not establish implementation results.</x:v>
      </x:c>
      <x:c r="K158" t="str">
        <x:v>FULL_PUBLIC_CARD</x:v>
      </x:c>
      <x:c r="L158" t="str">
        <x:v>الجمهورية اليمنية: إطار الشراكة القُطرية للسنوات المالية 2026–2030</x:v>
      </x:c>
      <x:c r="M158" t="str">
        <x:v>السياق الراهن للتنمية والقطاع الخاص في اليمن</x:v>
      </x:c>
      <x:c r="N158"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58" t="str">
        <x:v>لا تمثل الاستراتيجية القطرية والعمليات المعتمدة نتائج مرصودة للشمول المالي، ولا تثبت تحقق نتائج التنفيذ.</x:v>
      </x:c>
      <x:c r="S158" t="str">
        <x:v>NOT_ASSESSED</x:v>
      </x:c>
      <x:c r="Y158" t="str">
        <x:v>مجموعة البنك الدولي</x:v>
      </x:c>
      <x:c r="Z158" t="str">
        <x:v>Research or policy paper</x:v>
      </x:c>
      <x:c r="AA158" t="str">
        <x:v>ورقة بحثية أو سياساتية</x:v>
      </x:c>
    </x:row>
    <x:row r="159">
      <x:c r="A159" t="str">
        <x:v>SRC-WB-YEM-CNL-2026-001</x:v>
      </x:c>
      <x:c r="B159" t="str">
        <x:v>https://www.worldbank.org/en/news/press-release/2026/06/30/improving-human-capital-and-building-livelihoods-for-vulnerable-families-in-yemen</x:v>
      </x:c>
      <x:c r="C159"/>
      <x:c r="D159" t="str">
        <x:v>RESOURCE_LIBRARY_ONLY__CURRENT_YEMEN_CASH_IDENTITY_CONTEXT</x:v>
      </x:c>
      <x:c r="E159" t="n">
        <x:v>0</x:v>
      </x:c>
      <x:c r="F159" t="str">
        <x:v>Cash for Nutrition and Livelihoods Project, Yemen (approved 30 June 2026)</x:v>
      </x:c>
      <x:c r="G159" t="str">
        <x:v>World Bank</x:v>
      </x:c>
      <x:c r="H159" t="str">
        <x:v>Current Yemen cash-transfer and livelihood programmes</x:v>
      </x:c>
      <x:c r="I159" t="str">
        <x:v>A current programme reference linking cash support, livelihoods, village savings and loan associations, and identity documentation; useful for asking what happens between programme delivery, formal onboarding and durable financial use.</x:v>
      </x:c>
      <x:c r="J159" t="str">
        <x:v>Project targets, beneficiary counts, identity-document support or VSLA participation do not establish national financial-inclusion prevalence or persistent bank/e-wallet use.</x:v>
      </x:c>
      <x:c r="K159" t="str">
        <x:v>FULL_PUBLIC_CARD</x:v>
      </x:c>
      <x:c r="L159" t="str">
        <x:v>مشروع النقد مقابل التغذية وسبل العيش في اليمن (أُقرّ في 30 يونيو 2026)</x:v>
      </x:c>
      <x:c r="M159" t="str">
        <x:v>برامج التحويلات النقدية وسبل العيش الجارية في اليمن</x:v>
      </x:c>
      <x:c r="N159"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59" t="str">
        <x:v>لا تثبت مستهدفات المشروع أو أعداد المستفيدين أو دعم الوثائق الثبوتية أو المشاركة في جمعيات الادخار معدلًا وطنيًا للشمول المالي أو استمرار استخدام الحسابات المصرفية أو المحافظ الإلكترونية.</x:v>
      </x:c>
      <x:c r="S159" t="str">
        <x:v>NOT_ASSESSED</x:v>
      </x:c>
      <x:c r="Y159" t="str">
        <x:v>البنك الدولي</x:v>
      </x:c>
      <x:c r="Z159" t="str">
        <x:v>News release</x:v>
      </x:c>
      <x:c r="AA159" t="str">
        <x:v>بيان صحفي</x:v>
      </x:c>
    </x:row>
    <x:row r="160">
      <x:c r="A160" t="str">
        <x:v>SRC-WB-YEM-ECON-MONITOR-2026-SPRING-001</x:v>
      </x:c>
      <x:c r="B160" t="str">
        <x:v>https://www.worldbank.org/en/news/press-release/2026/05/21/economic-strain-deepens-in-yemen-as-regional-risks-intensify</x:v>
      </x:c>
      <x:c r="C160" t="str">
        <x:v>["https://www.worldbank.org/en/programs/the-yemen-fund"]</x:v>
      </x:c>
      <x:c r="D160" t="str">
        <x:v>RESOURCE_LIBRARY_ONLY__CURRENT_YEMEN_MACRO_CONTEXT</x:v>
      </x:c>
      <x:c r="E160" t="n">
        <x:v>0</x:v>
      </x:c>
      <x:c r="F160" t="str">
        <x:v>Yemen Economic Monitor, Spring 2026: Pushing Against the Tide</x:v>
      </x:c>
      <x:c r="G160" t="str">
        <x:v>World Bank</x:v>
      </x:c>
      <x:c r="H160" t="str">
        <x:v>Current Yemen macroeconomic and private-sector context</x:v>
      </x:c>
      <x:c r="I160"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0" t="str">
        <x:v>Macroeconomic estimates, projections and reform context are not direct measures of account ownership, financial-service use, provider operation or inclusion outcomes.</x:v>
      </x:c>
      <x:c r="K160" t="str">
        <x:v>FULL_PUBLIC_CARD</x:v>
      </x:c>
      <x:c r="L160" t="str">
        <x:v>المرصد الاقتصادي لليمن، ربيع 2026: مواجهة التيار</x:v>
      </x:c>
      <x:c r="M160" t="str">
        <x:v>السياق الاقتصادي الكلي والقطاع الخاص الراهن في اليمن</x:v>
      </x:c>
      <x:c r="N160"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0"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0" t="str">
        <x:v>NOT_ASSESSED</x:v>
      </x:c>
      <x:c r="Y160" t="str">
        <x:v>البنك الدولي</x:v>
      </x:c>
      <x:c r="Z160" t="str">
        <x:v>Research or policy paper</x:v>
      </x:c>
      <x:c r="AA160" t="str">
        <x:v>ورقة بحثية أو سياساتية</x:v>
      </x:c>
    </x:row>
    <x:row r="161">
      <x:c r="A161" t="str">
        <x:v>SRC-KFW-YEM-MSME-FIN-III-47229</x:v>
      </x:c>
      <x:c r="B161" t="str">
        <x:v>https://www.kfw-entwicklungsbank.de/ipfz/Projektdatenbank/Foerderung-Des-Finanzsektors-Fuer-Kleinst--Klein--Und-Mittelunternehmen-Kkmu-Iii-47229.htm</x:v>
      </x:c>
      <x:c r="C161"/>
      <x:c r="D161" t="str">
        <x:v>RESOURCE_LIBRARY_ONLY__CURRENT_YEMEN_MSME_MFI_PROGRAMME</x:v>
      </x:c>
      <x:c r="E161" t="n">
        <x:v>0</x:v>
      </x:c>
      <x:c r="F161" t="str">
        <x:v>Promotion of the Financial Sector for Micro, Small and Medium-sized Enterprises (MSMEs) III, Yemen (project 47229)</x:v>
      </x:c>
      <x:c r="G161" t="str">
        <x:v>KfW Development Bank</x:v>
      </x:c>
      <x:c r="H161" t="str">
        <x:v>Current Yemen MSME and microfinance programmes</x:v>
      </x:c>
      <x:c r="I161" t="str">
        <x:v>Official project information on refinancing and capacity support delivered through SFD/SMED and partner microfinance institutions for Yemeni MSMEs; useful context for distinguishing programme mechanisms from national access-to-finance measures.</x:v>
      </x:c>
      <x:c r="J161" t="str">
        <x:v>Project financing and delivery arrangements do not establish a national MSME finance-access rate, MFI performance across the sector or programme impact beyond documented results.</x:v>
      </x:c>
      <x:c r="K161" t="str">
        <x:v>FULL_PUBLIC_CARD</x:v>
      </x:c>
      <x:c r="L161" t="str">
        <x:v>دعم القطاع المالي للمنشآت الأصغر والصغيرة والمتوسطة (المرحلة الثالثة)، اليمن (المشروع 47229)</x:v>
      </x:c>
      <x:c r="M161" t="str">
        <x:v>برامج المنشآت الصغيرة والتمويل الأصغر الجارية في اليمن</x:v>
      </x:c>
      <x:c r="N161"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اليمنية، وتفيد في الفصل بين آلية البرنامج ومقاييس الوصول الوطني إلى التمويل.</x:v>
      </x:c>
      <x:c r="O161" t="str">
        <x:v>لا تثبت ترتيبات التمويل والتنفيذ معدلًا وطنيًا لوصول المنشآت إلى التمويل، ولا أداء قطاع التمويل الأصغر ككل، ولا أثر البرنامج خارج النتائج الموثقة.</x:v>
      </x:c>
      <x:c r="S161" t="str">
        <x:v>NOT_ASSESSED</x:v>
      </x:c>
      <x:c r="Y161" t="str">
        <x:v>بنك التنمية الألماني KfW</x:v>
      </x:c>
      <x:c r="Z161" t="str">
        <x:v>Event or programme page</x:v>
      </x:c>
      <x:c r="AA161" t="str">
        <x:v>صفحة فعالية أو برنامج</x:v>
      </x:c>
    </x:row>
    <x:row r="162">
      <x:c r="A162" t="str">
        <x:v>SRC-WB-G2PX-YEM-UCT-2024-001</x:v>
      </x:c>
      <x:c r="B162" t="str">
        <x:v>https://www.worldbank.org/en/events/2024/05/30/digitalizing-g2p-payments-in-yemen</x:v>
      </x:c>
      <x:c r="C162" t="str">
        <x:v>["https://documents1.worldbank.org/curated/en/099647503042425828/pdf/IDU-a9d1a6be-30dc-48e6-9318-cf9d26959fb9.pdf"]</x:v>
      </x:c>
      <x:c r="D162" t="str">
        <x:v>RESOURCE_LIBRARY_ONLY__YEMEN_G2P_DIGITISATION_PILOT,14_SYSTEM_CHRONOLOGY</x:v>
      </x:c>
      <x:c r="E162" t="n">
        <x:v>0</x:v>
      </x:c>
      <x:c r="F162" t="str">
        <x:v>Digitalizing Government-to-Person (G2P) Payments in Yemen: unconditional cash transfer (UCT) pilot (2024)</x:v>
      </x:c>
      <x:c r="G162" t="str">
        <x:v>World Bank (G2Px)</x:v>
      </x:c>
      <x:c r="H162" t="str">
        <x:v>Yemen cash-transfer digitisation and recipient financial-service exposure</x:v>
      </x:c>
      <x:c r="I162"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2" t="str">
        <x:v>Pilot reach, account opening or successful payment does not establish repeat use, voluntary post-transfer use, saving, merchant use, service quality, or a national financial-inclusion outcome.</x:v>
      </x:c>
      <x:c r="K162" t="str">
        <x:v>FULL_PUBLIC_CARD</x:v>
      </x:c>
      <x:c r="L162" t="str">
        <x:v>رقمنة المدفوعات من الحكومة إلى الأفراد (G2P) في اليمن: المرحلة التجريبية في برنامج التحويلات النقدية غير المشروطة (2024)</x:v>
      </x:c>
      <x:c r="M162" t="str">
        <x:v>رقمنة التحويلات النقدية في اليمن والتعرض لخدمة مالية رسمية</x:v>
      </x:c>
      <x:c r="N162" t="str">
        <x:v>توثق مواد رسمية للبنك الدولي/مبادرة G2Px تجربة للمدفوعات الرقمية لبرنامج التحويلات النقدية غير المشروطة في ثماني مديريات استفاد منها 45,460 مستفيدًا، مع التركيز على الإيداع في حسابات كاملة الوظائف وإتاحة الاختيار للمستفيد. ويوفر ذلك دليلًا يمنيًا مباشرًا على الحلقة الوسيطة بين إيصال التحويل والتعرض لخدمات مالية رقمية رسمية.</x:v>
      </x:c>
      <x:c r="O162"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2" t="str">
        <x:v>NOT_ASSESSED</x:v>
      </x:c>
      <x:c r="Y162" t="str">
        <x:v>البنك الدولي (G2Px)</x:v>
      </x:c>
      <x:c r="Z162" t="str">
        <x:v>Event or programme page</x:v>
      </x:c>
      <x:c r="AA162" t="str">
        <x:v>صفحة فعالية أو برنامج</x:v>
      </x:c>
    </x:row>
    <x:row r="163">
      <x:c r="A163" t="str">
        <x:v>SRC-CBY-ENF-18-2026</x:v>
      </x:c>
      <x:c r="B163" t="str">
        <x:v>https://cby-ye.com/news/975</x:v>
      </x:c>
      <x:c r="D163" t="str">
        <x:v>DS-PROVIDER-STATUS-EVENTS</x:v>
      </x:c>
      <x:c r="E163" t="n">
        <x:v>1</x:v>
      </x:c>
      <x:c r="F163" t="str">
        <x:v>Governor's Decision No. 18 of 2026 on licence suspensions and closures (24 September 2026)</x:v>
      </x:c>
      <x:c r="G163" t="str">
        <x:v>Central Bank of Yemen — Aden</x:v>
      </x:c>
      <x:c r="K163" t="str">
        <x:v>CITATION_CARD</x:v>
      </x:c>
      <x:c r="L163" t="str">
        <x:v>قرار المحافظ رقم (18) لسنة 2026 بشأن إيقاف تراخيص وإغلاق مقرات (24 سبتمبر 2026)</x:v>
      </x:c>
      <x:c r="S163" t="str">
        <x:v>NOT_ASSESSED</x:v>
      </x:c>
      <x:c r="V163" t="str">
        <x:v>2026-09-25</x:v>
      </x:c>
      <x:c r="W163" t="str">
        <x:v>decision/enforcement</x:v>
      </x:c>
      <x:c r="X163" t="str">
        <x:v>status event</x:v>
      </x:c>
      <x:c r="Y163" t="str">
        <x:v>البنك المركزي اليمني – عدن</x:v>
      </x:c>
      <x:c r="Z163" t="str">
        <x:v>Enforcement decision</x:v>
      </x:c>
      <x:c r="AA163" t="str">
        <x:v>قرار إنفاذ</x:v>
      </x:c>
      <x:c r="AB163" t="str">
        <x:v>2026-09-24</x:v>
      </x:c>
    </x:row>
    <x:row r="164">
      <x:c r="A164" t="str">
        <x:v>SRC-CBY-DEC-23-2024-001</x:v>
      </x:c>
      <x:c r="B164" t="str">
        <x:v>https://cby-ye.com/files/667c596ef3bea.pdf</x:v>
      </x:c>
      <x:c r="C164" t="str">
        <x:v>["https://cby-ye.com/news/706"]</x:v>
      </x:c>
      <x:c r="D164" t="str">
        <x:v>DS-REFORM-EVENTS,DS-PRIMARY-AUTHORITY</x:v>
      </x:c>
      <x:c r="E164" t="n">
        <x:v>1</x:v>
      </x:c>
      <x:c r="F164" t="str">
        <x:v>Governor's Decision No. 23 of 2024 on domestic money-transfer activity (26 June 2024; ref. 343/CBY/2024)</x:v>
      </x:c>
      <x:c r="G164" t="str">
        <x:v>Central Bank of Yemen — Aden</x:v>
      </x:c>
      <x:c r="H164" t="str">
        <x:v>Primary administrative and statistical material</x:v>
      </x:c>
      <x:c r="I164"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4" t="str">
        <x:v>A regulatory requirement does not establish that it was implemented, how many transfers moved to the network, or any effect on users or on financial inclusion.</x:v>
      </x:c>
      <x:c r="K164" t="str">
        <x:v>FULL_PUBLIC_CARD</x:v>
      </x:c>
      <x:c r="L164" t="str">
        <x:v>قرار المحافظ رقم (23) لسنة 2024 بشأن مزاولة نشاط التحويلات المالية الداخلية (26 يونيو 2024؛ المرجع 343/CBY/2024)</x:v>
      </x:c>
      <x:c r="M164" t="str">
        <x:v>مواد إدارية وإحصائية أولية</x:v>
      </x:c>
      <x:c r="N164" t="str">
        <x:v>الأداة التنظيمية الأولية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4" t="str">
        <x:v>لا يثبت الإلزام التنظيمي أنه نُفذ فعليًا، ولا عدد الحوالات التي انتقلت إلى الشبكة، ولا أي أثر على المستخدمين أو على الشمول المالي.</x:v>
      </x:c>
      <x:c r="Q164" t="str">
        <x:v>Governor, Central Bank of Yemen — Aden</x:v>
      </x:c>
      <x:c r="R164" t="str">
        <x:v>cby-ye.com</x:v>
      </x:c>
      <x:c r="S164" t="str">
        <x:v>NOT_ASSESSED</x:v>
      </x:c>
      <x:c r="V164" t="str">
        <x:v>2026-09-26</x:v>
      </x:c>
      <x:c r="W164" t="str">
        <x:v>regulatory decision</x:v>
      </x:c>
      <x:c r="X164" t="str">
        <x:v>primary regulatory instrument (rule stage only; not implementation, use or outcome)</x:v>
      </x:c>
      <x:c r="Y164" t="str">
        <x:v>البنك المركزي اليمني – عدن</x:v>
      </x:c>
      <x:c r="Z164" t="str">
        <x:v>Regulatory decision</x:v>
      </x:c>
      <x:c r="AA164" t="str">
        <x:v>قرار تنظيمي</x:v>
      </x:c>
      <x:c r="AB164" t="str">
        <x:v>2024-06-26</x:v>
      </x:c>
    </x:row>
    <x:row r="165">
      <x:c r="A165" t="str">
        <x:v>SRC-AMB-MFB-SUPERVISION-2026</x:v>
      </x:c>
      <x:c r="B165" t="str">
        <x:v>https://www.findevgateway.org/paper/2026/09/beyond-financial-soundness-rebuilding-supervisory-framework-for-microfinance-banks-in</x:v>
      </x:c>
      <x:c r="D165" t="str">
        <x:v>RESOURCE_LIBRARY_ONLY__YEMEN_MFB_SUPERVISION</x:v>
      </x:c>
      <x:c r="E165" t="n">
        <x:v>0</x:v>
      </x:c>
      <x:c r="F165" t="str">
        <x:v>Beyond Financial Soundness: Rebuilding the Supervisory Framework for Microfinance Banks in Yemen (2026)</x:v>
      </x:c>
      <x:c r="G165" t="str">
        <x:v>Al-Amal Microfinance Bank (published on FinDev Gateway)</x:v>
      </x:c>
      <x:c r="H165" t="str">
        <x:v>Yemen analytical literature and sector context</x:v>
      </x:c>
      <x:c r="I165"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5"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5" t="str">
        <x:v>FULL_PUBLIC_CARD</x:v>
      </x:c>
      <x:c r="L165" t="str">
        <x:v>ما بعد السلامة المالية: إعادة بناء الإطار الإشرافي لبنوك التمويل الأصغر في اليمن (2026)</x:v>
      </x:c>
      <x:c r="M165" t="str">
        <x:v>الأدبيات والتحليلات القطاعية الخاصة باليمن</x:v>
      </x:c>
      <x:c r="N165"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5"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5" t="str">
        <x:v>Al-Amal Microfinance Bank</x:v>
      </x:c>
      <x:c r="R165" t="str">
        <x:v>FinDev Gateway</x:v>
      </x:c>
      <x:c r="S165" t="str">
        <x:v>NOT_ASSESSED</x:v>
      </x:c>
      <x:c r="V165" t="str">
        <x:v>2026-09-26</x:v>
      </x:c>
      <x:c r="Y165" t="str">
        <x:v>بنك الأمل للتمويل الأصغر (منشور على منصة FinDev Gateway)</x:v>
      </x:c>
      <x:c r="Z165" t="str">
        <x:v>Research or policy paper</x:v>
      </x:c>
      <x:c r="AA165" t="str">
        <x:v>ورقة بحثية أو سياساتية</x:v>
      </x:c>
      <x:c r="AB165"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82</x:v>
      </x:c>
      <x:c r="E6" s="24" t="str">
        <x:v>2024 Q1</x:v>
      </x:c>
      <x:c r="F6" s="24" t="str">
        <x:v>2026-01</x:v>
      </x:c>
      <x:c r="G6" s="24" t="n">
        <x:v>13</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56</x:v>
      </x:c>
      <x:c r="E10" s="24"/>
      <x:c r="F10" s="24"/>
      <x:c r="G10" s="24" t="n">
        <x:v>14</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2026-01</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28</x:v>
      </x:c>
      <x:c r="E35" s="24" t="n">
        <x:v>1997</x:v>
      </x:c>
      <x:c r="F35" s="24" t="str">
        <x:v>2026-01</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13</x:v>
      </x:c>
      <x:c r="G55" s="24" t="str">
        <x:v>2024 Q3</x:v>
      </x:c>
      <x:c r="H55" s="24" t="str">
        <x:v>2026-01</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14</x:v>
      </x:c>
      <x:c r="G56" s="24" t="str">
        <x:v>2024 Q1</x:v>
      </x:c>
      <x:c r="H56" s="24" t="str">
        <x:v>2026-01</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13</x:v>
      </x:c>
      <x:c r="G57" s="24" t="str">
        <x:v>2024 Q1</x:v>
      </x:c>
      <x:c r="H57" s="24" t="str">
        <x:v>2026-01</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317.639</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386.792</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535.189</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490.759</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580.021</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795.006</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783.583</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910.688</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custom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Custom 2022 sample includes micro firms under 5 employees and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custom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custom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custom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custom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custom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custom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custom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custom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custom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custom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custom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custom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custom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custom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custom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custom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custom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custom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custom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custom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custom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custom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custom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custom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custom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custom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 Figure 108, p.146</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custom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 Figure 108, p.146</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custom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 Figure 108, p.146</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custom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 Figure 108, p.146</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custom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 Figure 108, p.146</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custom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 Figure 108, p.146</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custom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 Figure 108,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custom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 Figure 108,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custom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 Figure 108,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custom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 Figure 108,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custom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 Figure 108,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custom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 Figure 108,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custom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 Figure 108,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custom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 Figure 108,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custom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 Figure 108,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custom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 Figure 108,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custom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custom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custom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custom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custom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custom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custom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custom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custom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custom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custom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custom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custom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custom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custom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custom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custom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custom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custom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custom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custom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custom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custom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custom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custom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custom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custom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custom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custom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custom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custom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custom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custom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custom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custom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2022 custom survey including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2022 custom survey including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2022 custom survey including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2022 custom survey including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2022 custom survey including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2022 custom survey including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2022 custom survey including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3">
      <x:c r="A63" s="53" t="str">
        <x:v>Provider universe</x:v>
      </x:c>
      <x:c r="B63" s="53"/>
      <x:c r="C63" s="53"/>
      <x:c r="D63" s="53"/>
      <x:c r="E63" s="53"/>
      <x:c r="F63" s="53"/>
      <x:c r="G63" s="53"/>
      <x:c r="H63" s="53"/>
      <x:c r="I63" s="53"/>
      <x:c r="J63" s="53"/>
      <x:c r="K63" s="53"/>
    </x:row>
    <x:row r="64">
      <x:c r="A64" s="51" t="str">
        <x:v>universe_id</x:v>
      </x:c>
      <x:c r="B64" s="51" t="str">
        <x:v>provider_class</x:v>
      </x:c>
      <x:c r="C64" s="51" t="str">
        <x:v>reference_state</x:v>
      </x:c>
      <x:c r="D64" s="51" t="str">
        <x:v>authoritative_source_id</x:v>
      </x:c>
      <x:c r="E64" s="51" t="str">
        <x:v>universe_count</x:v>
      </x:c>
      <x:c r="F64" s="51" t="str">
        <x:v>count_state</x:v>
      </x:c>
      <x:c r="G64" s="51" t="str">
        <x:v>named_universe_state</x:v>
      </x:c>
      <x:c r="H64" s="51" t="str">
        <x:v>custody_state</x:v>
      </x:c>
      <x:c r="I64" s="51" t="str">
        <x:v>event_overlay_state</x:v>
      </x:c>
      <x:c r="J64" s="51" t="str">
        <x:v>rc0_state</x:v>
      </x:c>
      <x:c r="K64" s="51" t="str">
        <x:v>critical_limit</x:v>
      </x:c>
    </x:row>
    <x:row r="65">
      <x:c r="A65" s="24" t="str">
        <x:v>PUC-BANK-2026-01</x:v>
      </x:c>
      <x:c r="B65" s="24" t="str">
        <x:v>BANKS_ALL_TYPES</x:v>
      </x:c>
      <x:c r="C65" s="24" t="str">
        <x:v>2026-09-07</x:v>
      </x:c>
      <x:c r="D65" s="24" t="str">
        <x:v>SRC-CBY-BANKLIST-AR-2026-001</x:v>
      </x:c>
      <x:c r="E65" s="24" t="n">
        <x:v>26</x:v>
      </x:c>
      <x:c r="F65" s="24" t="str">
        <x:v>PRIMARY_CURRENT_LIST_VERIFIED</x:v>
      </x:c>
      <x:c r="G65" s="24" t="str">
        <x:v>COMPLETE_FOR_SOURCE_LIST</x:v>
      </x:c>
      <x:c r="H65" s="24" t="str">
        <x:v>WEB_PDF_VISUALLY_VERIFIED__RAW_NOT_MIRRORED</x:v>
      </x:c>
      <x:c r="I65" s="24" t="str">
        <x:v>NO_BANK_STATUS_EVENT_OVERLAY_APPLIED_IN_THIS_UNIT</x:v>
      </x:c>
      <x:c r="J65" s="24" t="str">
        <x:v>SATISFIES_CURRENT_BANK_ROSTER_MINIMUM</x:v>
      </x:c>
      <x:c r="K65" s="24" t="str">
        <x:v>List presence proves licensing/listing only; operation is not inferred.</x:v>
      </x:c>
    </x:row>
    <x:row r="66">
      <x:c r="A66" s="24" t="str">
        <x:v>PUC-EXCH-2026-01</x:v>
      </x:c>
      <x:c r="B66" s="24" t="str">
        <x:v>EXCHANGE_COMPANIES_ESTABLISHMENTS_AND_REMITTANCE_AGENTS</x:v>
      </x:c>
      <x:c r="C66" s="24" t="str">
        <x:v>Official 2026 annual roster; later 2026 status events separate</x:v>
      </x:c>
      <x:c r="D66" s="24" t="str">
        <x:v>SRC-CBY-EXCH-LIST-2026-001</x:v>
      </x:c>
      <x:c r="E66" s="24" t="n">
        <x:v>429</x:v>
      </x:c>
      <x:c r="F66" s="24" t="str">
        <x:v>SOURCE_LISTED_ROWS__98_COMPANIES__225_ESTABLISHMENTS__106_REMITTANCE_AGENTS</x:v>
      </x:c>
      <x:c r="G66" s="24" t="str">
        <x:v>COMPLETE_CATEGORY_COUNTS__ROW_LEVEL_NAMES_NOT_YET_NORMALIZED_IN_PROVIDER_MASTER</x:v>
      </x:c>
      <x:c r="H66" s="24" t="str">
        <x:v>OFFICIAL_11_PAGE_PDF_VISUALLY_VERIFIED</x:v>
      </x:c>
      <x:c r="I66" s="24" t="str">
        <x:v>SELECTED_2026_STATUS_OVERLAY__LATER_SUSPENSION_CLOSURE_EVENTS_MUST_NOT_BE_SUBTRACTED_MECHANICALLY</x:v>
      </x:c>
      <x:c r="J66" s="24" t="str">
        <x:v>ROSTER_COUNTS_RESOLVED__CURRENT_OPERATION_REMAINS_ENTITY_STATUS_QUESTION</x:v>
      </x:c>
      <x:c r="K66" s="24" t="str">
        <x:v>429 is the arithmetic sum of source-listed rows across three classes, not a deduplicated unique-provider or currently operating-provider count.</x:v>
      </x:c>
    </x:row>
    <x:row r="67">
      <x:c r="A67" s="24" t="str">
        <x:v>PUC-WALLET-2025-01</x:v>
      </x:c>
      <x:c r="B67" s="24" t="str">
        <x:v>E_WALLETS_OR_E_MONEY_SERVICES_AS_CBY_REPORTED</x:v>
      </x:c>
      <x:c r="C67" s="24" t="str">
        <x:v>2024 Q3 / 2025 H1 / 2025-09-10 / 2026 event states</x:v>
      </x:c>
      <x:c r="D67" s="24" t="str">
        <x:v>MULTI_SOURCE</x:v>
      </x:c>
      <x:c r="E67" s="24"/>
      <x:c r="F67" s="24" t="str">
        <x:v>MULTIPLE_PRIMARY_DATED_COUNTS_WITH_DIFFERENT_WORDING</x:v>
      </x:c>
      <x:c r="G67" s="24" t="str">
        <x:v>POSITIVE_NAMES_NOT_CONTROLLED</x:v>
      </x:c>
      <x:c r="H67" s="24" t="str">
        <x:v>OFFICIAL_REPORTS_AND_EVENT_PAGES</x:v>
      </x:c>
      <x:c r="I67" s="24" t="str">
        <x:v>2024_NEGATIVE_AUTHORITY + 72_WALLET_COUNT_RECON__NO_POSITIVE_CURRENT_STATUS_LEDGER</x:v>
      </x:c>
      <x:c r="J67" s="24" t="str">
        <x:v>COUNT_ONLY_AND_SEMANTIC_COMPARE__NOT_NAMED_PROVIDER_MASTER</x:v>
      </x:c>
      <x:c r="K67" s="24" t="str">
        <x:v>Official objects report 7 e-wallets (2024 Q3), 9 e-wallets (2025 H1), 8 licensed e-wallets (2025-09-10), and &gt;9 event participants (2026-01-22). Preserve separately; named positive current wallet/PSP universe remains open.</x:v>
      </x:c>
    </x:row>
    <x:row r="68">
      <x:c r="A68" s="24" t="str">
        <x:v>PUC-MFI-2026-01</x:v>
      </x:c>
      <x:c r="B68" s="24" t="str">
        <x:v>NON_BANK_MICROFINANCE_INSTITUTIONS_AND_PROGRAMMES</x:v>
      </x:c>
      <x:c r="C68" s="24" t="str">
        <x:v>observed 2026-09-07</x:v>
      </x:c>
      <x:c r="D68" s="24" t="str">
        <x:v>SRC-YMN-MEMBERS-2026-001</x:v>
      </x:c>
      <x:c r="E68" s="24"/>
      <x:c r="F68" s="24" t="str">
        <x:v>MEMBERSHIP_PAGES_ONLY</x:v>
      </x:c>
      <x:c r="G68" s="24" t="str">
        <x:v>PARTIAL_NETWORK_MEMBERSHIP_NOT_REGULATORY_UNIVERSE</x:v>
      </x:c>
      <x:c r="H68" s="24" t="str">
        <x:v>WEB_VERIFIED</x:v>
      </x:c>
      <x:c r="I68" s="24" t="str">
        <x:v>NONE</x:v>
      </x:c>
      <x:c r="J68" s="24" t="str">
        <x:v>CONTEXT_ONLY__NOT_NATIONAL_PROVIDER_CENSUS</x:v>
      </x:c>
      <x:c r="K68" s="24" t="str">
        <x:v>YMN membership presence is not licence or operation verification and is not a complete national universe.</x:v>
      </x:c>
    </x:row>
    <x:row r="71">
      <x:c r="A71" s="53" t="str">
        <x:v>Provider status events</x:v>
      </x:c>
      <x:c r="B71" s="53"/>
      <x:c r="C71" s="53"/>
      <x:c r="D71" s="53"/>
      <x:c r="E71" s="53"/>
      <x:c r="F71" s="53"/>
      <x:c r="G71" s="53"/>
      <x:c r="H71" s="53"/>
      <x:c r="I71" s="53"/>
      <x:c r="J71" s="53"/>
      <x:c r="K71" s="53"/>
      <x:c r="L71" s="53"/>
    </x:row>
    <x:row r="72">
      <x:c r="A72" s="51" t="str">
        <x:v>status_event_id</x:v>
      </x:c>
      <x:c r="B72" s="51" t="str">
        <x:v>event_date</x:v>
      </x:c>
      <x:c r="C72" s="51" t="str">
        <x:v>source_id</x:v>
      </x:c>
      <x:c r="D72" s="51" t="str">
        <x:v>authority</x:v>
      </x:c>
      <x:c r="E72" s="51" t="str">
        <x:v>event_scope</x:v>
      </x:c>
      <x:c r="F72" s="51" t="str">
        <x:v>affected_class</x:v>
      </x:c>
      <x:c r="G72" s="51" t="str">
        <x:v>event_state</x:v>
      </x:c>
      <x:c r="H72" s="51" t="str">
        <x:v>normalized_event</x:v>
      </x:c>
      <x:c r="I72" s="51" t="str">
        <x:v>entity_subject_state</x:v>
      </x:c>
      <x:c r="J72" s="51" t="str">
        <x:v>public_use</x:v>
      </x:c>
      <x:c r="K72" s="51" t="str">
        <x:v>not_proven</x:v>
      </x:c>
      <x:c r="L72" s="51" t="str">
        <x:v>source_url</x:v>
      </x:c>
    </x:row>
    <x:row r="73">
      <x:c r="A73" s="24" t="str">
        <x:v>PSE-001</x:v>
      </x:c>
      <x:c r="B73" s="24" t="str">
        <x:v>2024-06-26</x:v>
      </x:c>
      <x:c r="C73" s="24" t="str">
        <x:v>SRC-CBY-UNLICENSED-EWALLET-2024-001</x:v>
      </x:c>
      <x:c r="D73" s="24" t="str">
        <x:v>Central Bank of Yemen — Aden</x:v>
      </x:c>
      <x:c r="E73" s="24" t="str">
        <x:v>12 named wallets/entities/services + any other unlicensed electronic financial service</x:v>
      </x:c>
      <x:c r="F73" s="24" t="str">
        <x:v>E_WALLET_OR_ELECTRONIC_PAYMENT_SERVICE</x:v>
      </x:c>
      <x:c r="G73" s="24" t="str">
        <x:v>PROHIBITED_DEALING__UNLICENSED_AS_SOURCE_DATED</x:v>
      </x:c>
      <x:c r="H73" s="24" t="str">
        <x:v>CBY directs banks and exchange businesses not to deal directly or indirectly with the listed unlicensed electronic-payment entities/services.</x:v>
      </x:c>
      <x:c r="I73" s="24" t="str">
        <x:v>NAMED_NEGATIVE_AUTHORITY_LIST_IN_67</x:v>
      </x:c>
      <x:c r="J73" s="24" t="str">
        <x:v>May show a dated negative-authority list with exact source and date.</x:v>
      </x:c>
      <x:c r="K73" s="24" t="str">
        <x:v>Does not identify the positive licensed universe; does not establish 2026 current status.</x:v>
      </x:c>
      <x:c r="L73" s="24" t="str">
        <x:v>https://cby-ye.com/files/667c32dabd223.pdf</x:v>
      </x:c>
    </x:row>
    <x:row r="74">
      <x:c r="A74" s="24" t="str">
        <x:v>PSE-002</x:v>
      </x:c>
      <x:c r="B74" s="24" t="str">
        <x:v>2026-01-01</x:v>
      </x:c>
      <x:c r="C74" s="24" t="str">
        <x:v>SRC-CBY-ENF-01-2026</x:v>
      </x:c>
      <x:c r="D74" s="24" t="str">
        <x:v>Central Bank of Yemen — Aden</x:v>
      </x:c>
      <x:c r="E74" s="24" t="str">
        <x:v>multiple event subjects captured in Provider Master</x:v>
      </x:c>
      <x:c r="F74" s="24" t="str">
        <x:v>EXCHANGE_COMPANY_OR_ESTABLISHMENT</x:v>
      </x:c>
      <x:c r="G74" s="24" t="str">
        <x:v>LICENCE_SUSPENSION_AND_CLOSURE_EVENT</x:v>
      </x:c>
      <x:c r="H74" s="24" t="str">
        <x:v>Governor Decision No. 1 of 2026 suspends licences of a number of non-compliant exchange companies/establishments and closes their premises based on Banking Supervision field-inspection reporting.</x:v>
      </x:c>
      <x:c r="I74" s="24" t="str">
        <x:v>PRIMARY_EVENT_SUBJECTS_PRESENT_IN_15_PROVIDER_MASTER</x:v>
      </x:c>
      <x:c r="J74" s="24" t="str">
        <x:v>May show the dated enforcement event and exact subjects only where primary decision content is controlled.</x:v>
      </x:c>
      <x:c r="K74" s="24" t="str">
        <x:v>Does not establish the complete roster or current operation of unaffected providers.</x:v>
      </x:c>
      <x:c r="L74" s="24" t="str">
        <x:v>https://cby-ye.com/news/907</x:v>
      </x:c>
    </x:row>
    <x:row r="75">
      <x:c r="A75" s="24" t="str">
        <x:v>PSE-003</x:v>
      </x:c>
      <x:c r="B75" s="24" t="str">
        <x:v>2026-08-06</x:v>
      </x:c>
      <x:c r="C75" s="24" t="str">
        <x:v>SRC-CBY-ENF-13-2026</x:v>
      </x:c>
      <x:c r="D75" s="24" t="str">
        <x:v>Central Bank of Yemen — Aden</x:v>
      </x:c>
      <x:c r="E75" s="24" t="str">
        <x:v>event subjects partially normalized in Provider Master</x:v>
      </x:c>
      <x:c r="F75" s="24" t="str">
        <x:v>EXCHANGE_ESTABLISHMENT_AND_REMITTANCE_AGENT</x:v>
      </x:c>
      <x:c r="G75" s="24" t="str">
        <x:v>LICENCE_SUSPENSION_AND_CLOSURE_EVENT</x:v>
      </x:c>
      <x:c r="H75" s="24" t="str">
        <x:v>Governor Decision No. 13 of 2026 suspends licences of a number of exchange establishments and a remittance agent and closes premises, based on Banking Supervision field-inspection reporting.</x:v>
      </x:c>
      <x:c r="I75" s="24" t="str">
        <x:v>OFFICIAL_EVENT_VERIFIED__SOME_NAMES_SECONDARY_CORROBORATION</x:v>
      </x:c>
      <x:c r="J75" s="24" t="str">
        <x:v>Event-level state is public; entity names require the source-specific evidence tier already stored in Provider Master.</x:v>
      </x:c>
      <x:c r="K75" s="24" t="str">
        <x:v>Does not establish the complete 2026 provider universe.</x:v>
      </x:c>
      <x:c r="L75" s="24" t="str">
        <x:v>https://cby-ye.com/news/964</x:v>
      </x:c>
    </x:row>
    <x:row r="76">
      <x:c r="A76" s="24" t="str">
        <x:v>PSE-004</x:v>
      </x:c>
      <x:c r="B76" s="24" t="str">
        <x:v>2026-08-20</x:v>
      </x:c>
      <x:c r="C76" s="24" t="str">
        <x:v>SRC-CBY-ENF-14-2026</x:v>
      </x:c>
      <x:c r="D76" s="24" t="str">
        <x:v>Central Bank of Yemen — Aden</x:v>
      </x:c>
      <x:c r="E76" s="24" t="str">
        <x:v>event subjects partially normalized in Provider Master</x:v>
      </x:c>
      <x:c r="F76" s="24" t="str">
        <x:v>EXCHANGE_COMPANY_OR_ESTABLISHMENT</x:v>
      </x:c>
      <x:c r="G76" s="24" t="str">
        <x:v>LICENCE_SUSPENSION_AND_CLOSURE_EVENT</x:v>
      </x:c>
      <x:c r="H76" s="24" t="str">
        <x:v>Governor Decision No. 14 of 2026 suspends licences of a number of exchange companies/establishment(s) and closes premises based on Banking Supervision field-inspection reporting.</x:v>
      </x:c>
      <x:c r="I76" s="24" t="str">
        <x:v>OFFICIAL_EVENT_VERIFIED__SOME_NAMES_CORROBORATED</x:v>
      </x:c>
      <x:c r="J76" s="24" t="str">
        <x:v>Event-level state is public; entity names require source-specific evidence tier.</x:v>
      </x:c>
      <x:c r="K76" s="24" t="str">
        <x:v>Does not establish complete provider universe or market activity.</x:v>
      </x:c>
      <x:c r="L76" s="24" t="str">
        <x:v>https://cby-ye.com/news/968</x:v>
      </x:c>
    </x:row>
    <x:row r="77">
      <x:c r="A77" s="24" t="str">
        <x:v>PSE-005</x:v>
      </x:c>
      <x:c r="B77" s="24" t="str">
        <x:v>2026-08-27</x:v>
      </x:c>
      <x:c r="C77" s="24" t="str">
        <x:v>SRC-CBY-ENF-15-2026</x:v>
      </x:c>
      <x:c r="D77" s="24" t="str">
        <x:v>Central Bank of Yemen — Aden</x:v>
      </x:c>
      <x:c r="E77" s="24" t="str">
        <x:v>event subjects partially normalized in Provider Master</x:v>
      </x:c>
      <x:c r="F77" s="24" t="str">
        <x:v>EXCHANGE_COMPANY_ESTABLISHMENT_AND_REMITTANCE_AGENTS</x:v>
      </x:c>
      <x:c r="G77" s="24" t="str">
        <x:v>LICENCE_SUSPENSION_AND_CLOSURE_EVENT</x:v>
      </x:c>
      <x:c r="H77" s="24" t="str">
        <x:v>Governor Decision No. 15 of 2026 suspends licences of an exchange company, establishment and a number of remittance agents and closes premises based on Banking Supervision field-inspection reporting.</x:v>
      </x:c>
      <x:c r="I77" s="24" t="str">
        <x:v>OFFICIAL_EVENT_VERIFIED__SOME_NAMES_SECONDARY_ONLY</x:v>
      </x:c>
      <x:c r="J77" s="24" t="str">
        <x:v>Event-level state is public; individual names remain governed by Provider Master evidence tier.</x:v>
      </x:c>
      <x:c r="K77" s="24" t="str">
        <x:v>Does not establish complete provider universe or current operation of other entities.</x:v>
      </x:c>
      <x:c r="L77" s="24" t="str">
        <x:v>https://cby-ye.com/news/969</x:v>
      </x:c>
    </x:row>
    <x:row r="78">
      <x:c r="A78" s="24" t="str">
        <x:v>PSE-006</x:v>
      </x:c>
      <x:c r="B78" s="24" t="str">
        <x:v>2026-01-01</x:v>
      </x:c>
      <x:c r="C78" s="24" t="str">
        <x:v>SRC-CBY-ENF-02-2026</x:v>
      </x:c>
      <x:c r="D78" s="24" t="str">
        <x:v>Central Bank of Yemen — Aden</x:v>
      </x:c>
      <x:c r="E78" s="24" t="str">
        <x:v>Al-Shamil Exchange branch</x:v>
      </x:c>
      <x:c r="F78" s="24" t="str">
        <x:v>EXCHANGE_BRANCH</x:v>
      </x:c>
      <x:c r="G78" s="24" t="str">
        <x:v>LICENCE_WITHDRAWAL_EVENT</x:v>
      </x:c>
      <x:c r="H78" s="24" t="str">
        <x:v>Governor Decision No. 2 of 2026 withdraws the licence of a non-compliant Al-Shamil Exchange branch based on Banking Supervision field-inspection reporting.</x:v>
      </x:c>
      <x:c r="I78" s="24" t="str">
        <x:v>PRIMARY_BRANCH_SUBJECT_PRESENT_IN_15_PROVIDER_MASTER</x:v>
      </x:c>
      <x:c r="J78" s="24" t="str">
        <x:v>May show the exact dated branch-level status event.</x:v>
      </x:c>
      <x:c r="K78" s="24" t="str">
        <x:v>Does not establish parent-company operation, all branches, or complete provider universe.</x:v>
      </x:c>
      <x:c r="L78" s="24" t="str">
        <x:v>https://cby-ye.com/news/908</x:v>
      </x:c>
    </x:row>
    <x:row r="79">
      <x:c r="A79" s="24" t="str">
        <x:v>PSE-007</x:v>
      </x:c>
      <x:c r="B79" s="24" t="str">
        <x:v>2026-01-08</x:v>
      </x:c>
      <x:c r="C79" s="24" t="str">
        <x:v>SRC-CBY-ENF-03-2026</x:v>
      </x:c>
      <x:c r="D79" s="24" t="str">
        <x:v>Central Bank of Yemen — Aden</x:v>
      </x:c>
      <x:c r="E79" s="24" t="str">
        <x:v>Bin Amin Ghannam Exchange branch</x:v>
      </x:c>
      <x:c r="F79" s="24" t="str">
        <x:v>EXCHANGE_BRANCH</x:v>
      </x:c>
      <x:c r="G79" s="24" t="str">
        <x:v>LICENCE_WITHDRAWAL_EVENT</x:v>
      </x:c>
      <x:c r="H79" s="24" t="str">
        <x:v>Governor Decision No. 3 of 2026 withdraws the licence of a Bin Amin Ghannam Exchange branch based on Banking Supervision field-inspection reporting.</x:v>
      </x:c>
      <x:c r="I79" s="24" t="str">
        <x:v>PRIMARY_BRANCH_SUBJECT_PRESENT_IN_15_PROVIDER_MASTER</x:v>
      </x:c>
      <x:c r="J79" s="24" t="str">
        <x:v>May show the exact dated branch-level status event.</x:v>
      </x:c>
      <x:c r="K79" s="24" t="str">
        <x:v>Does not establish parent-company operation, all branches, or complete provider universe.</x:v>
      </x:c>
      <x:c r="L79" s="24" t="str">
        <x:v>https://cby-ye.com/news/910</x:v>
      </x:c>
    </x:row>
    <x:row r="80">
      <x:c r="A80" s="24" t="str">
        <x:v>PSE-008</x:v>
      </x:c>
      <x:c r="B80" s="24" t="str">
        <x:v>2026-01-08</x:v>
      </x:c>
      <x:c r="C80" s="24" t="str">
        <x:v>SRC-CBY-ENF-04-2026</x:v>
      </x:c>
      <x:c r="D80" s="24" t="str">
        <x:v>Central Bank of Yemen — Aden</x:v>
      </x:c>
      <x:c r="E80" s="24" t="str">
        <x:v>multiple event subjects captured in Provider Master</x:v>
      </x:c>
      <x:c r="F80" s="24" t="str">
        <x:v>EXCHANGE_ESTABLISHMENT</x:v>
      </x:c>
      <x:c r="G80" s="24" t="str">
        <x:v>LICENCE_SUSPENSION_AND_CLOSURE_EVENT</x:v>
      </x:c>
      <x:c r="H80" s="24" t="str">
        <x:v>Governor Decision No. 4 of 2026 suspends licences of a number of non-compliant exchange establishments and closes premises based on Banking Supervision field-inspection reporting.</x:v>
      </x:c>
      <x:c r="I80" s="24" t="str">
        <x:v>PRIMARY_EVENT_SUBJECTS_PRESENT_IN_15_PROVIDER_MASTER</x:v>
      </x:c>
      <x:c r="J80" s="24" t="str">
        <x:v>May show the dated event and subjects only at their controlled evidence tier.</x:v>
      </x:c>
      <x:c r="K80" s="24" t="str">
        <x:v>Does not establish complete provider universe or current operation of unaffected providers.</x:v>
      </x:c>
      <x:c r="L80" s="24" t="str">
        <x:v>https://cby-ye.com/news/911</x:v>
      </x:c>
    </x:row>
    <x:row r="81">
      <x:c r="A81" s="24" t="str">
        <x:v>PSE-009</x:v>
      </x:c>
      <x:c r="B81" s="24" t="str">
        <x:v>2026-01-13</x:v>
      </x:c>
      <x:c r="C81" s="24" t="str">
        <x:v>SRC-CBY-ENF-05-2026</x:v>
      </x:c>
      <x:c r="D81" s="24" t="str">
        <x:v>Central Bank of Yemen — Aden</x:v>
      </x:c>
      <x:c r="E81" s="24" t="str">
        <x:v>multiple event subjects captured in Provider Master</x:v>
      </x:c>
      <x:c r="F81" s="24" t="str">
        <x:v>EXCHANGE_ESTABLISHMENT</x:v>
      </x:c>
      <x:c r="G81" s="24" t="str">
        <x:v>LICENCE_SUSPENSION_AND_CLOSURE_EVENT</x:v>
      </x:c>
      <x:c r="H81" s="24" t="str">
        <x:v>Governor Decision No. 5 of 2026 suspends licences of a number of non-compliant exchange establishments and closes premises based on Banking Supervision field-inspection reporting.</x:v>
      </x:c>
      <x:c r="I81" s="24" t="str">
        <x:v>PRIMARY_EVENT_SUBJECTS_PRESENT_IN_15_PROVIDER_MASTER</x:v>
      </x:c>
      <x:c r="J81" s="24" t="str">
        <x:v>May show the dated event and exact controlled subjects.</x:v>
      </x:c>
      <x:c r="K81" s="24" t="str">
        <x:v>Does not establish complete provider universe or current operation of unaffected providers.</x:v>
      </x:c>
      <x:c r="L81" s="24" t="str">
        <x:v>https://cby-ye.com/news/912</x:v>
      </x:c>
    </x:row>
    <x:row r="82">
      <x:c r="A82" s="24" t="str">
        <x:v>PSE-010</x:v>
      </x:c>
      <x:c r="B82" s="24" t="str">
        <x:v>2026-01-13</x:v>
      </x:c>
      <x:c r="C82" s="24" t="str">
        <x:v>SRC-CBY-ENF-06-2026</x:v>
      </x:c>
      <x:c r="D82" s="24" t="str">
        <x:v>Central Bank of Yemen — Aden</x:v>
      </x:c>
      <x:c r="E82" s="24" t="str">
        <x:v>Al-Thawr Exchange branch — Al-Mahra</x:v>
      </x:c>
      <x:c r="F82" s="24" t="str">
        <x:v>EXCHANGE_BRANCH</x:v>
      </x:c>
      <x:c r="G82" s="24" t="str">
        <x:v>LICENCE_SUSPENSION_AND_CLOSURE_EVENT</x:v>
      </x:c>
      <x:c r="H82" s="24" t="str">
        <x:v>Governor Decision No. 6 of 2026 suspends the licence of an Al-Thawr Exchange branch in Al-Mahra and closes its premises.</x:v>
      </x:c>
      <x:c r="I82" s="24" t="str">
        <x:v>PRIMARY_BRANCH_SUBJECT_PRESENT_IN_15_PROVIDER_MASTER</x:v>
      </x:c>
      <x:c r="J82" s="24" t="str">
        <x:v>May show the dated branch-level status event.</x:v>
      </x:c>
      <x:c r="K82" s="24" t="str">
        <x:v>Does not establish parent-company operation, all branches, or complete provider universe.</x:v>
      </x:c>
      <x:c r="L82" s="24" t="str">
        <x:v>https://cby-ye.com/news/913</x:v>
      </x:c>
    </x:row>
    <x:row r="83">
      <x:c r="A83" s="24" t="str">
        <x:v>PSE-011</x:v>
      </x:c>
      <x:c r="B83" s="24" t="str">
        <x:v>2026-05-21</x:v>
      </x:c>
      <x:c r="C83" s="24" t="str">
        <x:v>SRC-CBY-ENF-09-2026</x:v>
      </x:c>
      <x:c r="D83" s="24" t="str">
        <x:v>Central Bank of Yemen — Aden</x:v>
      </x:c>
      <x:c r="E83" s="24" t="str">
        <x:v>One remittance agent (an individual named in the decision) — Lahj/Tuban</x:v>
      </x:c>
      <x:c r="F83" s="24" t="str">
        <x:v>REMITTANCE_AGENT</x:v>
      </x:c>
      <x:c r="G83" s="24" t="str">
        <x:v>LICENCE_SUSPENSION_AND_CLOSURE_EVENT</x:v>
      </x:c>
      <x:c r="H83" s="24" t="str">
        <x:v>Governor Decision No. 9 of 2026 suspends the licence of a remittance agent in Lahj/Tuban and closes the premises; the agent is an individual and is not named in this resource.</x:v>
      </x:c>
      <x:c r="I83" s="24" t="str">
        <x:v>PRIMARY_OFFICIAL_EVENT_AND_SUBJECT_VERIFIED</x:v>
      </x:c>
      <x:c r="J83" s="24" t="str">
        <x:v>May show the dated event; the subject is an individual and is not named.</x:v>
      </x:c>
      <x:c r="K83" s="24" t="str">
        <x:v>Does not establish complete current remittance-agent universe or later status without further evidence.</x:v>
      </x:c>
      <x:c r="L83" s="24" t="str">
        <x:v>https://cby-ye.com/news/943</x:v>
      </x:c>
    </x:row>
    <x:row r="84">
      <x:c r="A84" s="24" t="str">
        <x:v>PSE-012</x:v>
      </x:c>
      <x:c r="B84" s="24" t="str">
        <x:v>2026-06-09</x:v>
      </x:c>
      <x:c r="C84" s="24" t="str">
        <x:v>SRC-CBY-ENF-10-2026</x:v>
      </x:c>
      <x:c r="D84" s="24" t="str">
        <x:v>Central Bank of Yemen — Aden</x:v>
      </x:c>
      <x:c r="E84" s="24" t="str">
        <x:v>Bin Dabi — remittance agent — Shabwa/Habban</x:v>
      </x:c>
      <x:c r="F84" s="24" t="str">
        <x:v>REMITTANCE_AGENT</x:v>
      </x:c>
      <x:c r="G84" s="24" t="str">
        <x:v>LICENCE_SUSPENSION_AND_CLOSURE_EVENT</x:v>
      </x:c>
      <x:c r="H84" s="24" t="str">
        <x:v>Governor Decision No. 10 of 2026 suspends the licence of Bin Dabi remittance agent in Shabwa/Habban and closes the premises.</x:v>
      </x:c>
      <x:c r="I84" s="24" t="str">
        <x:v>PRIMARY_OFFICIAL_PAGE_TITLE_VERIFIED__DATE_CROSS_CORROBORATED</x:v>
      </x:c>
      <x:c r="J84" s="24" t="str">
        <x:v>May show the event subject; if exact date is surfaced publicly, retain the cross-corroboration note until the primary page date is directly machine-readable/archived.</x:v>
      </x:c>
      <x:c r="K84" s="24" t="str">
        <x:v>Does not establish complete current remittance-agent universe or later status.</x:v>
      </x:c>
      <x:c r="L84" s="24" t="str">
        <x:v>https://cby-ye.com/news/944</x:v>
      </x:c>
    </x:row>
    <x:row r="85">
      <x:c r="A85" s="24" t="str">
        <x:v>PSE-013</x:v>
      </x:c>
      <x:c r="B85" s="24" t="str">
        <x:v>2026-06-10</x:v>
      </x:c>
      <x:c r="C85" s="24" t="str">
        <x:v>SRC-CBY-ENF-11-2026</x:v>
      </x:c>
      <x:c r="D85" s="24" t="str">
        <x:v>Central Bank of Yemen — Aden</x:v>
      </x:c>
      <x:c r="E85" s="24" t="str">
        <x:v>Al-Ittihad Money — remittance agent — Lahj/Yafa Al-Hadd</x:v>
      </x:c>
      <x:c r="F85" s="24" t="str">
        <x:v>REMITTANCE_AGENT</x:v>
      </x:c>
      <x:c r="G85" s="24" t="str">
        <x:v>LICENCE_SUSPENSION_AND_CLOSURE_EVENT</x:v>
      </x:c>
      <x:c r="H85" s="24" t="str">
        <x:v>Governor Decision No. 11 of 2026 suspends the licence of Al-Ittihad Money remittance agent in Lahj/Yafa Al-Hadd and closes the premises.</x:v>
      </x:c>
      <x:c r="I85" s="24" t="str">
        <x:v>PRIMARY_OFFICIAL_EVENT_AND_SUBJECT_VERIFIED</x:v>
      </x:c>
      <x:c r="J85" s="24" t="str">
        <x:v>May show the exact dated event and subject.</x:v>
      </x:c>
      <x:c r="K85" s="24" t="str">
        <x:v>Does not establish complete current remittance-agent universe or later status without further evidence.</x:v>
      </x:c>
      <x:c r="L85" s="24" t="str">
        <x:v>https://www.cby-ye.com/news/945</x:v>
      </x:c>
    </x:row>
    <x:row r="86">
      <x:c r="A86" t="str">
        <x:v>PSE-014</x:v>
      </x:c>
      <x:c r="B86" t="str">
        <x:v>2026-09-17</x:v>
      </x:c>
      <x:c r="C86" t="str">
        <x:v>SRC-CBY-ENF-17-2026</x:v>
      </x:c>
      <x:c r="D86" t="str">
        <x:v>Central Bank of Yemen — Aden</x:v>
      </x:c>
      <x:c r="E86" t="str">
        <x:v>Al-Buraq Exchange and Transfers Company</x:v>
      </x:c>
      <x:c r="F86" t="str">
        <x:v>EXCHANGE_COMPANY</x:v>
      </x:c>
      <x:c r="G86" t="str">
        <x:v>LICENCE_SUSPENSION_AND_CLOSURE_EVENT</x:v>
      </x:c>
      <x:c r="H86" t="str">
        <x:v>Governor Decision No. 17 of 2026 suspends the licence granted to Al-Buraq Exchange and Transfers Company and closes its premises, based on violations recorded in a field-inspection report from Banking Supervision.</x:v>
      </x:c>
      <x:c r="I86" t="str">
        <x:v>PRIMARY_OFFICIAL_EVENT_AND_SUBJECT_VERIFIED</x:v>
      </x:c>
      <x:c r="J86" t="str">
        <x:v>May show the exact dated event and subject.</x:v>
      </x:c>
      <x:c r="K86" t="str">
        <x:v>Does not establish the complete 2026 provider universe, the status of other entities, or a later status for Al-Buraq beyond the source date; do not subtract the event mechanically from the annual roster.</x:v>
      </x:c>
      <x:c r="L86" t="str">
        <x:v>https://cby-ye.com/news/973</x:v>
      </x:c>
      <x:c r="M86"/>
      <x:c r="N86"/>
      <x:c r="O86"/>
    </x:row>
    <x:row r="87">
      <x:c r="A87" t="str">
        <x:v>PSE-015</x:v>
      </x:c>
      <x:c r="B87" t="str">
        <x:v>2026-09-24</x:v>
      </x:c>
      <x:c r="C87" t="str">
        <x:v>SRC-CBY-ENF-18-2026</x:v>
      </x:c>
      <x:c r="D87" t="str">
        <x:v>Central Bank of Yemen — Aden</x:v>
      </x:c>
      <x:c r="E87" t="str">
        <x:v>one exchange company, exchange establishments and one remittance agent, as announced</x:v>
      </x:c>
      <x:c r="F87" t="str">
        <x:v>EXCHANGE_COMPANY_ESTABLISHMENTS_AND_REMITTANCE_AGENT</x:v>
      </x:c>
      <x:c r="G87" t="str">
        <x:v>LICENCE_SUSPENSION_AND_CLOSURE_EVENT</x:v>
      </x:c>
      <x:c r="H87" t="str">
        <x:v>Governor Decision No. 18 of 2026 suspends licences of an exchange company, exchange establishments and a remittance agent and closes their premises</x:v>
      </x:c>
      <x:c r="I87" t="str">
        <x:v>NAMES_PRIMARY_SOURCE_PENDING</x:v>
      </x:c>
      <x:c r="J87" t="str">
        <x:v>PUBLIC_EVENT__NAMES_WITHHELD_UNTIL_TRANSCRIBED</x:v>
      </x:c>
      <x:c r="K87" t="str">
        <x:v>a licence suspension or closure is a dated regulatory action and does not establish permanent cessation; it says nothing about the current operation of other entities and does not change the 2026 roster count</x:v>
      </x:c>
      <x:c r="L87" t="str">
        <x:v>https://cby-ye.com/news/975</x:v>
      </x:c>
    </x:row>
    <x:row r="89">
      <x:c r="A89" s="53" t="str">
        <x:v>Provider negative-authority evidence</x:v>
      </x:c>
      <x:c r="B89" s="53"/>
      <x:c r="C89" s="53"/>
      <x:c r="D89" s="53"/>
      <x:c r="E89" s="53"/>
      <x:c r="F89" s="53"/>
      <x:c r="G89" s="53"/>
      <x:c r="H89" s="53"/>
      <x:c r="I89" s="53"/>
      <x:c r="J89" s="53"/>
      <x:c r="K89" s="53"/>
    </x:row>
    <x:row r="90">
      <x:c r="A90" s="51" t="str">
        <x:v>negative_authority_id</x:v>
      </x:c>
      <x:c r="B90" s="51" t="str">
        <x:v>source_id</x:v>
      </x:c>
      <x:c r="C90" s="51" t="str">
        <x:v>authority</x:v>
      </x:c>
      <x:c r="D90" s="51" t="str">
        <x:v>source_date</x:v>
      </x:c>
      <x:c r="E90" s="51" t="str">
        <x:v>source_label_ar</x:v>
      </x:c>
      <x:c r="F90" s="51" t="str">
        <x:v>normalized_search_label_en</x:v>
      </x:c>
      <x:c r="G90" s="51" t="str">
        <x:v>authority_state</x:v>
      </x:c>
      <x:c r="H90" s="51" t="str">
        <x:v>scope</x:v>
      </x:c>
      <x:c r="I90" s="51" t="str">
        <x:v>current_status_inference</x:v>
      </x:c>
      <x:c r="J90" s="51" t="str">
        <x:v>positive_universe_inference</x:v>
      </x:c>
      <x:c r="K90" s="51" t="str">
        <x:v>source_url</x:v>
      </x:c>
    </x:row>
    <x:row r="91">
      <x:c r="A91" s="24" t="str">
        <x:v>NEG-EW-001</x:v>
      </x:c>
      <x:c r="B91" s="24" t="str">
        <x:v>SRC-CBY-UNLICENSED-EWALLET-2024-001</x:v>
      </x:c>
      <x:c r="C91" s="24" t="str">
        <x:v>Central Bank of Yemen — Aden</x:v>
      </x:c>
      <x:c r="D91" s="24" t="str">
        <x:v>2024-06-26</x:v>
      </x:c>
      <x:c r="E91" s="24" t="str">
        <x:v>محفظة كاش</x:v>
      </x:c>
      <x:c r="F91" s="24" t="str">
        <x:v>Cash wallet</x:v>
      </x:c>
      <x:c r="G91" s="24" t="str">
        <x:v>UNLICENSED_AS_NAMED_IN_SOURCE_ON_SOURCE_DATE</x:v>
      </x:c>
      <x:c r="H91" s="24" t="str">
        <x:v>CBY circular prohibiting direct/indirect dealing</x:v>
      </x:c>
      <x:c r="I91" s="24" t="str">
        <x:v>NONE__DO_NOT_CARRY_FORWARD_TO_2026_WITHOUT_NEW_STATUS_EVIDENCE</x:v>
      </x:c>
      <x:c r="J91" s="24" t="str">
        <x:v>NONE__NEGATIVE_LIST_DOES_NOT_DEFINE_LICENSED_UNIVERSE</x:v>
      </x:c>
      <x:c r="K91" s="24" t="str">
        <x:v>https://cby-ye.com/files/667c32dabd223.pdf</x:v>
      </x:c>
    </x:row>
    <x:row r="92">
      <x:c r="A92" s="24" t="str">
        <x:v>NEG-EW-002</x:v>
      </x:c>
      <x:c r="B92" s="24" t="str">
        <x:v>SRC-CBY-UNLICENSED-EWALLET-2024-001</x:v>
      </x:c>
      <x:c r="C92" s="24" t="str">
        <x:v>Central Bank of Yemen — Aden</x:v>
      </x:c>
      <x:c r="D92" s="24" t="str">
        <x:v>2024-06-26</x:v>
      </x:c>
      <x:c r="E92" s="24" t="str">
        <x:v>محفظة الدولي موني</x:v>
      </x:c>
      <x:c r="F92" s="24" t="str">
        <x:v>Al-Dawli Money wallet</x:v>
      </x:c>
      <x:c r="G92" s="24" t="str">
        <x:v>UNLICENSED_AS_NAMED_IN_SOURCE_ON_SOURCE_DATE</x:v>
      </x:c>
      <x:c r="H92" s="24" t="str">
        <x:v>CBY circular prohibiting direct/indirect dealing</x:v>
      </x:c>
      <x:c r="I92" s="24" t="str">
        <x:v>NONE__DO_NOT_CARRY_FORWARD_TO_2026_WITHOUT_NEW_STATUS_EVIDENCE</x:v>
      </x:c>
      <x:c r="J92" s="24" t="str">
        <x:v>NONE__NEGATIVE_LIST_DOES_NOT_DEFINE_LICENSED_UNIVERSE</x:v>
      </x:c>
      <x:c r="K92" s="24" t="str">
        <x:v>https://cby-ye.com/files/667c32dabd223.pdf</x:v>
      </x:c>
    </x:row>
    <x:row r="93">
      <x:c r="A93" s="24" t="str">
        <x:v>NEG-EW-003</x:v>
      </x:c>
      <x:c r="B93" s="24" t="str">
        <x:v>SRC-CBY-UNLICENSED-EWALLET-2024-001</x:v>
      </x:c>
      <x:c r="C93" s="24" t="str">
        <x:v>Central Bank of Yemen — Aden</x:v>
      </x:c>
      <x:c r="D93" s="24" t="str">
        <x:v>2024-06-26</x:v>
      </x:c>
      <x:c r="E93" s="24" t="str">
        <x:v>محفظة جوالي</x:v>
      </x:c>
      <x:c r="F93" s="24" t="str">
        <x:v>Jawali wallet</x:v>
      </x:c>
      <x:c r="G93" s="24" t="str">
        <x:v>UNLICENSED_AS_NAMED_IN_SOURCE_ON_SOURCE_DATE</x:v>
      </x:c>
      <x:c r="H93" s="24" t="str">
        <x:v>CBY circular prohibiting direct/indirect dealing</x:v>
      </x:c>
      <x:c r="I93" s="24" t="str">
        <x:v>NONE__DO_NOT_CARRY_FORWARD_TO_2026_WITHOUT_NEW_STATUS_EVIDENCE</x:v>
      </x:c>
      <x:c r="J93" s="24" t="str">
        <x:v>NONE__NEGATIVE_LIST_DOES_NOT_DEFINE_LICENSED_UNIVERSE</x:v>
      </x:c>
      <x:c r="K93" s="24" t="str">
        <x:v>https://cby-ye.com/files/667c32dabd223.pdf</x:v>
      </x:c>
    </x:row>
    <x:row r="94">
      <x:c r="A94" s="24" t="str">
        <x:v>NEG-EW-004</x:v>
      </x:c>
      <x:c r="B94" s="24" t="str">
        <x:v>SRC-CBY-UNLICENSED-EWALLET-2024-001</x:v>
      </x:c>
      <x:c r="C94" s="24" t="str">
        <x:v>Central Bank of Yemen — Aden</x:v>
      </x:c>
      <x:c r="D94" s="24" t="str">
        <x:v>2024-06-26</x:v>
      </x:c>
      <x:c r="E94" s="24" t="str">
        <x:v>محفظة فلوسك</x:v>
      </x:c>
      <x:c r="F94" s="24" t="str">
        <x:v>Floosak wallet</x:v>
      </x:c>
      <x:c r="G94" s="24" t="str">
        <x:v>UNLICENSED_AS_NAMED_IN_SOURCE_ON_SOURCE_DATE</x:v>
      </x:c>
      <x:c r="H94" s="24" t="str">
        <x:v>CBY circular prohibiting direct/indirect dealing</x:v>
      </x:c>
      <x:c r="I94" s="24" t="str">
        <x:v>NONE__DO_NOT_CARRY_FORWARD_TO_2026_WITHOUT_NEW_STATUS_EVIDENCE</x:v>
      </x:c>
      <x:c r="J94" s="24" t="str">
        <x:v>NONE__NEGATIVE_LIST_DOES_NOT_DEFINE_LICENSED_UNIVERSE</x:v>
      </x:c>
      <x:c r="K94" s="24" t="str">
        <x:v>https://cby-ye.com/files/667c32dabd223.pdf</x:v>
      </x:c>
    </x:row>
    <x:row r="95">
      <x:c r="A95" s="24" t="str">
        <x:v>NEG-EW-005</x:v>
      </x:c>
      <x:c r="B95" s="24" t="str">
        <x:v>SRC-CBY-UNLICENSED-EWALLET-2024-001</x:v>
      </x:c>
      <x:c r="C95" s="24" t="str">
        <x:v>Central Bank of Yemen — Aden</x:v>
      </x:c>
      <x:c r="D95" s="24" t="str">
        <x:v>2024-06-26</x:v>
      </x:c>
      <x:c r="E95" s="24" t="str">
        <x:v>محفظة سبا كاش</x:v>
      </x:c>
      <x:c r="F95" s="24" t="str">
        <x:v>Saba 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NEG-EW-006</x:v>
      </x:c>
      <x:c r="B96" s="24" t="str">
        <x:v>SRC-CBY-UNLICENSED-EWALLET-2024-001</x:v>
      </x:c>
      <x:c r="C96" s="24" t="str">
        <x:v>Central Bank of Yemen — Aden</x:v>
      </x:c>
      <x:c r="D96" s="24" t="str">
        <x:v>2024-06-26</x:v>
      </x:c>
      <x:c r="E96" s="24" t="str">
        <x:v>محفظة موبايل موني</x:v>
      </x:c>
      <x:c r="F96" s="24" t="str">
        <x:v>Mobile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NEG-EW-007</x:v>
      </x:c>
      <x:c r="B97" s="24" t="str">
        <x:v>SRC-CBY-UNLICENSED-EWALLET-2024-001</x:v>
      </x:c>
      <x:c r="C97" s="24" t="str">
        <x:v>Central Bank of Yemen — Aden</x:v>
      </x:c>
      <x:c r="D97" s="24" t="str">
        <x:v>2024-06-26</x:v>
      </x:c>
      <x:c r="E97" s="24" t="str">
        <x:v>محفظة يمن والت</x:v>
      </x:c>
      <x:c r="F97" s="24" t="str">
        <x:v>Yemen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NEG-EW-008</x:v>
      </x:c>
      <x:c r="B98" s="24" t="str">
        <x:v>SRC-CBY-UNLICENSED-EWALLET-2024-001</x:v>
      </x:c>
      <x:c r="C98" s="24" t="str">
        <x:v>Central Bank of Yemen — Aden</x:v>
      </x:c>
      <x:c r="D98" s="24" t="str">
        <x:v>2024-06-26</x:v>
      </x:c>
      <x:c r="E98" s="24" t="str">
        <x:v>محفظة الريال الالكتروني</x:v>
      </x:c>
      <x:c r="F98" s="24" t="str">
        <x:v>Electronic Riyal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NEG-EW-009</x:v>
      </x:c>
      <x:c r="B99" s="24" t="str">
        <x:v>SRC-CBY-UNLICENSED-EWALLET-2024-001</x:v>
      </x:c>
      <x:c r="C99" s="24" t="str">
        <x:v>Central Bank of Yemen — Aden</x:v>
      </x:c>
      <x:c r="D99" s="24" t="str">
        <x:v>2024-06-26</x:v>
      </x:c>
      <x:c r="E99" s="24" t="str">
        <x:v>محفظة ريال موبايل</x:v>
      </x:c>
      <x:c r="F99" s="24" t="str">
        <x:v>Rial Mobile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NEG-EW-010</x:v>
      </x:c>
      <x:c r="B100" s="24" t="str">
        <x:v>SRC-CBY-UNLICENSED-EWALLET-2024-001</x:v>
      </x:c>
      <x:c r="C100" s="24" t="str">
        <x:v>Central Bank of Yemen — Aden</x:v>
      </x:c>
      <x:c r="D100" s="24" t="str">
        <x:v>2024-06-26</x:v>
      </x:c>
      <x:c r="E100" s="24" t="str">
        <x:v>محفظة جيب Jaib</x:v>
      </x:c>
      <x:c r="F100" s="24" t="str">
        <x:v>Jaib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NEG-EW-011</x:v>
      </x:c>
      <x:c r="B101" s="24" t="str">
        <x:v>SRC-CBY-UNLICENSED-EWALLET-2024-001</x:v>
      </x:c>
      <x:c r="C101" s="24" t="str">
        <x:v>Central Bank of Yemen — Aden</x:v>
      </x:c>
      <x:c r="D101" s="24" t="str">
        <x:v>2024-06-26</x:v>
      </x:c>
      <x:c r="E101" s="24" t="str">
        <x:v>محفظة وي كاش لخدمات وأنظمة الدفع الالكتروني</x:v>
      </x:c>
      <x:c r="F101" s="24" t="str">
        <x:v>We Cash electronic payment services</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NEG-EW-012</x:v>
      </x:c>
      <x:c r="B102" s="24" t="str">
        <x:v>SRC-CBY-UNLICENSED-EWALLET-2024-001</x:v>
      </x:c>
      <x:c r="C102" s="24" t="str">
        <x:v>Central Bank of Yemen — Aden</x:v>
      </x:c>
      <x:c r="D102" s="24" t="str">
        <x:v>2024-06-26</x:v>
      </x:c>
      <x:c r="E102" s="24" t="str">
        <x:v>محفظة المتكاملة</x:v>
      </x:c>
      <x:c r="F102" s="24" t="str">
        <x:v>Al-Mutakamila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5">
      <x:c r="A105" s="53" t="str">
        <x:v>Provider baseline</x:v>
      </x:c>
      <x:c r="B105" s="53"/>
      <x:c r="C105" s="53"/>
      <x:c r="D105" s="53"/>
      <x:c r="E105" s="53"/>
      <x:c r="F105" s="53"/>
      <x:c r="G105" s="53"/>
      <x:c r="H105" s="53"/>
      <x:c r="I105" s="53"/>
      <x:c r="J105" s="53"/>
      <x:c r="K105" s="53"/>
    </x:row>
    <x:row r="106">
      <x:c r="A106" s="51" t="str">
        <x:v>baseline_id</x:v>
      </x:c>
      <x:c r="B106" s="51" t="str">
        <x:v>source_id</x:v>
      </x:c>
      <x:c r="C106" s="51" t="str">
        <x:v>reference_year</x:v>
      </x:c>
      <x:c r="D106" s="51" t="str">
        <x:v>provider_class</x:v>
      </x:c>
      <x:c r="E106" s="51" t="str">
        <x:v>verified_count</x:v>
      </x:c>
      <x:c r="F106" s="51" t="str">
        <x:v>count_basis</x:v>
      </x:c>
      <x:c r="G106" s="51" t="str">
        <x:v>evidence_state</x:v>
      </x:c>
      <x:c r="H106" s="51" t="str">
        <x:v>what_it_supports</x:v>
      </x:c>
      <x:c r="I106" s="51" t="str">
        <x:v>what_it_does_not_support</x:v>
      </x:c>
      <x:c r="J106" s="51" t="str">
        <x:v>source_url</x:v>
      </x:c>
      <x:c r="K106" s="51" t="str">
        <x:v>critical_control</x:v>
      </x:c>
    </x:row>
    <x:row r="107">
      <x:c r="A107" s="24" t="str">
        <x:v>PBL-2025-001</x:v>
      </x:c>
      <x:c r="B107" s="24" t="str">
        <x:v>SRC-CBY-EXCH-LIST-2025-001</x:v>
      </x:c>
      <x:c r="C107" s="24" t="n">
        <x:v>2025</x:v>
      </x:c>
      <x:c r="D107" s="24" t="str">
        <x:v>EXCHANGE_COMPANIES</x:v>
      </x:c>
      <x:c r="E107" s="24" t="n">
        <x:v>79</x:v>
      </x:c>
      <x:c r="F107" s="24" t="str">
        <x:v>Section numbering ends at 79 in the official roster.</x:v>
      </x:c>
      <x:c r="G107" s="24" t="str">
        <x:v>PRIMARY_OFFICIAL_ROSTER_VISUALLY_VERIFIED</x:v>
      </x:c>
      <x:c r="H107" s="24" t="str">
        <x:v>A dated 2025 predecessor count and historical universe structure.</x:v>
      </x:c>
      <x:c r="I107" s="24" t="str">
        <x:v>Any 2026 count, current membership, operation or status.</x:v>
      </x:c>
      <x:c r="J107" s="24" t="str">
        <x:v>https://cby-ye.com/files/69561aafe8942.pdf</x:v>
      </x:c>
      <x:c r="K107" s="24" t="str">
        <x:v>Historical predecessor only; never carry forward membership to 2026.</x:v>
      </x:c>
    </x:row>
    <x:row r="108">
      <x:c r="A108" s="24" t="str">
        <x:v>PBL-2025-002</x:v>
      </x:c>
      <x:c r="B108" s="24" t="str">
        <x:v>SRC-CBY-EXCH-LIST-2025-001</x:v>
      </x:c>
      <x:c r="C108" s="24" t="n">
        <x:v>2025</x:v>
      </x:c>
      <x:c r="D108" s="24" t="str">
        <x:v>EXCHANGE_ESTABLISHMENTS</x:v>
      </x:c>
      <x:c r="E108" s="24" t="n">
        <x:v>195</x:v>
      </x:c>
      <x:c r="F108" s="24" t="str">
        <x:v>Section numbering ends at 195 in the official roster.</x:v>
      </x:c>
      <x:c r="G108" s="24" t="str">
        <x:v>PRIMARY_OFFICIAL_ROSTER_VISUALLY_VERIFIED</x:v>
      </x:c>
      <x:c r="H108" s="24" t="str">
        <x:v>A dated 2025 predecessor count and historical universe structure.</x:v>
      </x:c>
      <x:c r="I108" s="24" t="str">
        <x:v>Any 2026 count, current membership, operation or status.</x:v>
      </x:c>
      <x:c r="J108" s="24" t="str">
        <x:v>https://cby-ye.com/files/69561aafe8942.pdf</x:v>
      </x:c>
      <x:c r="K108" s="24" t="str">
        <x:v>Historical predecessor only; never carry forward membership to 2026.</x:v>
      </x:c>
    </x:row>
    <x:row r="109">
      <x:c r="A109" s="24" t="str">
        <x:v>PBL-2025-003</x:v>
      </x:c>
      <x:c r="B109" s="24" t="str">
        <x:v>SRC-CBY-EXCH-LIST-2025-001</x:v>
      </x:c>
      <x:c r="C109" s="24" t="n">
        <x:v>2025</x:v>
      </x:c>
      <x:c r="D109" s="24" t="str">
        <x:v>REMITTANCE_AGENTS</x:v>
      </x:c>
      <x:c r="E109" s="24" t="n">
        <x:v>108</x:v>
      </x:c>
      <x:c r="F109" s="24" t="str">
        <x:v>Official PDF text/page sequence reaches row 108 in the third section.</x:v>
      </x:c>
      <x:c r="G109" s="24" t="str">
        <x:v>PRIMARY_OFFICIAL_ROSTER_VISUALLY_VERIFIED</x:v>
      </x:c>
      <x:c r="H109" s="24" t="str">
        <x:v>A dated 2025 predecessor count and historical universe structure.</x:v>
      </x:c>
      <x:c r="I109" s="24" t="str">
        <x:v>Any 2026 count, current membership, operation or status.</x:v>
      </x:c>
      <x:c r="J109" s="24" t="str">
        <x:v>https://cby-ye.com/files/69561aafe8942.pdf</x:v>
      </x:c>
      <x:c r="K109" s="24" t="str">
        <x:v>Historical predecessor only; never carry forward membership to 2026.</x:v>
      </x:c>
    </x:row>
    <x:row r="110">
      <x:c r="A110" s="24" t="str">
        <x:v>PBL-2025-004</x:v>
      </x:c>
      <x:c r="B110" s="24" t="str">
        <x:v>SRC-CBY-EXCH-LIST-2025-001</x:v>
      </x:c>
      <x:c r="C110" s="24" t="n">
        <x:v>2025</x:v>
      </x:c>
      <x:c r="D110" s="24" t="str">
        <x:v>TOTAL_ROSTER_ENTRIES</x:v>
      </x:c>
      <x:c r="E110" s="24" t="n">
        <x:v>382</x:v>
      </x:c>
      <x:c r="F110" s="24" t="str">
        <x:v>79 companies + 195 establishments + 108 remittance agents.</x:v>
      </x:c>
      <x:c r="G110" s="24" t="str">
        <x:v>DERIVED_FROM_PRIMARY_SECTION_COUNTS</x:v>
      </x:c>
      <x:c r="H110" s="24" t="str">
        <x:v>A bounded historical headline about the size/structure of the 2025 roster.</x:v>
      </x:c>
      <x:c r="I110" s="24" t="str">
        <x:v>Unique legal entities across categories, 2026 size, active operation, branch network or market share.</x:v>
      </x:c>
      <x:c r="J110" s="24" t="str">
        <x:v>https://cby-ye.com/files/69561aafe8942.pdf</x:v>
      </x:c>
      <x:c r="K110" s="24" t="str">
        <x:v>This is a category-entry total, not a current provider census and not necessarily unique economic actors.</x:v>
      </x:c>
    </x:row>
    <x:row r="113">
      <x:c r="A113" s="53" t="str">
        <x:v>Wallet count reconciliation</x:v>
      </x:c>
      <x:c r="B113" s="53"/>
      <x:c r="C113" s="53"/>
      <x:c r="D113" s="53"/>
      <x:c r="E113" s="53"/>
      <x:c r="F113" s="53"/>
      <x:c r="G113" s="53"/>
      <x:c r="H113" s="53"/>
      <x:c r="I113" s="53"/>
      <x:c r="J113" s="53"/>
      <x:c r="K113" s="53"/>
    </x:row>
    <x:row r="114">
      <x:c r="A114" s="51" t="str">
        <x:v>wallet_count_object_id</x:v>
      </x:c>
      <x:c r="B114" s="51" t="str">
        <x:v>source_id</x:v>
      </x:c>
      <x:c r="C114" s="51" t="str">
        <x:v>reference_period</x:v>
      </x:c>
      <x:c r="D114" s="51" t="str">
        <x:v>source_wording_or_metric</x:v>
      </x:c>
      <x:c r="E114" s="51" t="str">
        <x:v>reported_value</x:v>
      </x:c>
      <x:c r="F114" s="51" t="str">
        <x:v>unit</x:v>
      </x:c>
      <x:c r="G114" s="51" t="str">
        <x:v>semantic_state</x:v>
      </x:c>
      <x:c r="H114" s="51" t="str">
        <x:v>possible_relation_to_other_counts</x:v>
      </x:c>
      <x:c r="I114" s="51" t="str">
        <x:v>admitted_use</x:v>
      </x:c>
      <x:c r="J114" s="51" t="str">
        <x:v>prohibited_inference</x:v>
      </x:c>
      <x:c r="K114" s="51" t="str">
        <x:v>source_url</x:v>
      </x:c>
    </x:row>
    <x:row r="115">
      <x:c r="A115" s="24" t="str">
        <x:v>WCR-001</x:v>
      </x:c>
      <x:c r="B115" s="24" t="str">
        <x:v>SRC-CBY-PAYREPORT-Q3-2024</x:v>
      </x:c>
      <x:c r="C115" s="24" t="str">
        <x:v>2024 Q3</x:v>
      </x:c>
      <x:c r="D115" s="24" t="str">
        <x:v>Number of e-wallets</x:v>
      </x:c>
      <x:c r="E115" s="24" t="n">
        <x:v>7</x:v>
      </x:c>
      <x:c r="F115" s="24" t="str">
        <x:v>e-wallets</x:v>
      </x:c>
      <x:c r="G115" s="24" t="str">
        <x:v>PRIMARY_ADMINISTRATIVE_COUNT</x:v>
      </x:c>
      <x:c r="H115" s="24" t="str">
        <x:v>Could be reporting-universe count at Q3 2024; exact licensing/active/reporting semantics not proven identical to later objects.</x:v>
      </x:c>
      <x:c r="I115" s="24" t="str">
        <x:v>Display as a dated source-reported count only.</x:v>
      </x:c>
      <x:c r="J115" s="24" t="str">
        <x:v>Do not trend mechanically to 9 or 8 and do not infer entry/exit.</x:v>
      </x:c>
      <x:c r="K115" s="24" t="str">
        <x:v>https://www.cby-ye.com/files/677c2e75a4d8c.pdf</x:v>
      </x:c>
    </x:row>
    <x:row r="116">
      <x:c r="A116" s="24" t="str">
        <x:v>WCR-002</x:v>
      </x:c>
      <x:c r="B116" s="24" t="str">
        <x:v>SRC-CBY-PAYREPORT-H1-2025</x:v>
      </x:c>
      <x:c r="C116" s="24" t="str">
        <x:v>2025 H1</x:v>
      </x:c>
      <x:c r="D116" s="24" t="str">
        <x:v>Number of e-wallets</x:v>
      </x:c>
      <x:c r="E116" s="24" t="n">
        <x:v>9</x:v>
      </x:c>
      <x:c r="F116" s="24" t="str">
        <x:v>e-wallets</x:v>
      </x:c>
      <x:c r="G116" s="24" t="str">
        <x:v>PRIMARY_ADMINISTRATIVE_COUNT</x:v>
      </x:c>
      <x:c r="H116" s="24" t="str">
        <x:v>Administrative reporting count; may differ from legal licensed-universe wording or reference date.</x:v>
      </x:c>
      <x:c r="I116" s="24" t="str">
        <x:v>Display with H1 report context and subscribers/activity metrics.</x:v>
      </x:c>
      <x:c r="J116" s="24" t="str">
        <x:v>Do not equate automatically to licensed providers or unique wallet products.</x:v>
      </x:c>
      <x:c r="K116" s="24" t="str">
        <x:v>https://www.cby-ye.com/files/693a7845e7f26.pdf</x:v>
      </x:c>
    </x:row>
    <x:row r="117">
      <x:c r="A117" s="24" t="str">
        <x:v>WCR-003</x:v>
      </x:c>
      <x:c r="B117" s="24" t="str">
        <x:v>SRC-CBY-FMIIP-WORKSHOP-2025</x:v>
      </x:c>
      <x:c r="C117" s="24" t="str">
        <x:v>2025-09-10</x:v>
      </x:c>
      <x:c r="D117" s="24" t="str">
        <x:v>Governor states CBY licensed eight electronic wallets</x:v>
      </x:c>
      <x:c r="E117" s="24" t="n">
        <x:v>8</x:v>
      </x:c>
      <x:c r="F117" s="24" t="str">
        <x:v>licensed e-wallets</x:v>
      </x:c>
      <x:c r="G117" s="24" t="str">
        <x:v>PRIMARY_OFFICIAL_DATED_LICENSING_STATEMENT</x:v>
      </x:c>
      <x:c r="H117" s="24" t="str">
        <x:v>Legal/authority wording differs from H1 payment-report count; named universe not supplied.</x:v>
      </x:c>
      <x:c r="I117" s="24" t="str">
        <x:v>Display as a dated licensing statement with attribution.</x:v>
      </x:c>
      <x:c r="J117" s="24" t="str">
        <x:v>Do not infer one provider exited between H1 and September without direct status evidence.</x:v>
      </x:c>
      <x:c r="K117" s="24" t="str">
        <x:v>https://cby-ye.com/news/876</x:v>
      </x:c>
    </x:row>
    <x:row r="118">
      <x:c r="A118" s="24" t="str">
        <x:v>WCR-004</x:v>
      </x:c>
      <x:c r="B118" s="24" t="str">
        <x:v>SRC-CBY-DIGITAL-EXPO-2026-001</x:v>
      </x:c>
      <x:c r="C118" s="24" t="str">
        <x:v>2026-01-22 event</x:v>
      </x:c>
      <x:c r="D118" s="24" t="str">
        <x:v>More than 9 e-wallets participated in the digital-payment exhibition</x:v>
      </x:c>
      <x:c r="E118" s="24" t="str">
        <x:v>&gt;9</x:v>
      </x:c>
      <x:c r="F118" s="24" t="str">
        <x:v>event participants</x:v>
      </x:c>
      <x:c r="G118" s="24" t="str">
        <x:v>PRIMARY_OFFICIAL_EVENT_PARTICIPATION</x:v>
      </x:c>
      <x:c r="H118" s="24" t="str">
        <x:v>Participation count is neither a licensing count nor a complete current universe.</x:v>
      </x:c>
      <x:c r="I118" s="24" t="str">
        <x:v>Use as event participation/activity evidence only.</x:v>
      </x:c>
      <x:c r="J118" s="24" t="str">
        <x:v>Do not call it the licensed wallet count or use it to close the named universe.</x:v>
      </x:c>
      <x:c r="K118" s="24" t="str">
        <x:v>https://cby-ye.com/news/915</x:v>
      </x:c>
    </x:row>
    <x:row r="119">
      <x:c r="A119" s="24" t="str">
        <x:v>WCR-005</x:v>
      </x:c>
      <x:c r="B119" s="24" t="str">
        <x:v>MULTI_SOURCE</x:v>
      </x:c>
      <x:c r="C119" s="24" t="str">
        <x:v>2024-2026</x:v>
      </x:c>
      <x:c r="D119" s="24" t="str">
        <x:v>7 → 9 → 8 → &gt;9 are not a valid time series without semantic reconciliation</x:v>
      </x:c>
      <x:c r="E119" s="24"/>
      <x:c r="F119" s="24" t="str">
        <x:v>N/A</x:v>
      </x:c>
      <x:c r="G119" s="24" t="str">
        <x:v>CONTROLLED_SEMANTIC_CONTRADICTION</x:v>
      </x:c>
      <x:c r="H119" s="24" t="str">
        <x:v>Different dates, source contexts and likely universes/definitions may explain the values; no explanation is assumed.</x:v>
      </x:c>
      <x:c r="I119" s="24" t="str">
        <x:v>Power Source Comparison Lab and provider-observability badges.</x:v>
      </x:c>
      <x:c r="J119" s="24" t="str">
        <x:v>Do not manufacture wallet growth/churn, net entry, current 2026 count or named roster.</x:v>
      </x:c>
      <x:c r="K119" s="24" t="str">
        <x:v>Internal synthesis governed by source objects</x:v>
      </x:c>
    </x:row>
    <x:row r="122">
      <x:c r="A122" s="53" t="str">
        <x:v>Payment currentness</x:v>
      </x:c>
      <x:c r="B122" s="53"/>
      <x:c r="C122" s="53"/>
      <x:c r="D122" s="53"/>
      <x:c r="E122" s="53"/>
      <x:c r="F122" s="53"/>
      <x:c r="G122" s="53"/>
      <x:c r="H122" s="53"/>
      <x:c r="I122" s="53"/>
    </x:row>
    <x:row r="123">
      <x:c r="A123" s="51" t="str">
        <x:v>payment_control_id</x:v>
      </x:c>
      <x:c r="B123" s="51" t="str">
        <x:v>object_family</x:v>
      </x:c>
      <x:c r="C123" s="51" t="str">
        <x:v>latest_primary_state</x:v>
      </x:c>
      <x:c r="D123" s="51" t="str">
        <x:v>latest_period_or_date</x:v>
      </x:c>
      <x:c r="E123" s="51" t="str">
        <x:v>normalization_state</x:v>
      </x:c>
      <x:c r="F123" s="51" t="str">
        <x:v>what_is_currently_safe</x:v>
      </x:c>
      <x:c r="G123" s="51" t="str">
        <x:v>remaining_gap</x:v>
      </x:c>
      <x:c r="H123" s="51" t="str">
        <x:v>source_url</x:v>
      </x:c>
      <x:c r="I123" s="51" t="str">
        <x:v>release_state</x:v>
      </x:c>
    </x:row>
    <x:row r="124">
      <x:c r="A124" s="24" t="str">
        <x:v>PAYCUR-001</x:v>
      </x:c>
      <x:c r="B124" s="24" t="str">
        <x:v>Monthly POS operations</x:v>
      </x:c>
      <x:c r="C124" s="24" t="str">
        <x:v>CBY current payments page rechecked on 2026-09-26; it lists monthly POS objects March 2025 through January 2026</x:v>
      </x:c>
      <x:c r="D124" s="24" t="str">
        <x:v>2026-01</x:v>
      </x:c>
      <x:c r="E124" s="24" t="str">
        <x:v>NORMALIZED_IN_11_CBY_PAYMENTS__CURRENTNESS_RECHECKED_2026-09-26</x:v>
      </x:c>
      <x:c r="F124" s="24" t="str">
        <x:v>Use the controlled monthly POS sequence only through January 2026, with source-specific values/units and missingness preserved.</x:v>
      </x:c>
      <x:c r="G124" s="24" t="str">
        <x:v>No later monthly POS object was exposed on the official payments page when rechecked on 2026-09-26; do not extrapolate February onward.</x:v>
      </x:c>
      <x:c r="H124" s="24" t="str">
        <x:v>https://english.cby-ye.com/pages/27</x:v>
      </x:c>
      <x:c r="I124" s="24" t="str">
        <x:v>PUBLIC_CONDITIONAL</x:v>
      </x:c>
    </x:row>
    <x:row r="125">
      <x:c r="A125" s="24" t="str">
        <x:v>PAYCUR-002</x:v>
      </x:c>
      <x:c r="B125" s="24" t="str">
        <x:v>H1 payment-system snapshot</x:v>
      </x:c>
      <x:c r="C125" s="24" t="str">
        <x:v>Cards, ATMs, POS, accounts, e-wallet count and subscribers reported in official H1 2025 payment report</x:v>
      </x:c>
      <x:c r="D125" s="24" t="str">
        <x:v>2025 H1</x:v>
      </x:c>
      <x:c r="E125" s="24" t="str">
        <x:v>NORMALIZED_IN_11_CBY_PAYMENTS</x:v>
      </x:c>
      <x:c r="F125" s="24" t="str">
        <x:v>Use as a bounded administrative snapshot with metric definitions and non-person caveats.</x:v>
      </x:c>
      <x:c r="G125" s="24" t="str">
        <x:v>Not a 2026 snapshot and not proof of unique active users.</x:v>
      </x:c>
      <x:c r="H125" s="24" t="str">
        <x:v>https://www.cby-ye.com/files/693a7845e7f26.pdf</x:v>
      </x:c>
      <x:c r="I125" s="24" t="str">
        <x:v>PUBLIC_CONDITIONAL</x:v>
      </x:c>
    </x:row>
    <x:row r="126">
      <x:c r="A126" s="24" t="str">
        <x:v>PAYCUR-003</x:v>
      </x:c>
      <x:c r="B126" s="24" t="str">
        <x:v>Digital-finance infrastructure project</x:v>
      </x:c>
      <x:c r="C126" s="24" t="str">
        <x:v>CBY/World Bank/UNDP workshop states FPS/RTGS/interoperability programme and reports 15 banks connected to national card switch plus 8 licensed electronic wallets</x:v>
      </x:c>
      <x:c r="D126" s="24" t="str">
        <x:v>2025-09-10</x:v>
      </x:c>
      <x:c r="E126" s="24" t="str">
        <x:v>PRIMARY_EVENT_NORMALIZED</x:v>
      </x:c>
      <x:c r="F126" s="24" t="str">
        <x:v>Use as project/regulatory/infrastructure state, not outcome.</x:v>
      </x:c>
      <x:c r="G126" s="24" t="str">
        <x:v>Named wallet universe and independent go-live/coverage/use metrics remain open.</x:v>
      </x:c>
      <x:c r="H126" s="24" t="str">
        <x:v>https://cby-ye.com/news/876</x:v>
      </x:c>
      <x:c r="I126" s="24" t="str">
        <x:v>PUBLIC_CONDITIONAL</x:v>
      </x:c>
    </x:row>
    <x:row r="127">
      <x:c r="A127" s="24" t="str">
        <x:v>PAYCUR-004</x:v>
      </x:c>
      <x:c r="B127" s="24" t="str">
        <x:v>Unified-network integration</x:v>
      </x:c>
      <x:c r="C127" s="24" t="str">
        <x:v>CBY June 2026 meeting discusses implementation of unified network as main channel and completion of integration among banks and financial-service providers</x:v>
      </x:c>
      <x:c r="D127" s="24" t="str">
        <x:v>2026-06-17</x:v>
      </x:c>
      <x:c r="E127" s="24" t="str">
        <x:v>PRIMARY_EVENT_NORMALIZED</x:v>
      </x:c>
      <x:c r="F127" s="24" t="str">
        <x:v>Use as implementation/integration-state evidence.</x:v>
      </x:c>
      <x:c r="G127" s="24" t="str">
        <x:v>Do not infer every participant is technically live or all transfers use the network.</x:v>
      </x:c>
      <x:c r="H127" s="24" t="str">
        <x:v>https://cby-ye.com/news/946</x:v>
      </x:c>
      <x:c r="I127" s="24" t="str">
        <x:v>PUBLIC_CONDITIONAL</x:v>
      </x:c>
    </x:row>
    <x:row r="128">
      <x:c r="A128" s="24" t="str">
        <x:v>PAYCUR-005</x:v>
      </x:c>
      <x:c r="B128" s="24" t="str">
        <x:v>Unified Money Network company</x:v>
      </x:c>
      <x:c r="C128" s="24" t="str">
        <x:v>CBY reports restructuring/capital increase and expansion of shareholder base with banks joining the company</x:v>
      </x:c>
      <x:c r="D128" s="24" t="str">
        <x:v>2026-07-27</x:v>
      </x:c>
      <x:c r="E128" s="24" t="str">
        <x:v>PRIMARY_EVENT_NORMALIZED</x:v>
      </x:c>
      <x:c r="F128" s="24" t="str">
        <x:v>Use as institutionalization/governance evidence in payment infrastructure timeline.</x:v>
      </x:c>
      <x:c r="G128" s="24" t="str">
        <x:v>No inference on transaction coverage, unique users or inclusion outcomes.</x:v>
      </x:c>
      <x:c r="H128" s="24" t="str">
        <x:v>https://cby-ye.com/news/957</x:v>
      </x:c>
      <x:c r="I128" s="24" t="str">
        <x:v>PUBLIC_CONDITIONAL</x:v>
      </x:c>
    </x:row>
    <x:row r="129">
      <x:c r="A129" s="24" t="str">
        <x:v>PAYCUR-006</x:v>
      </x:c>
      <x:c r="B129" s="24" t="str">
        <x:v>Yemeni Payments and Clearing Company</x:v>
      </x:c>
      <x:c r="C129" s="24" t="str">
        <x:v>Founding assembly held 2026-08-03 and first board meeting held 2026-08-04</x:v>
      </x:c>
      <x:c r="D129" s="24" t="str">
        <x:v>2026-08-03/04</x:v>
      </x:c>
      <x:c r="E129" s="24" t="str">
        <x:v>PRIMARY_EVENT_NORMALIZED</x:v>
      </x:c>
      <x:c r="F129" s="24" t="str">
        <x:v>Use as institutional-establishment state for national payments infrastructure.</x:v>
      </x:c>
      <x:c r="G129" s="24" t="str">
        <x:v>Company establishment ≠ system go-live, usage or outcome.</x:v>
      </x:c>
      <x:c r="H129" s="24" t="str">
        <x:v>https://cby-ye.com/news/961 | https://cby-ye.com/news/962</x:v>
      </x:c>
      <x:c r="I129" s="24" t="str">
        <x:v>PUBLIC_CONDITIONAL</x:v>
      </x:c>
    </x:row>
    <x:row r="137">
      <x:c r="A137" s="160" t="str">
        <x:v>Official CBY 2026 exchange/remittance roster — category counts / أعداد فئات قائمة الصرافة والحوالات الرسمية 2026</x:v>
      </x:c>
      <x:c r="B137" s="160"/>
      <x:c r="C137" s="160"/>
      <x:c r="D137" s="160"/>
      <x:c r="E137" s="160"/>
      <x:c r="F137" s="160"/>
      <x:c r="G137" s="160"/>
      <x:c r="H137" s="160"/>
    </x:row>
    <x:row r="138">
      <x:c r="A138" s="163" t="str">
        <x:v>roster_metric_id</x:v>
      </x:c>
      <x:c r="B138" s="163" t="str">
        <x:v>provider_class_en</x:v>
      </x:c>
      <x:c r="C138" s="163" t="str">
        <x:v>provider_class_ar</x:v>
      </x:c>
      <x:c r="D138" s="163" t="str">
        <x:v>count</x:v>
      </x:c>
      <x:c r="E138" s="163" t="str">
        <x:v>unit</x:v>
      </x:c>
      <x:c r="F138" s="163" t="str">
        <x:v>period</x:v>
      </x:c>
      <x:c r="G138" s="163" t="str">
        <x:v>source_id</x:v>
      </x:c>
      <x:c r="H138" s="163" t="str">
        <x:v>interpretation</x:v>
      </x:c>
    </x:row>
    <x:row r="139">
      <x:c r="A139" s="24" t="str">
        <x:v>CBY-ROSTER-2026-COMP</x:v>
      </x:c>
      <x:c r="B139" s="24" t="str">
        <x:v>Exchange companies</x:v>
      </x:c>
      <x:c r="C139" s="28" t="str">
        <x:v>شركات الصرافة</x:v>
      </x:c>
      <x:c r="D139" s="24" t="n">
        <x:v>98</x:v>
      </x:c>
      <x:c r="E139" s="24" t="str">
        <x:v>source-listed rows</x:v>
      </x:c>
      <x:c r="F139" s="24" t="str">
        <x:v>2026</x:v>
      </x:c>
      <x:c r="G139" s="24" t="str">
        <x:v>SRC-CBY-EXCH-LIST-2026-001</x:v>
      </x:c>
      <x:c r="H139" s="24" t="str">
        <x:v>Annual roster count; not proof of current operation.</x:v>
      </x:c>
    </x:row>
    <x:row r="140">
      <x:c r="A140" s="24" t="str">
        <x:v>CBY-ROSTER-2026-EST</x:v>
      </x:c>
      <x:c r="B140" s="24" t="str">
        <x:v>Individual exchange establishments</x:v>
      </x:c>
      <x:c r="C140" s="28" t="str">
        <x:v>منشآت الصرافة الفردية</x:v>
      </x:c>
      <x:c r="D140" s="24" t="n">
        <x:v>225</x:v>
      </x:c>
      <x:c r="E140" s="24" t="str">
        <x:v>source-listed rows</x:v>
      </x:c>
      <x:c r="F140" s="24" t="str">
        <x:v>2026</x:v>
      </x:c>
      <x:c r="G140" s="24" t="str">
        <x:v>SRC-CBY-EXCH-LIST-2026-001</x:v>
      </x:c>
      <x:c r="H140" s="24" t="str">
        <x:v>Annual roster count; not proof of current operation.</x:v>
      </x:c>
    </x:row>
    <x:row r="141">
      <x:c r="A141" s="24" t="str">
        <x:v>CBY-ROSTER-2026-AGT</x:v>
      </x:c>
      <x:c r="B141" s="24" t="str">
        <x:v>Remittance agents</x:v>
      </x:c>
      <x:c r="C141" s="28" t="str">
        <x:v>وكلاء الحوالات</x:v>
      </x:c>
      <x:c r="D141" s="24" t="n">
        <x:v>106</x:v>
      </x:c>
      <x:c r="E141" s="24" t="str">
        <x:v>source-listed rows</x:v>
      </x:c>
      <x:c r="F141" s="24" t="str">
        <x:v>2026</x:v>
      </x:c>
      <x:c r="G141" s="24" t="str">
        <x:v>SRC-CBY-EXCH-LIST-2026-001</x:v>
      </x:c>
      <x:c r="H141" s="24" t="str">
        <x:v>Annual roster count; not proof of current operation.</x:v>
      </x:c>
    </x:row>
    <x:row r="142">
      <x:c r="A142" s="24" t="str">
        <x:v>CBY-ROSTER-2026-ROWS</x:v>
      </x:c>
      <x:c r="B142" s="24" t="str">
        <x:v>All listed rows across the three classes</x:v>
      </x:c>
      <x:c r="C142" s="28" t="str">
        <x:v>إجمالي الصفوف المدرجة عبر الفئات الثلاث</x:v>
      </x:c>
      <x:c r="D142" s="24" t="n">
        <x:v>429</x:v>
      </x:c>
      <x:c r="E142" s="24" t="str">
        <x:v>rows</x:v>
      </x:c>
      <x:c r="F142" s="24" t="str">
        <x:v>2026</x:v>
      </x:c>
      <x:c r="G142" s="24" t="str">
        <x:v>SRC-CBY-EXCH-LIST-2026-001</x:v>
      </x:c>
      <x:c r="H142" s="24" t="str">
        <x:v>Arithmetic sum only; not a deduplicated unique-provider count.</x:v>
      </x:c>
    </x:row>
  </x:sheetData>
  <x:mergeCells>
    <x:mergeCell ref="A1:O1"/>
    <x:mergeCell ref="A2:O2"/>
    <x:mergeCell ref="A63:K63"/>
    <x:mergeCell ref="A71:L71"/>
    <x:mergeCell ref="A89:K89"/>
    <x:mergeCell ref="A105:K105"/>
    <x:mergeCell ref="A113:K113"/>
    <x:mergeCell ref="A122:I122"/>
    <x:mergeCell ref="A137:H137"/>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REF-PAY-007</x:v>
      </x:c>
      <x:c r="B12" s="24" t="str">
        <x:v>2026-08-04</x:v>
      </x:c>
      <x:c r="C12" s="24" t="str">
        <x:v>Institutional infrastructure</x:v>
      </x:c>
      <x:c r="D12" s="24" t="str">
        <x:v>Yemeni Payments and Clearing Company board begins work</x:v>
      </x:c>
      <x:c r="E12" s="24" t="str">
        <x:v>The board of the Yemeni Payments and Clearing Company held its first meeting; CBY describes the company as a strategic step in modernizing national payments infrastructure and supporting financial inclusion/digital transformation.</x:v>
      </x:c>
      <x:c r="F12" s="24" t="str">
        <x:v>PAYMENTS_GOVERNANCE</x:v>
      </x:c>
      <x:c r="G12" s="24" t="str">
        <x:v>/reforms/projects</x:v>
      </x:c>
      <x:c r="H12" s="24" t="str">
        <x:v>https://cby-ye.com/news/962</x:v>
      </x:c>
    </x:row>
    <x:row r="13">
      <x:c r="A13" s="24" t="str">
        <x:v>REF-FCP-001</x:v>
      </x:c>
      <x:c r="B13" s="24" t="str">
        <x:v>2023-08-28</x:v>
      </x:c>
      <x:c r="C13" s="24" t="str">
        <x:v>CBY regulatory issuance</x:v>
      </x:c>
      <x:c r="D13" s="24" t="str">
        <x:v>Financial Consumer Protection Instructions</x:v>
      </x:c>
      <x:c r="E13" s="24" t="str">
        <x:v>CBY records issuance/listing of regulatory instructions for financial consumer protection; issuance notice states a one-year maximum adjustment period for banks and other non-bank financial institutions.</x:v>
      </x:c>
      <x:c r="F13" s="24" t="str">
        <x:v>CONSUMER_PROTECTION_RULE</x:v>
      </x:c>
      <x:c r="G13" s="24" t="str">
        <x:v>/reforms/regulation + /evidence</x:v>
      </x:c>
      <x:c r="H13" s="24" t="str">
        <x:v>https://cby-ye.com/news/567</x:v>
      </x:c>
    </x:row>
    <x:row r="14">
      <x:c r="A14" s="24" t="str">
        <x:v>REF-PAY-008</x:v>
      </x:c>
      <x:c r="B14" s="24" t="str">
        <x:v>2026-03-29</x:v>
      </x:c>
      <x:c r="C14" s="24" t="str">
        <x:v>CBY board decision</x:v>
      </x:c>
      <x:c r="D14" s="24" t="str">
        <x:v>National QR + e-wallet interconnection + FPS operator participation</x:v>
      </x:c>
      <x:c r="E14" s="24" t="str">
        <x:v>CBY board approves a mandatory national QR standard, linking electronic wallets, and CBY participation as a main shareholder in the FPS operator company, with execution steps assigned.</x:v>
      </x:c>
      <x:c r="F14" s="24" t="str">
        <x:v>PAYMENTS_ARCHITECTURE_DECISION</x:v>
      </x:c>
      <x:c r="G14" s="24" t="str">
        <x:v>/reforms/projects + /payments</x:v>
      </x:c>
      <x:c r="H14" s="24" t="str">
        <x:v>https://cby-ye.com/news/922</x:v>
      </x:c>
    </x:row>
    <x:row r="15">
      <x:c r="A15" s="24" t="str">
        <x:v>REF-EMONEY-001</x:v>
      </x:c>
      <x:c r="B15" s="24" t="str">
        <x:v>2023-08-09</x:v>
      </x:c>
      <x:c r="C15" s="24" t="str">
        <x:v>CBY regulatory issuance</x:v>
      </x:c>
      <x:c r="D15" s="24" t="str">
        <x:v>Mobile e-money instructions for non-bank financial institutions</x:v>
      </x:c>
      <x:c r="E15" s="24" t="str">
        <x:v>CBY issued instructions governing mobile e-money services by non-bank financial institutions under its supervision, including consumer-protection/complaint controls.</x:v>
      </x:c>
      <x:c r="F15" s="24" t="str">
        <x:v>MOBILE_E_MONEY_RULE</x:v>
      </x:c>
      <x:c r="G15" s="24" t="str">
        <x:v>/reforms/regulation + /payments</x:v>
      </x:c>
      <x:c r="H15" s="24" t="str">
        <x:v>https://cby-ye.com/files/64dde85e0a84f.pdf</x:v>
      </x:c>
    </x:row>
    <x:row r="16">
      <x:c r="A16" s="24" t="str">
        <x:v>REF-EMONEY-002</x:v>
      </x:c>
      <x:c r="B16" s="24" t="str">
        <x:v>2025-07-09</x:v>
      </x:c>
      <x:c r="C16" s="24" t="str">
        <x:v>CBY Governor decision</x:v>
      </x:c>
      <x:c r="D16" s="24" t="str">
        <x:v>Decision No. 4 — mobile e-money amendment</x:v>
      </x:c>
      <x:c r="E16" s="24" t="str">
        <x:v>Signed amendment permits USD/SAR/AED e-money in addition to YER, restricts local-to-foreign conversion within scope, updates individual transaction/balance ceilings and takes effect from issuance.</x:v>
      </x:c>
      <x:c r="F16" s="24" t="str">
        <x:v>MOBILE_E_MONEY_AMENDMENT</x:v>
      </x:c>
      <x:c r="G16" s="24" t="str">
        <x:v>/reforms/regulation + /payments</x:v>
      </x:c>
      <x:c r="H16" s="24" t="str">
        <x:v>https://cby-ye.com/files/6875fc55a253e.pdf</x:v>
      </x:c>
    </x:row>
    <x:row r="17">
      <x:c r="A17" s="24" t="str">
        <x:v>REF-PAY-009</x:v>
      </x:c>
      <x:c r="B17" s="24" t="str">
        <x:v>2026-01-22</x:v>
      </x:c>
      <x:c r="C17" s="24" t="str">
        <x:v>CBY-supported official event / attributed operational statement</x:v>
      </x:c>
      <x:c r="D17" s="24" t="str">
        <x:v>Digital-payment exhibition and unified-network activity signal</x:v>
      </x:c>
      <x:c r="E17" s="24" t="str">
        <x:v>CBY news reports &gt;9 e-wallets at the exhibition and attributes to the Director General of Payment Systems that 22 transfer networks were unified, &gt;YER 251bn passed through the unified network in 2024 and all banks/e-wallets joined it.</x:v>
      </x:c>
      <x:c r="F17" s="24" t="str">
        <x:v>NETWORK_ACTIVITY_SIGNAL</x:v>
      </x:c>
      <x:c r="G17" s="24" t="str">
        <x:v>/payments + /reforms/projects</x:v>
      </x:c>
      <x:c r="H17" s="24" t="str">
        <x:v>https://cby-ye.com/news/915</x:v>
      </x:c>
    </x:row>
    <x:row r="18">
      <x:c r="A18" s="24" t="str">
        <x:v>REF-PAY-010</x:v>
      </x:c>
      <x:c r="B18" s="24" t="str">
        <x:v>2026-06-17</x:v>
      </x:c>
      <x:c r="C18" s="24" t="str">
        <x:v>CBY banking/payment integration meeting</x:v>
      </x:c>
      <x:c r="D18" s="24" t="str">
        <x:v>Unified network integration with banks and financial-service providers</x:v>
      </x:c>
      <x:c r="E18" s="24" t="str">
        <x:v>CBY discusses unified network as main domestic-transfer channel and completion of integration/linking among banks and different financial-service providers.</x:v>
      </x:c>
      <x:c r="F18" s="24" t="str">
        <x:v>UNIFIED_NETWORK</x:v>
      </x:c>
      <x:c r="G18" s="24" t="str">
        <x:v>/payments + /reforms/projects</x:v>
      </x:c>
      <x:c r="H18" s="24" t="str">
        <x:v>https://cby-ye.com/news/946</x:v>
      </x:c>
    </x:row>
    <x:row r="19">
      <x:c r="A19" s="24" t="str">
        <x:v>REF-PAY-011</x:v>
      </x:c>
      <x:c r="B19" s="24" t="str">
        <x:v>2026-07-27</x:v>
      </x:c>
      <x:c r="C19" s="24" t="str">
        <x:v>Unified Money Network corporate-governance event</x:v>
      </x:c>
      <x:c r="D19" s="24" t="str">
        <x:v>Restructuring, capital increase and broader bank shareholder base</x:v>
      </x:c>
      <x:c r="E19" s="24" t="str">
        <x:v>CBY reports a new phase for the Unified Money Network company after restructuring, capital increase and expansion of shareholders with banks joining.</x:v>
      </x:c>
      <x:c r="F19" s="24" t="str">
        <x:v>UNIFIED_NETWORK_COMPANY</x:v>
      </x:c>
      <x:c r="G19" s="24" t="str">
        <x:v>/payments + /reforms/projects</x:v>
      </x:c>
      <x:c r="H19" s="24" t="str">
        <x:v>https://cby-ye.com/news/957</x:v>
      </x:c>
    </x:row>
    <x:row r="20">
      <x:c r="A20" s="24" t="str">
        <x:v>REF-PAY-012</x:v>
      </x:c>
      <x:c r="B20" s="24" t="str">
        <x:v>2026-08-03</x:v>
      </x:c>
      <x:c r="C20" s="24" t="str">
        <x:v>Payment infrastructure institution establishment</x:v>
      </x:c>
      <x:c r="D20" s="24" t="str">
        <x:v>Founding assembly of Yemen Payments and Clearing Company</x:v>
      </x:c>
      <x:c r="E20" s="24" t="str">
        <x:v>CBY opens the founding assembly of YPCC with banks, financial institutions and development partners represented.</x:v>
      </x:c>
      <x:c r="F20" s="24" t="str">
        <x:v>YPCC</x:v>
      </x:c>
      <x:c r="G20" s="24" t="str">
        <x:v>/payments + /reforms/projects</x:v>
      </x:c>
      <x:c r="H20" s="24" t="str">
        <x:v>https://cby-ye.com/news/961</x:v>
      </x:c>
    </x:row>
    <x:row r="21">
      <x:c r="A21" s="24" t="str">
        <x:v>REF-PAY-013</x:v>
      </x:c>
      <x:c r="B21" s="24" t="str">
        <x:v>2026-08-04</x:v>
      </x:c>
      <x:c r="C21" s="24" t="str">
        <x:v>Payment infrastructure institution governance</x:v>
      </x:c>
      <x:c r="D21" s="24" t="str">
        <x:v>First YPCC board meeting</x:v>
      </x:c>
      <x:c r="E21" s="24" t="str">
        <x:v>The newly elected YPCC board holds its first meeting and elects its chair/vice-chair.</x:v>
      </x:c>
      <x:c r="F21" s="24" t="str">
        <x:v>YPCC</x:v>
      </x:c>
      <x:c r="G21" s="24" t="str">
        <x:v>/payments + /reforms/projects</x:v>
      </x:c>
      <x:c r="H21" s="24" t="str">
        <x:v>https://cby-ye.com/news/962</x:v>
      </x:c>
    </x:row>
    <x:row r="22">
      <x:c r="A22" s="24" t="str">
        <x:v>REF-DATA-001</x:v>
      </x:c>
      <x:c r="B22" s="24" t="str">
        <x:v>2025-07-20</x:v>
      </x:c>
      <x:c r="C22" s="24" t="str">
        <x:v>IMF STA / D4D-II with CBY-Aden</x:v>
      </x:c>
      <x:c r="D22" s="24" t="str">
        <x:v>Historical ESS reconstruction production</x:v>
      </x:c>
      <x:c r="E22" s="24" t="str">
        <x:v>July-2025 mission produced BOP/IIP statistics for 2014–2024 and strengthened source/compilation practice.</x:v>
      </x:c>
      <x:c r="F22" s="24" t="str">
        <x:v>EXTERNAL_SECTOR_DATA</x:v>
      </x:c>
      <x:c r="G22" s="24" t="str">
        <x:v>/external-sector + /methodology</x:v>
      </x:c>
      <x:c r="H22" s="24" t="str">
        <x:v>IMF D4D-II FY26 midyear implementation report</x:v>
      </x:c>
    </x:row>
    <x:row r="23">
      <x:c r="A23" s="24" t="str">
        <x:v>REF-IMF-001</x:v>
      </x:c>
      <x:c r="B23" s="24" t="str">
        <x:v>2026-07-16</x:v>
      </x:c>
      <x:c r="C23" s="24" t="str">
        <x:v>IMF staff / Yemeni authorities</x:v>
      </x:c>
      <x:c r="D23" s="24" t="str">
        <x:v>Staff-level agreement on 18-month Staff-Monitored Program</x:v>
      </x:c>
      <x:c r="E23" s="24" t="str">
        <x:v>IMF reports staff-level agreement on a proposed 18-month SMP focused on stabilization, implementation and reform track record.</x:v>
      </x:c>
      <x:c r="F23" s="24" t="str">
        <x:v>IMF_ENGAGEMENT</x:v>
      </x:c>
      <x:c r="G23" s="24" t="str">
        <x:v>/reforms + /evidence-clock</x:v>
      </x:c>
      <x:c r="H23" s="24" t="str">
        <x:v>https://www.imf.org/en/news/articles/2026/07/16/pr26249-yemen-imf-reaches-sla-on-new-staff-monitored-program</x:v>
      </x:c>
    </x:row>
    <x:row r="24">
      <x:c r="A24" s="24" t="str">
        <x:v>REF-STAT-001</x:v>
      </x:c>
      <x:c r="B24" s="24" t="str">
        <x:v>2025 onward</x:v>
      </x:c>
      <x:c r="C24" s="24" t="str">
        <x:v>IMF / future Yemen compilers</x:v>
      </x:c>
      <x:c r="D24" s="24" t="str">
        <x:v>BPM7 migration watch</x:v>
      </x:c>
      <x:c r="E24" s="24" t="str">
        <x:v>BPM7 released in 2025; country implementation is a multi-year process with broad target around 2029–2030.</x:v>
      </x:c>
      <x:c r="F24" s="24" t="str">
        <x:v>EXTERNAL_STATISTICS_STANDARD</x:v>
      </x:c>
      <x:c r="G24" s="24" t="str">
        <x:v>/methodology + /external-sector</x:v>
      </x:c>
      <x:c r="H24" s="24" t="str">
        <x:v>IMF BPM7 implementation strategy</x:v>
      </x:c>
    </x:row>
    <x:row r="25">
      <x:c r="A25" s="142" t="str">
        <x:v>REF-FMIIP-APPROVAL-2025</x:v>
      </x:c>
      <x:c r="B25" s="142" t="str">
        <x:v>2025-06-17</x:v>
      </x:c>
      <x:c r="C25" s="142" t="str">
        <x:v>World Bank Board / IDA</x:v>
      </x:c>
      <x:c r="D25" s="142" t="str">
        <x:v>FMIIP approved</x:v>
      </x:c>
      <x:c r="E25" s="142" t="str">
        <x:v>World Bank approved a US$20 million IDA grant for P180708. The project is active, implemented by UNDP, and has a closing date of 30 June 2030.</x:v>
      </x:c>
      <x:c r="F25" s="142" t="str">
        <x:v>PROJECT_APPROVAL</x:v>
      </x:c>
      <x:c r="G25" s="142" t="str">
        <x:v>/reforms/projects + /payments</x:v>
      </x:c>
      <x:c r="H25" s="142" t="str">
        <x:v>https://maps.worldbank.org/projects/wb/pid/P180708?status=active</x:v>
      </x:c>
    </x:row>
    <x:row r="26">
      <x:c r="A26" s="142" t="str">
        <x:v>REF-FMIIP-ISR2-2026</x:v>
      </x:c>
      <x:c r="B26" s="142" t="str">
        <x:v>2026-04-08</x:v>
      </x:c>
      <x:c r="C26" s="142" t="str">
        <x:v>World Bank implementation reporting</x:v>
      </x:c>
      <x:c r="D26" s="142" t="str">
        <x:v>FMIIP ISR sequence 2 disclosed</x:v>
      </x:c>
      <x:c r="E26" s="142" t="str">
        <x:v>World Bank disclosed Implementation Status and Results Report sequence 2 (ISR07344), providing the latest project-reporting checkpoint identified in this review. The existence of the report does not by itself establish target achievement.</x:v>
      </x:c>
      <x:c r="F26" s="142" t="str">
        <x:v>PROJECT_IMPLEMENTATION_REPORT</x:v>
      </x:c>
      <x:c r="G26" s="142" t="str">
        <x:v>/reforms/projects + /evidence</x:v>
      </x:c>
      <x:c r="H26" s="142" t="str">
        <x:v>https://documents.worldbank.org/en/publication/documents-reports/documentdetail/099040826144025755</x:v>
      </x:c>
    </x:row>
    <x:row r="27">
      <x:c r="A27" s="63" t="str">
        <x:v>OECD policy</x:v>
      </x:c>
      <x:c r="B27" s="63"/>
      <x:c r="C27" s="63"/>
      <x:c r="D27" s="63"/>
      <x:c r="E27" s="63"/>
      <x:c r="F27" s="63"/>
      <x:c r="G27" s="63"/>
    </x:row>
    <x:row r="28">
      <x:c r="A28" s="61" t="str">
        <x:v>policy_id</x:v>
      </x:c>
      <x:c r="B28" s="61" t="str">
        <x:v>theme</x:v>
      </x:c>
      <x:c r="C28" s="61" t="str">
        <x:v>recommendation</x:v>
      </x:c>
      <x:c r="D28" s="61" t="str">
        <x:v>side</x:v>
      </x:c>
      <x:c r="E28" s="61" t="str">
        <x:v>evidence_type</x:v>
      </x:c>
      <x:c r="F28" s="61" t="str">
        <x:v>route</x:v>
      </x:c>
      <x:c r="G28" s="61" t="str">
        <x:v>control_rule</x:v>
      </x:c>
    </x:row>
    <x:row r="29">
      <x:c r="A29" s="24" t="str">
        <x:v>OECD-POL-01</x:v>
      </x:c>
      <x:c r="B29" s="24" t="str">
        <x:v>AML/CFT</x:v>
      </x:c>
      <x:c r="C29" s="24" t="str">
        <x:v>Risk-based and thematic AML/CFT supervision</x:v>
      </x:c>
      <x:c r="D29" s="24" t="str">
        <x:v>SUPPLY</x:v>
      </x:c>
      <x:c r="E29" s="24" t="str">
        <x:v>recommendation</x:v>
      </x:c>
      <x:c r="F29" s="24" t="str">
        <x:v>/reforms/regulation</x:v>
      </x:c>
      <x:c r="G29" s="24" t="str">
        <x:v>Track legal/institutional action, not score</x:v>
      </x:c>
    </x:row>
    <x:row r="30">
      <x:c r="A30" s="24" t="str">
        <x:v>OECD-POL-02</x:v>
      </x:c>
      <x:c r="B30" s="24" t="str">
        <x:v>Correspondent banking</x:v>
      </x:c>
      <x:c r="C30" s="24" t="str">
        <x:v>Restore correspondent-banking capacity</x:v>
      </x:c>
      <x:c r="D30" s="24" t="str">
        <x:v>SUPPLY</x:v>
      </x:c>
      <x:c r="E30" s="24" t="str">
        <x:v>recommendation</x:v>
      </x:c>
      <x:c r="F30" s="24" t="str">
        <x:v>/reforms/projects</x:v>
      </x:c>
      <x:c r="G30" s="24" t="str">
        <x:v>State-machine object if a concrete reform/project exists</x:v>
      </x:c>
    </x:row>
    <x:row r="31">
      <x:c r="A31" s="24" t="str">
        <x:v>OECD-POL-03</x:v>
      </x:c>
      <x:c r="B31" s="24" t="str">
        <x:v>Liquidity</x:v>
      </x:c>
      <x:c r="C31" s="24" t="str">
        <x:v>Address frozen accounts and liquidity constraints</x:v>
      </x:c>
      <x:c r="D31" s="24" t="str">
        <x:v>SUPPLY</x:v>
      </x:c>
      <x:c r="E31" s="24" t="str">
        <x:v>recommendation</x:v>
      </x:c>
      <x:c r="F31" s="24" t="str">
        <x:v>/reforms/projects</x:v>
      </x:c>
      <x:c r="G31" s="24" t="str">
        <x:v>Do not conflate with observed liquidity outcome</x:v>
      </x:c>
    </x:row>
    <x:row r="32">
      <x:c r="A32" s="24" t="str">
        <x:v>OECD-POL-04</x:v>
      </x:c>
      <x:c r="B32" s="24" t="str">
        <x:v>Deposit protection</x:v>
      </x:c>
      <x:c r="C32" s="24" t="str">
        <x:v>Improve deposit safety / DGS</x:v>
      </x:c>
      <x:c r="D32" s="24" t="str">
        <x:v>SUPPLY</x:v>
      </x:c>
      <x:c r="E32" s="24" t="str">
        <x:v>recommendation</x:v>
      </x:c>
      <x:c r="F32" s="24" t="str">
        <x:v>/reforms/regulation</x:v>
      </x:c>
      <x:c r="G32" s="24" t="str">
        <x:v>Verify current DGS legal status</x:v>
      </x:c>
    </x:row>
    <x:row r="33">
      <x:c r="A33" s="24" t="str">
        <x:v>OECD-POL-05</x:v>
      </x:c>
      <x:c r="B33" s="24" t="str">
        <x:v>Supervision</x:v>
      </x:c>
      <x:c r="C33" s="24" t="str">
        <x:v>Deepen financial-stability analysis and supervisory capacity</x:v>
      </x:c>
      <x:c r="D33" s="24" t="str">
        <x:v>SUPPLY</x:v>
      </x:c>
      <x:c r="E33" s="24" t="str">
        <x:v>recommendation</x:v>
      </x:c>
      <x:c r="F33" s="24" t="str">
        <x:v>/reforms/regulation</x:v>
      </x:c>
      <x:c r="G33" s="24" t="str">
        <x:v>Possible capability/evidence-gap object</x:v>
      </x:c>
    </x:row>
    <x:row r="34">
      <x:c r="A34" s="24" t="str">
        <x:v>OECD-POL-06</x:v>
      </x:c>
      <x:c r="B34" s="24" t="str">
        <x:v>Resolution</x:v>
      </x:c>
      <x:c r="C34" s="24" t="str">
        <x:v>Develop banking resolution strategy</x:v>
      </x:c>
      <x:c r="D34" s="24" t="str">
        <x:v>SUPPLY</x:v>
      </x:c>
      <x:c r="E34" s="24" t="str">
        <x:v>recommendation</x:v>
      </x:c>
      <x:c r="F34" s="24" t="str">
        <x:v>/reforms/regulation</x:v>
      </x:c>
      <x:c r="G34" s="24" t="str">
        <x:v>Track instrument/status if later evidenced</x:v>
      </x:c>
    </x:row>
    <x:row r="35">
      <x:c r="A35" s="24" t="str">
        <x:v>OECD-POL-07</x:v>
      </x:c>
      <x:c r="B35" s="24" t="str">
        <x:v>Intermediation</x:v>
      </x:c>
      <x:c r="C35" s="24" t="str">
        <x:v>Restructure banking/intermediation and formalise appropriate exchanger transitions</x:v>
      </x:c>
      <x:c r="D35" s="24" t="str">
        <x:v>SUPPLY</x:v>
      </x:c>
      <x:c r="E35" s="24" t="str">
        <x:v>recommendation</x:v>
      </x:c>
      <x:c r="F35" s="24" t="str">
        <x:v>/finance + /reforms</x:v>
      </x:c>
      <x:c r="G35" s="24" t="str">
        <x:v>Provider state changes require CBY primary events</x:v>
      </x:c>
    </x:row>
    <x:row r="36">
      <x:c r="A36" s="24" t="str">
        <x:v>OECD-POL-08</x:v>
      </x:c>
      <x:c r="B36" s="24" t="str">
        <x:v>MSME finance</x:v>
      </x:c>
      <x:c r="C36" s="24" t="str">
        <x:v>Target MSME credit strategy</x:v>
      </x:c>
      <x:c r="D36" s="24" t="str">
        <x:v>SUPPLY</x:v>
      </x:c>
      <x:c r="E36" s="24" t="str">
        <x:v>recommendation</x:v>
      </x:c>
      <x:c r="F36" s="24" t="str">
        <x:v>/firms</x:v>
      </x:c>
      <x:c r="G36" s="24" t="str">
        <x:v>Separate policy from observed lending</x:v>
      </x:c>
    </x:row>
    <x:row r="37">
      <x:c r="A37" s="24" t="str">
        <x:v>OECD-POL-09</x:v>
      </x:c>
      <x:c r="B37" s="24" t="str">
        <x:v>Governance</x:v>
      </x:c>
      <x:c r="C37" s="24" t="str">
        <x:v>Strengthen corporate governance and business conduct</x:v>
      </x:c>
      <x:c r="D37" s="24" t="str">
        <x:v>SUPPLY</x:v>
      </x:c>
      <x:c r="E37" s="24" t="str">
        <x:v>recommendation</x:v>
      </x:c>
      <x:c r="F37" s="24" t="str">
        <x:v>/reforms/regulation</x:v>
      </x:c>
      <x:c r="G37" s="24" t="str">
        <x:v>No institution scoring without primary evidence</x:v>
      </x:c>
    </x:row>
    <x:row r="38">
      <x:c r="A38" s="24" t="str">
        <x:v>OECD-POL-10</x:v>
      </x:c>
      <x:c r="B38" s="24" t="str">
        <x:v>Credit support</x:v>
      </x:c>
      <x:c r="C38" s="24" t="str">
        <x:v>Credit facilities + government-backed guarantees</x:v>
      </x:c>
      <x:c r="D38" s="24" t="str">
        <x:v>SUPPLY</x:v>
      </x:c>
      <x:c r="E38" s="24" t="str">
        <x:v>recommendation</x:v>
      </x:c>
      <x:c r="F38" s="24" t="str">
        <x:v>/reforms/projects</x:v>
      </x:c>
      <x:c r="G38" s="24" t="str">
        <x:v>Finance-event taxonomy required</x:v>
      </x:c>
    </x:row>
    <x:row r="39">
      <x:c r="A39" s="24" t="str">
        <x:v>OECD-POL-11</x:v>
      </x:c>
      <x:c r="B39" s="24" t="str">
        <x:v>Digital finance</x:v>
      </x:c>
      <x:c r="C39" s="24" t="str">
        <x:v>FinTech / digitalisation / possible sandbox + client protection</x:v>
      </x:c>
      <x:c r="D39" s="24" t="str">
        <x:v>SUPPLY</x:v>
      </x:c>
      <x:c r="E39" s="24" t="str">
        <x:v>recommendation</x:v>
      </x:c>
      <x:c r="F39" s="24" t="str">
        <x:v>/payments/digital</x:v>
      </x:c>
      <x:c r="G39" s="24" t="str">
        <x:v>Verify concrete instruments before status claim</x:v>
      </x:c>
    </x:row>
    <x:row r="40">
      <x:c r="A40" s="24" t="str">
        <x:v>OECD-POL-12</x:v>
      </x:c>
      <x:c r="B40" s="24" t="str">
        <x:v>Transaction accounts</x:v>
      </x:c>
      <x:c r="C40" s="24" t="str">
        <x:v>Increase access to transaction accounts</x:v>
      </x:c>
      <x:c r="D40" s="24" t="str">
        <x:v>DEMAND</x:v>
      </x:c>
      <x:c r="E40" s="24" t="str">
        <x:v>recommendation</x:v>
      </x:c>
      <x:c r="F40" s="24" t="str">
        <x:v>/people/access-use</x:v>
      </x:c>
      <x:c r="G40" s="24" t="str">
        <x:v>Measure via Findex/admin data, not policy text</x:v>
      </x:c>
    </x:row>
    <x:row r="41">
      <x:c r="A41" s="24" t="str">
        <x:v>OECD-POL-13</x:v>
      </x:c>
      <x:c r="B41" s="24" t="str">
        <x:v>Financial education</x:v>
      </x:c>
      <x:c r="C41" s="24" t="str">
        <x:v>Targeted financial education</x:v>
      </x:c>
      <x:c r="D41" s="24" t="str">
        <x:v>DEMAND</x:v>
      </x:c>
      <x:c r="E41" s="24" t="str">
        <x:v>recommendation</x:v>
      </x:c>
      <x:c r="F41" s="24" t="str">
        <x:v>/people</x:v>
      </x:c>
      <x:c r="G41" s="24" t="str">
        <x:v>Measure literacy separately</x:v>
      </x:c>
    </x:row>
    <x:row r="42">
      <x:c r="A42" s="24" t="str">
        <x:v>OECD-POL-14</x:v>
      </x:c>
      <x:c r="B42" s="24" t="str">
        <x:v>Vulnerable groups</x:v>
      </x:c>
      <x:c r="C42" s="24" t="str">
        <x:v>Tailor interventions to women, low-income, low-education and out-of-work groups</x:v>
      </x:c>
      <x:c r="D42" s="24" t="str">
        <x:v>DEMAND</x:v>
      </x:c>
      <x:c r="E42" s="24" t="str">
        <x:v>recommendation</x:v>
      </x:c>
      <x:c r="F42" s="24" t="str">
        <x:v>/people</x:v>
      </x:c>
      <x:c r="G42" s="24" t="str">
        <x:v>Use disaggregated evidence; avoid deficit framing</x:v>
      </x:c>
    </x:row>
    <x:row r="43">
      <x:c r="A43" s="24" t="str">
        <x:v>OECD-POL-15</x:v>
      </x:c>
      <x:c r="B43" s="24" t="str">
        <x:v>Consumer protection</x:v>
      </x:c>
      <x:c r="C43" s="24" t="str">
        <x:v>Enforce FCP instructions, strengthen FCP capacity, complaint/redress and credit reporting</x:v>
      </x:c>
      <x:c r="D43" s="24" t="str">
        <x:v>DEMAND/PROTECTION</x:v>
      </x:c>
      <x:c r="E43" s="24" t="str">
        <x:v>recommendation</x:v>
      </x:c>
      <x:c r="F43" s="24" t="str">
        <x:v>/reforms/regulation</x:v>
      </x:c>
      <x:c r="G43" s="24" t="str">
        <x:v>Official CBY instruments govern implemented state</x:v>
      </x:c>
    </x:row>
    <x:row r="46">
      <x:c r="A46" s="63" t="str">
        <x:v>Consumer protection architecture</x:v>
      </x:c>
      <x:c r="B46" s="63"/>
      <x:c r="C46" s="63"/>
      <x:c r="D46" s="63"/>
      <x:c r="E46" s="63"/>
      <x:c r="F46" s="63"/>
      <x:c r="G46" s="63"/>
      <x:c r="H46" s="63"/>
      <x:c r="I46" s="63"/>
    </x:row>
    <x:row r="47">
      <x:c r="A47" s="61" t="str">
        <x:v>fcp_object_id</x:v>
      </x:c>
      <x:c r="B47" s="61" t="str">
        <x:v>source_id</x:v>
      </x:c>
      <x:c r="C47" s="61" t="str">
        <x:v>layer</x:v>
      </x:c>
      <x:c r="D47" s="61" t="str">
        <x:v>actor</x:v>
      </x:c>
      <x:c r="E47" s="61" t="str">
        <x:v>requirement_or_step</x:v>
      </x:c>
      <x:c r="F47" s="61" t="str">
        <x:v>timing_or_trigger</x:v>
      </x:c>
      <x:c r="G47" s="61" t="str">
        <x:v>what_it_supports</x:v>
      </x:c>
      <x:c r="H47" s="61" t="str">
        <x:v>remaining_gap</x:v>
      </x:c>
      <x:c r="I47" s="61" t="str">
        <x:v>source_url</x:v>
      </x:c>
    </x:row>
    <x:row r="48">
      <x:c r="A48" s="24" t="str">
        <x:v>FCP-ARCH-001</x:v>
      </x:c>
      <x:c r="B48" s="24" t="str">
        <x:v>SRC-CBY-FCP-INSTR-2023-001</x:v>
      </x:c>
      <x:c r="C48" s="24" t="str">
        <x:v>Regulatory foundation</x:v>
      </x:c>
      <x:c r="D48" s="24" t="str">
        <x:v>Central Bank of Yemen — Aden</x:v>
      </x:c>
      <x:c r="E48" s="24" t="str">
        <x:v>Regulatory Instructions for Financial Consumer Protection were issued as the formal framework; the issuance notice states a one-year maximum adjustment period for banks and other non-bank financial institutions.</x:v>
      </x:c>
      <x:c r="F48" s="24" t="str">
        <x:v>2023-08-28 issuance notice</x:v>
      </x:c>
      <x:c r="G48" s="24" t="str">
        <x:v>Instrument existence, official date/title, stated purpose and announced adjustment period.</x:v>
      </x:c>
      <x:c r="H48" s="24" t="str">
        <x:v>Full controlled legal-text extraction, current applicability/amendments/supersession and clause-level legal interpretation.</x:v>
      </x:c>
      <x:c r="I48" s="24" t="str">
        <x:v>https://cby-ye.com/news/567</x:v>
      </x:c>
    </x:row>
    <x:row r="49">
      <x:c r="A49" s="24" t="str">
        <x:v>FCP-ARCH-002</x:v>
      </x:c>
      <x:c r="B49" s="24" t="str">
        <x:v>SRC-CBY-FCP-BROCHURE-2024-001</x:v>
      </x:c>
      <x:c r="C49" s="24" t="str">
        <x:v>Supervisory architecture</x:v>
      </x:c>
      <x:c r="D49" s="24" t="str">
        <x:v>Central Bank of Yemen — Aden</x:v>
      </x:c>
      <x:c r="E49" s="24" t="str">
        <x:v>Official brochure states that a dedicated customer-protection department was created within Banking Supervision and that compliance with consumer-protection requirements is followed up.</x:v>
      </x:c>
      <x:c r="F49" s="24" t="str">
        <x:v>Brochure issued 2024-03-23</x:v>
      </x:c>
      <x:c r="G49" s="24" t="str">
        <x:v>Source-reported supervisory architecture and institutional responsibility.</x:v>
      </x:c>
      <x:c r="H49" s="24" t="str">
        <x:v>Staffing, supervisory intensity, inspection frequency, sanctions and effectiveness are not measured.</x:v>
      </x:c>
      <x:c r="I49" s="24" t="str">
        <x:v>https://cby-ye.com/files/65fe1e8d2ec08.pdf</x:v>
      </x:c>
    </x:row>
    <x:row r="50">
      <x:c r="A50" s="24" t="str">
        <x:v>FCP-ARCH-003</x:v>
      </x:c>
      <x:c r="B50" s="24" t="str">
        <x:v>SRC-CBY-FCP-BROCHURE-2024-001</x:v>
      </x:c>
      <x:c r="C50" s="24" t="str">
        <x:v>Scope</x:v>
      </x:c>
      <x:c r="D50" s="24" t="str">
        <x:v>Regulated financial institutions</x:v>
      </x:c>
      <x:c r="E50" s="24" t="str">
        <x:v>The brochure identifies banking financial institutions and non-bank financial institutions as institutions subject to the financial-consumer-protection instructions.</x:v>
      </x:c>
      <x:c r="F50" s="24" t="str">
        <x:v>Current brochure framing at 2024-03-23</x:v>
      </x:c>
      <x:c r="G50" s="24" t="str">
        <x:v>Source-attributed coverage classes can be displayed.</x:v>
      </x:c>
      <x:c r="H50" s="24" t="str">
        <x:v>Exact clause-level scope, exemptions and current legal applicability still require the controlled instruction text.</x:v>
      </x:c>
      <x:c r="I50" s="24" t="str">
        <x:v>https://cby-ye.com/files/65fe1e8d2ec08.pdf</x:v>
      </x:c>
    </x:row>
    <x:row r="51">
      <x:c r="A51" s="24" t="str">
        <x:v>FCP-ARCH-004</x:v>
      </x:c>
      <x:c r="B51" s="24" t="str">
        <x:v>SRC-CBY-FCP-BROCHURE-2024-001</x:v>
      </x:c>
      <x:c r="C51" s="24" t="str">
        <x:v>Provider complaint governance</x:v>
      </x:c>
      <x:c r="D51" s="24" t="str">
        <x:v>Financial service providers</x:v>
      </x:c>
      <x:c r="E5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51" s="24" t="str">
        <x:v>When a customer complaint is received</x:v>
      </x:c>
      <x:c r="G51" s="24" t="str">
        <x:v>A source-attributed provider-responsibility architecture.</x:v>
      </x:c>
      <x:c r="H51" s="24" t="str">
        <x:v>No administrative evidence that every provider has implemented these controls or that compensation/redress occurs consistently.</x:v>
      </x:c>
      <x:c r="I51" s="24" t="str">
        <x:v>https://cby-ye.com/files/65fe1e8d2ec08.pdf</x:v>
      </x:c>
    </x:row>
    <x:row r="52">
      <x:c r="A52" s="24" t="str">
        <x:v>FCP-ARCH-005</x:v>
      </x:c>
      <x:c r="B52" s="24" t="str">
        <x:v>SRC-CBY-FCP-BROCHURE-2024-001</x:v>
      </x:c>
      <x:c r="C52" s="24" t="str">
        <x:v>Provider-stage timing</x:v>
      </x:c>
      <x:c r="D52" s="24" t="str">
        <x:v>Financial service provider</x:v>
      </x:c>
      <x:c r="E52" s="24" t="str">
        <x:v>The source states a maximum of 10 business days to settle a consumer complaint from the date of complaint submission with the necessary attachments.</x:v>
      </x:c>
      <x:c r="F52" s="24" t="str">
        <x:v>Complaint submitted with required attachments</x:v>
      </x:c>
      <x:c r="G52" s="24" t="str">
        <x:v>The source-reported provider-stage time window can be shown in a redress-path visual.</x:v>
      </x:c>
      <x:c r="H52" s="24" t="str">
        <x:v>Observed resolution time, compliance rate and complaint outcome remain unknown.</x:v>
      </x:c>
      <x:c r="I52" s="24" t="str">
        <x:v>https://cby-ye.com/files/65fe1e8d2ec08.pdf</x:v>
      </x:c>
    </x:row>
    <x:row r="53">
      <x:c r="A53" s="24" t="str">
        <x:v>FCP-ARCH-006</x:v>
      </x:c>
      <x:c r="B53" s="24" t="str">
        <x:v>SRC-CBY-FCP-BROCHURE-2024-001</x:v>
      </x:c>
      <x:c r="C53" s="24" t="str">
        <x:v>Provider-stage extension</x:v>
      </x:c>
      <x:c r="D53" s="24" t="str">
        <x:v>Financial service provider</x:v>
      </x:c>
      <x:c r="E53" s="24" t="str">
        <x:v>For complaints requiring it, the settlement period may be extended for a similar period, with the consumer informed of the justification for the extension.</x:v>
      </x:c>
      <x:c r="F53" s="24" t="str">
        <x:v>Case requires extension</x:v>
      </x:c>
      <x:c r="G53" s="24" t="str">
        <x:v>The source-reported extension rule and notification requirement.</x:v>
      </x:c>
      <x:c r="H53" s="24" t="str">
        <x:v>No evidence on how often extensions are used or whether reasons are adequate.</x:v>
      </x:c>
      <x:c r="I53" s="24" t="str">
        <x:v>https://cby-ye.com/files/65fe1e8d2ec08.pdf</x:v>
      </x:c>
    </x:row>
    <x:row r="54">
      <x:c r="A54" s="24" t="str">
        <x:v>FCP-ARCH-007</x:v>
      </x:c>
      <x:c r="B54" s="24" t="str">
        <x:v>SRC-CBY-FCP-BROCHURE-2024-001</x:v>
      </x:c>
      <x:c r="C54" s="24" t="str">
        <x:v>Escalation trigger</x:v>
      </x:c>
      <x:c r="D54" s="24" t="str">
        <x:v>Consumer</x:v>
      </x:c>
      <x:c r="E54" s="24" t="str">
        <x:v>A complaint may be escalated to CBY when no response is received from the financial service provider within the specified time or when the complainant is not satisfied with the provider's decision.</x:v>
      </x:c>
      <x:c r="F54" s="24" t="str">
        <x:v>After provider-stage failure or dissatisfaction</x:v>
      </x:c>
      <x:c r="G54" s="24" t="str">
        <x:v>The source-attributed escalation triggers can be shown.</x:v>
      </x:c>
      <x:c r="H54" s="24" t="str">
        <x:v>Actual accessibility, usage and success of escalation are not established.</x:v>
      </x:c>
      <x:c r="I54" s="24" t="str">
        <x:v>https://cby-ye.com/files/65fe1e8d2ec08.pdf</x:v>
      </x:c>
    </x:row>
    <x:row r="55">
      <x:c r="A55" s="24" t="str">
        <x:v>FCP-ARCH-008</x:v>
      </x:c>
      <x:c r="B55" s="24" t="str">
        <x:v>SRC-CBY-FCP-BROCHURE-2024-001</x:v>
      </x:c>
      <x:c r="C55" s="24" t="str">
        <x:v>Escalation timing</x:v>
      </x:c>
      <x:c r="D55" s="24" t="str">
        <x:v>Consumer → Central Bank of Yemen</x:v>
      </x:c>
      <x:c r="E55" s="24" t="str">
        <x:v>The brochure states that escalation to CBY should be submitted within 14 business days from the end of the time framework specified for complaint settlement in the applicable instructions, using the prescribed form.</x:v>
      </x:c>
      <x:c r="F55" s="24" t="str">
        <x:v>After provider-stage timeframe ends</x:v>
      </x:c>
      <x:c r="G55" s="24" t="str">
        <x:v>The source-reported escalation window can be displayed.</x:v>
      </x:c>
      <x:c r="H55" s="24" t="str">
        <x:v>No controlled complaint volumes, rejection reasons, processing time or resolution outcomes at CBY stage.</x:v>
      </x:c>
      <x:c r="I55" s="24" t="str">
        <x:v>https://cby-ye.com/files/65fe1e8d2ec08.pdf</x:v>
      </x:c>
    </x:row>
    <x:row r="56">
      <x:c r="A56" s="24" t="str">
        <x:v>FCP-ARCH-009</x:v>
      </x:c>
      <x:c r="B56" s="24" t="str">
        <x:v>SRC-CBY-FCP-BROCHURE-2024-001</x:v>
      </x:c>
      <x:c r="C56" s="24" t="str">
        <x:v>Protection principles</x:v>
      </x:c>
      <x:c r="D56" s="24" t="str">
        <x:v>System / providers / supervisor</x:v>
      </x:c>
      <x:c r="E5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6" s="24" t="str">
        <x:v>Current brochure framing at 2024-03-23</x:v>
      </x:c>
      <x:c r="G56" s="24" t="str">
        <x:v>A source-attributed principle map for the consumer-protection framework.</x:v>
      </x:c>
      <x:c r="H56" s="24" t="str">
        <x:v>No principle-level compliance scoring or outcome evidence is controlled.</x:v>
      </x:c>
      <x:c r="I56" s="24" t="str">
        <x:v>https://cby-ye.com/files/65fe1e8d2ec08.pdf</x:v>
      </x:c>
    </x:row>
    <x:row r="57">
      <x:c r="A57" s="24" t="str">
        <x:v>FCP-ARCH-010</x:v>
      </x:c>
      <x:c r="B57" s="24" t="str">
        <x:v>MULTI_SOURCE</x:v>
      </x:c>
      <x:c r="C57" s="24" t="str">
        <x:v>Performance evidence frontier</x:v>
      </x:c>
      <x:c r="D57" s="24" t="str">
        <x:v>Evidence-system status</x:v>
      </x:c>
      <x:c r="E57" s="24" t="str">
        <x:v>No controlled administrative series currently establishes complaint volumes, issue mix, resolution rates, actual resolution times, compensation, enforcement actions tied to complaints, user satisfaction or consumer outcomes.</x:v>
      </x:c>
      <x:c r="F57" s="24" t="str">
        <x:v>Current publication state</x:v>
      </x:c>
      <x:c r="G57" s="24" t="str">
        <x:v>The gap itself is a publishable evidence-state object.</x:v>
      </x:c>
      <x:c r="H57" s="24" t="str">
        <x:v>Primary administrative complaint/enforcement/outcome evidence.</x:v>
      </x:c>
      <x:c r="I57" s="24" t="str">
        <x:v>Internal synthesis governed by source register</x:v>
      </x:c>
    </x:row>
    <x:row r="60">
      <x:c r="A60" s="63" t="str">
        <x:v>E-money regulation</x:v>
      </x:c>
      <x:c r="B60" s="63"/>
      <x:c r="C60" s="63"/>
      <x:c r="D60" s="63"/>
      <x:c r="E60" s="63"/>
      <x:c r="F60" s="63"/>
      <x:c r="G60" s="63"/>
      <x:c r="H60" s="63"/>
      <x:c r="I60" s="63"/>
      <x:c r="J60" s="63"/>
    </x:row>
    <x:row r="61">
      <x:c r="A61" s="61" t="str">
        <x:v>emoney_object_id</x:v>
      </x:c>
      <x:c r="B61" s="61" t="str">
        <x:v>source_id</x:v>
      </x:c>
      <x:c r="C61" s="61" t="str">
        <x:v>date</x:v>
      </x:c>
      <x:c r="D61" s="61" t="str">
        <x:v>regulatory_layer</x:v>
      </x:c>
      <x:c r="E61" s="61" t="str">
        <x:v>rule_or_feature</x:v>
      </x:c>
      <x:c r="F61" s="61" t="str">
        <x:v>value_or_limit</x:v>
      </x:c>
      <x:c r="G61" s="61" t="str">
        <x:v>currency_or_unit</x:v>
      </x:c>
      <x:c r="H61" s="61" t="str">
        <x:v>what_it_supports</x:v>
      </x:c>
      <x:c r="I61" s="61" t="str">
        <x:v>remaining_gap</x:v>
      </x:c>
      <x:c r="J61" s="61" t="str">
        <x:v>source_url</x:v>
      </x:c>
    </x:row>
    <x:row r="62">
      <x:c r="A62" s="24" t="str">
        <x:v>EMR-001</x:v>
      </x:c>
      <x:c r="B62" s="24" t="str">
        <x:v>SRC-CBY-EMONEY-2023-001</x:v>
      </x:c>
      <x:c r="C62" s="24" t="str">
        <x:v>2023-08-09</x:v>
      </x:c>
      <x:c r="D62" s="24" t="str">
        <x:v>Base regulatory instrument</x:v>
      </x:c>
      <x:c r="E62" s="24" t="str">
        <x:v>CBY issued instructions governing mobile e-money services provided by non-bank financial institutions subject to CBY supervision.</x:v>
      </x:c>
      <x:c r="F62" s="24" t="str">
        <x:v>Base instrument</x:v>
      </x:c>
      <x:c r="G62" s="24" t="str">
        <x:v>N/A</x:v>
      </x:c>
      <x:c r="H62" s="24" t="str">
        <x:v>A dated regulated non-bank mobile-e-money class and base rule can be described.</x:v>
      </x:c>
      <x:c r="I62" s="24" t="str">
        <x:v>Full local custody and consolidated amendment/supersession register remain incomplete.</x:v>
      </x:c>
      <x:c r="J62" s="24" t="str">
        <x:v>https://cby-ye.com/files/64dde85e0a84f.pdf</x:v>
      </x:c>
    </x:row>
    <x:row r="63">
      <x:c r="A63" s="24" t="str">
        <x:v>EMR-002</x:v>
      </x:c>
      <x:c r="B63" s="24" t="str">
        <x:v>SRC-CBY-EMONEY-AMD-2025-001</x:v>
      </x:c>
      <x:c r="C63" s="24" t="str">
        <x:v>2025-07-09</x:v>
      </x:c>
      <x:c r="D63" s="24" t="str">
        <x:v>Definition amendment</x:v>
      </x:c>
      <x:c r="E63" s="24" t="str">
        <x:v>E-money is defined as electronically stored value issued against receipt of equivalent value, accepted as a means of payment, transferable among users and redeemable to cash at the same value.</x:v>
      </x:c>
      <x:c r="F63" s="24" t="str">
        <x:v>Definition</x:v>
      </x:c>
      <x:c r="G63" s="24" t="str">
        <x:v>N/A</x:v>
      </x:c>
      <x:c r="H63" s="24" t="str">
        <x:v>A source-controlled definition of the regulated e-money object.</x:v>
      </x:c>
      <x:c r="I63" s="24" t="str">
        <x:v>Does not identify current licensed issuers or active users.</x:v>
      </x:c>
      <x:c r="J63" s="24" t="str">
        <x:v>https://cby-ye.com/files/6875fc55a253e.pdf</x:v>
      </x:c>
    </x:row>
    <x:row r="64">
      <x:c r="A64" s="24" t="str">
        <x:v>EMR-003</x:v>
      </x:c>
      <x:c r="B64" s="24" t="str">
        <x:v>SRC-CBY-EMONEY-2023-001</x:v>
      </x:c>
      <x:c r="C64" s="24" t="str">
        <x:v>2023-08-09</x:v>
      </x:c>
      <x:c r="D64" s="24" t="str">
        <x:v>Consumer protection</x:v>
      </x:c>
      <x:c r="E64" s="24" t="str">
        <x:v>The base instructions require consumer-protection controls including effective contact channels, clear customer agreements, transaction notifications, customer verification of beneficiary/value before completion and prompt complaint handling.</x:v>
      </x:c>
      <x:c r="F64" s="24" t="str">
        <x:v>Provider obligations</x:v>
      </x:c>
      <x:c r="G64" s="24" t="str">
        <x:v>N/A</x:v>
      </x:c>
      <x:c r="H64" s="24" t="str">
        <x:v>Consumer-protection obligations within the mobile e-money regime can be described source-by-source.</x:v>
      </x:c>
      <x:c r="I64" s="24" t="str">
        <x:v>Compliance, complaint performance and enforcement remain unmeasured.</x:v>
      </x:c>
      <x:c r="J64" s="24" t="str">
        <x:v>https://cby-ye.com/files/64dde85e0a84f.pdf</x:v>
      </x:c>
    </x:row>
    <x:row r="65">
      <x:c r="A65" s="24" t="str">
        <x:v>EMR-004</x:v>
      </x:c>
      <x:c r="B65" s="24" t="str">
        <x:v>SRC-CBY-EMONEY-2023-001</x:v>
      </x:c>
      <x:c r="C65" s="24" t="str">
        <x:v>2023-08-09</x:v>
      </x:c>
      <x:c r="D65" s="24" t="str">
        <x:v>Complaint handling</x:v>
      </x:c>
      <x:c r="E65" s="24" t="str">
        <x:v>The base instructions state that complaint processing should not exceed 10 business days from notification and require a dedicated complaint register recording complaints and treatment actions.</x:v>
      </x:c>
      <x:c r="F65" s="24" t="str">
        <x:v>10</x:v>
      </x:c>
      <x:c r="G65" s="24" t="str">
        <x:v>business days maximum</x:v>
      </x:c>
      <x:c r="H65" s="24" t="str">
        <x:v>A rule-specific mobile-e-money complaint requirement.</x:v>
      </x:c>
      <x:c r="I65" s="24" t="str">
        <x:v>Observed complaint count, compliance and resolution quality are open.</x:v>
      </x:c>
      <x:c r="J65" s="24" t="str">
        <x:v>https://cby-ye.com/files/64dde85e0a84f.pdf</x:v>
      </x:c>
    </x:row>
    <x:row r="66">
      <x:c r="A66" s="24" t="str">
        <x:v>EMR-005</x:v>
      </x:c>
      <x:c r="B66" s="24" t="str">
        <x:v>SRC-CBY-EMONEY-AMD-2025-001</x:v>
      </x:c>
      <x:c r="C66" s="24" t="str">
        <x:v>2025-07-09</x:v>
      </x:c>
      <x:c r="D66" s="24" t="str">
        <x:v>Currency permission amendment</x:v>
      </x:c>
      <x:c r="E66" s="24" t="str">
        <x:v>Decision No. 4 of 2025 permits e-money issuers covered by the instructions to deal in major foreign currencies in addition to local currency.</x:v>
      </x:c>
      <x:c r="F66" s="24" t="str">
        <x:v>USD; SAR; AED + YER</x:v>
      </x:c>
      <x:c r="G66" s="24" t="str">
        <x:v>currencies</x:v>
      </x:c>
      <x:c r="H66" s="24" t="str">
        <x:v>The permitted currency set can be described.</x:v>
      </x:c>
      <x:c r="I66" s="24" t="str">
        <x:v>No inference on current products, balances or provider availability.</x:v>
      </x:c>
      <x:c r="J66" s="24" t="str">
        <x:v>https://cby-ye.com/files/6875fc55a253e.pdf</x:v>
      </x:c>
    </x:row>
    <x:row r="67">
      <x:c r="A67" s="24" t="str">
        <x:v>EMR-006</x:v>
      </x:c>
      <x:c r="B67" s="24" t="str">
        <x:v>SRC-CBY-EMONEY-AMD-2025-001</x:v>
      </x:c>
      <x:c r="C67" s="24" t="str">
        <x:v>2025-07-09</x:v>
      </x:c>
      <x:c r="D67" s="24" t="str">
        <x:v>FX restriction</x:v>
      </x:c>
      <x:c r="E67" s="24" t="str">
        <x:v>The same decision does not allow conversion operations from local currency into a foreign currency.</x:v>
      </x:c>
      <x:c r="F67" s="24" t="str">
        <x:v>Prohibited direction</x:v>
      </x:c>
      <x:c r="G67" s="24" t="str">
        <x:v>YER → foreign currency</x:v>
      </x:c>
      <x:c r="H67" s="24" t="str">
        <x:v>A clearly bounded regulatory restriction.</x:v>
      </x:c>
      <x:c r="I67" s="24" t="str">
        <x:v>No inference on other exchange/payment channels outside the instrument scope.</x:v>
      </x:c>
      <x:c r="J67" s="24" t="str">
        <x:v>https://cby-ye.com/files/6875fc55a253e.pdf</x:v>
      </x:c>
    </x:row>
    <x:row r="68">
      <x:c r="A68" s="24" t="str">
        <x:v>EMR-007</x:v>
      </x:c>
      <x:c r="B68" s="24" t="str">
        <x:v>SRC-CBY-EMONEY-AMD-2025-001</x:v>
      </x:c>
      <x:c r="C68" s="24" t="str">
        <x:v>2025-07-09</x:v>
      </x:c>
      <x:c r="D68" s="24" t="str">
        <x:v>Individual local-currency transaction ceilings</x:v>
      </x:c>
      <x:c r="E68" s="24" t="str">
        <x:v>For individual accounts in local currency, the amendment table states ceilings of 1,000,000 per single transaction; 2,000,000 total per day; 5,000,000 per month; and 50,000,000 per year.</x:v>
      </x:c>
      <x:c r="F68" s="24" t="str">
        <x:v>1,000,000 | 2,000,000 | 5,000,000 | 50,000,000</x:v>
      </x:c>
      <x:c r="G68" s="24" t="str">
        <x:v>YER: single | daily | monthly | annual</x:v>
      </x:c>
      <x:c r="H68" s="24" t="str">
        <x:v>Regulatory ceiling cards can be displayed.</x:v>
      </x:c>
      <x:c r="I68" s="24" t="str">
        <x:v>Actual transaction distribution and average/median use are unknown.</x:v>
      </x:c>
      <x:c r="J68" s="24" t="str">
        <x:v>https://cby-ye.com/files/6875fc55a253e.pdf</x:v>
      </x:c>
    </x:row>
    <x:row r="69">
      <x:c r="A69" s="24" t="str">
        <x:v>EMR-008</x:v>
      </x:c>
      <x:c r="B69" s="24" t="str">
        <x:v>SRC-CBY-EMONEY-AMD-2025-001</x:v>
      </x:c>
      <x:c r="C69" s="24" t="str">
        <x:v>2025-07-09</x:v>
      </x:c>
      <x:c r="D69" s="24" t="str">
        <x:v>Individual foreign-currency transaction ceilings</x:v>
      </x:c>
      <x:c r="E69" s="24" t="str">
        <x:v>For individual accounts in major foreign currencies, the amendment table states ceilings of USD 400 or equivalent per single transaction; USD 500 or equivalent per day; USD 1,000 or equivalent per month; and USD 10,000 or equivalent per year.</x:v>
      </x:c>
      <x:c r="F69" s="24" t="str">
        <x:v>400 | 500 | 1,000 | 10,000</x:v>
      </x:c>
      <x:c r="G69" s="24" t="str">
        <x:v>USD or equivalent: single | daily | monthly | annual</x:v>
      </x:c>
      <x:c r="H69" s="24" t="str">
        <x:v>Regulatory ceiling cards can be displayed for the permitted foreign-currency class.</x:v>
      </x:c>
      <x:c r="I69" s="24" t="str">
        <x:v>Actual use and currency mix remain unknown.</x:v>
      </x:c>
      <x:c r="J69" s="24" t="str">
        <x:v>https://cby-ye.com/files/6875fc55a253e.pdf</x:v>
      </x:c>
    </x:row>
    <x:row r="70">
      <x:c r="A70" s="24" t="str">
        <x:v>EMR-009</x:v>
      </x:c>
      <x:c r="B70" s="24" t="str">
        <x:v>SRC-CBY-EMONEY-AMD-2025-001</x:v>
      </x:c>
      <x:c r="C70" s="24" t="str">
        <x:v>2025-07-09</x:v>
      </x:c>
      <x:c r="D70" s="24" t="str">
        <x:v>Maximum individual e-money balance</x:v>
      </x:c>
      <x:c r="E70" s="24" t="str">
        <x:v>The amendment states a maximum individual e-money balance of YER 8,000,000 for local-currency balances and USD 1,500 or equivalent for foreign-currency balances.</x:v>
      </x:c>
      <x:c r="F70" s="24" t="str">
        <x:v>8,000,000 | 1,500</x:v>
      </x:c>
      <x:c r="G70" s="24" t="str">
        <x:v>YER | USD or equivalent</x:v>
      </x:c>
      <x:c r="H70" s="24" t="str">
        <x:v>Regulatory balance ceilings.</x:v>
      </x:c>
      <x:c r="I70" s="24" t="str">
        <x:v>No evidence of actual balances or distribution.</x:v>
      </x:c>
      <x:c r="J70" s="24" t="str">
        <x:v>https://cby-ye.com/files/6875fc55a253e.pdf</x:v>
      </x:c>
    </x:row>
    <x:row r="71">
      <x:c r="A71" s="24" t="str">
        <x:v>EMR-010</x:v>
      </x:c>
      <x:c r="B71" s="24" t="str">
        <x:v>SRC-CBY-EMONEY-AMD-2025-001</x:v>
      </x:c>
      <x:c r="C71" s="24" t="str">
        <x:v>2025-07-09</x:v>
      </x:c>
      <x:c r="D71" s="24" t="str">
        <x:v>Corporate-account ceilings</x:v>
      </x:c>
      <x:c r="E71" s="24" t="str">
        <x:v>The amendment states that limits for corporate accounts are determined by the e-money issuer according to its assessment and require prior written approval from CBY.</x:v>
      </x:c>
      <x:c r="F71" s="24" t="str">
        <x:v>Issuer-assessed + prior CBY written approval</x:v>
      </x:c>
      <x:c r="G71" s="24" t="str">
        <x:v>corporate accounts</x:v>
      </x:c>
      <x:c r="H71" s="24" t="str">
        <x:v>The governance rule for corporate-account limits.</x:v>
      </x:c>
      <x:c r="I71" s="24" t="str">
        <x:v>No firm-level product availability or actual approved limits are controlled.</x:v>
      </x:c>
      <x:c r="J71" s="24" t="str">
        <x:v>https://cby-ye.com/files/6875fc55a253e.pdf</x:v>
      </x:c>
    </x:row>
    <x:row r="72">
      <x:c r="A72" s="24" t="str">
        <x:v>EMR-011</x:v>
      </x:c>
      <x:c r="B72" s="24" t="str">
        <x:v>SRC-CBY-EMONEY-AMD-2025-001</x:v>
      </x:c>
      <x:c r="C72" s="24" t="str">
        <x:v>2025-07-09</x:v>
      </x:c>
      <x:c r="D72" s="24" t="str">
        <x:v>Account opening / currency</x:v>
      </x:c>
      <x:c r="E72" s="24" t="str">
        <x:v>The amendment permits e-money accounts in major foreign currencies (USD, SAR, AED) in addition to local currency.</x:v>
      </x:c>
      <x:c r="F72" s="24" t="str">
        <x:v>Permitted account currencies</x:v>
      </x:c>
      <x:c r="G72" s="24" t="str">
        <x:v>USD; SAR; AED; YER</x:v>
      </x:c>
      <x:c r="H72" s="24" t="str">
        <x:v>A source-controlled account-currency rule.</x:v>
      </x:c>
      <x:c r="I72" s="24" t="str">
        <x:v>No provider/product inventory or user distribution by currency.</x:v>
      </x:c>
      <x:c r="J72" s="24" t="str">
        <x:v>https://cby-ye.com/files/6875fc55a253e.pdf</x:v>
      </x:c>
    </x:row>
    <x:row r="73">
      <x:c r="A73" s="24" t="str">
        <x:v>EMR-012</x:v>
      </x:c>
      <x:c r="B73" s="24" t="str">
        <x:v>SRC-CBY-EMONEY-AMD-2025-001</x:v>
      </x:c>
      <x:c r="C73" s="24" t="str">
        <x:v>2025-07-09</x:v>
      </x:c>
      <x:c r="D73" s="24" t="str">
        <x:v>Effective date</x:v>
      </x:c>
      <x:c r="E73" s="24" t="str">
        <x:v>Decision No. 4 states that it takes effect from the date of issuance and the competent authorities shall act accordingly.</x:v>
      </x:c>
      <x:c r="F73" s="24" t="str">
        <x:v>Effective from issuance</x:v>
      </x:c>
      <x:c r="G73" s="24" t="str">
        <x:v>2025-07-09</x:v>
      </x:c>
      <x:c r="H73" s="24" t="str">
        <x:v>The amendment event can be placed on the regulatory timeline.</x:v>
      </x:c>
      <x:c r="I73" s="24" t="str">
        <x:v>Current consolidated-text status still requires controlled instrument reconciliation.</x:v>
      </x:c>
      <x:c r="J73" s="24" t="str">
        <x:v>https://cby-ye.com/files/6875fc55a253e.pdf</x:v>
      </x:c>
    </x:row>
    <x:row r="74">
      <x:c r="A74" s="24" t="str">
        <x:v>EMR-013</x:v>
      </x:c>
      <x:c r="B74" s="24" t="str">
        <x:v>MULTI_SOURCE</x:v>
      </x:c>
      <x:c r="C74" s="24" t="str">
        <x:v>current release</x:v>
      </x:c>
      <x:c r="D74" s="24" t="str">
        <x:v>Evidence frontier</x:v>
      </x:c>
      <x:c r="E74" s="24" t="str">
        <x:v>The evidence system does not yet hold a current named, QA-passed 2026 universe of licensed wallet/e-money issuers/system operators linked to these regulatory rules.</x:v>
      </x:c>
      <x:c r="F74" s="24" t="str">
        <x:v>Open provider-universe gap</x:v>
      </x:c>
      <x:c r="G74" s="24" t="str">
        <x:v>N/A</x:v>
      </x:c>
      <x:c r="H74" s="24" t="str">
        <x:v>The observability gap itself can be shown.</x:v>
      </x:c>
      <x:c r="I74" s="24" t="str">
        <x:v>Current named roster and operational status.</x:v>
      </x:c>
      <x:c r="J74" s="24" t="str">
        <x:v>Internal synthesis governed by primary-source queue</x:v>
      </x:c>
    </x:row>
    <x:row r="78">
      <x:c r="A78" s="145" t="str">
        <x:v>FMIIP official results framework / إطار النتائج الرسمي لمشروع البنية التحتية للأسواق والشمول المالي</x:v>
      </x:c>
      <x:c r="B78" s="145"/>
      <x:c r="C78" s="145"/>
      <x:c r="D78" s="145"/>
      <x:c r="E78" s="145"/>
      <x:c r="F78" s="145"/>
      <x:c r="G78" s="145"/>
      <x:c r="H78" s="145"/>
      <x:c r="I78" s="145"/>
      <x:c r="J78" s="145"/>
      <x:c r="K78" s="145"/>
      <x:c r="L78" s="145"/>
      <x:c r="M78" s="145"/>
    </x:row>
    <x:row r="79">
      <x:c r="A79" s="149" t="str">
        <x:v>metric_id</x:v>
      </x:c>
      <x:c r="B79" s="149" t="str">
        <x:v>indicator_en</x:v>
      </x:c>
      <x:c r="C79" s="149" t="str">
        <x:v>indicator_ar</x:v>
      </x:c>
      <x:c r="D79" s="149" t="str">
        <x:v>baseline_period</x:v>
      </x:c>
      <x:c r="E79" s="149" t="str">
        <x:v>baseline_value</x:v>
      </x:c>
      <x:c r="F79" s="149" t="str">
        <x:v>target_period</x:v>
      </x:c>
      <x:c r="G79" s="149" t="str">
        <x:v>target_value</x:v>
      </x:c>
      <x:c r="H79" s="149" t="str">
        <x:v>unit</x:v>
      </x:c>
      <x:c r="I79" s="149" t="str">
        <x:v>source_id</x:v>
      </x:c>
      <x:c r="J79" s="149" t="str">
        <x:v>state_en</x:v>
      </x:c>
      <x:c r="K79" s="149" t="str">
        <x:v>state_ar</x:v>
      </x:c>
      <x:c r="L79" s="149" t="str">
        <x:v>interpretation_rule_en</x:v>
      </x:c>
      <x:c r="M79" s="149" t="str">
        <x:v>interpretation_rule_ar</x:v>
      </x:c>
    </x:row>
    <x:row r="80">
      <x:c r="A80" s="142" t="str">
        <x:v>FMIIP-RF-001</x:v>
      </x:c>
      <x:c r="B80" s="142" t="str">
        <x:v>Increase in value of RTGS transactions</x:v>
      </x:c>
      <x:c r="C80" s="150" t="str">
        <x:v>الزيادة في قيمة معاملات نظام التسوية الإجمالية الفورية</x:v>
      </x:c>
      <x:c r="D80" s="142" t="str">
        <x:v>Jan-2025</x:v>
      </x:c>
      <x:c r="E80" s="142" t="n">
        <x:v>0</x:v>
      </x:c>
      <x:c r="F80" s="142" t="str">
        <x:v>Jun-2030</x:v>
      </x:c>
      <x:c r="G80" s="142" t="n">
        <x:v>20</x:v>
      </x:c>
      <x:c r="H80" s="142" t="str">
        <x:v>percent</x:v>
      </x:c>
      <x:c r="I80" s="142" t="str">
        <x:v>SRC-WB-FMIIP-P180708</x:v>
      </x:c>
      <x:c r="J80" s="142" t="str">
        <x:v>Project baseline / target</x:v>
      </x:c>
      <x:c r="K80" s="150" t="str">
        <x:v>خط أساس / مستهدف للمشروع</x:v>
      </x:c>
      <x:c r="L80" s="142" t="str">
        <x:v>Target measures a future change in RTGS value; it is not an observed inclusion outcome.</x:v>
      </x:c>
      <x:c r="M80" s="150" t="str">
        <x:v>يقيس المستهدف تغيرًا مستقبليًا في قيمة معاملات RTGS، ولا يمثل نتيجة مرصودة للشمول المالي.</x:v>
      </x:c>
    </x:row>
    <x:row r="81">
      <x:c r="A81" s="142" t="str">
        <x:v>FMIIP-RF-002</x:v>
      </x:c>
      <x:c r="B81" s="142" t="str">
        <x:v>Beneficiaries receiving or making electronic payments/transfers</x:v>
      </x:c>
      <x:c r="C81" s="150" t="str">
        <x:v>المستفيدون الذين يتلقون أو يجرون مدفوعات وتحويلات إلكترونية</x:v>
      </x:c>
      <x:c r="D81" s="142" t="str">
        <x:v>Jan-2025</x:v>
      </x:c>
      <x:c r="E81" s="142" t="n">
        <x:v>10761</x:v>
      </x:c>
      <x:c r="F81" s="142" t="str">
        <x:v>Jun-2030</x:v>
      </x:c>
      <x:c r="G81" s="142" t="n">
        <x:v>1000000</x:v>
      </x:c>
      <x:c r="H81" s="142" t="str">
        <x:v>beneficiaries</x:v>
      </x:c>
      <x:c r="I81" s="142" t="str">
        <x:v>SRC-WB-FMIIP-P180708</x:v>
      </x:c>
      <x:c r="J81" s="142" t="str">
        <x:v>Project baseline / target</x:v>
      </x:c>
      <x:c r="K81" s="150" t="str">
        <x:v>خط أساس / مستهدف للمشروع</x:v>
      </x:c>
      <x:c r="L81" s="142" t="str">
        <x:v>Beneficiaries are project-defined people/entities and must not be substituted with transactions or accounts.</x:v>
      </x:c>
      <x:c r="M81" s="150" t="str">
        <x:v>المستفيدون وحدة يعرّفها المشروع، ولا يجوز استبدالهم بعدد المعاملات أو الحسابات.</x:v>
      </x:c>
    </x:row>
    <x:row r="82">
      <x:c r="A82" s="142" t="str">
        <x:v>FMIIP-RF-003</x:v>
      </x:c>
      <x:c r="B82" s="142" t="str">
        <x:v>Female beneficiaries receiving or making electronic payments/transfers</x:v>
      </x:c>
      <x:c r="C82" s="150" t="str">
        <x:v>المستفيدات من المدفوعات والتحويلات الإلكترونية</x:v>
      </x:c>
      <x:c r="D82" s="142"/>
      <x:c r="E82" s="142"/>
      <x:c r="F82" s="142" t="str">
        <x:v>Jun-2030</x:v>
      </x:c>
      <x:c r="G82" s="142" t="n">
        <x:v>480000</x:v>
      </x:c>
      <x:c r="H82" s="142" t="str">
        <x:v>female beneficiaries</x:v>
      </x:c>
      <x:c r="I82" s="142" t="str">
        <x:v>SRC-WB-FMIIP-P180708</x:v>
      </x:c>
      <x:c r="J82" s="142" t="str">
        <x:v>Target only; baseline not stated</x:v>
      </x:c>
      <x:c r="K82" s="150" t="str">
        <x:v>مستهدف فقط؛ لا يورد المصدر خط أساس</x:v>
      </x:c>
      <x:c r="L82" s="142" t="str">
        <x:v>48% of the total closing target; do not infer a current female beneficiary count.</x:v>
      </x:c>
      <x:c r="M82" s="150" t="str">
        <x:v>يمثل 48% من المستهدف الكلي النهائي؛ ولا يجوز استنتاج عدد راهن للمستفيدات.</x:v>
      </x:c>
    </x:row>
    <x:row r="83">
      <x:c r="A83" s="142" t="str">
        <x:v>FMIIP-RF-004</x:v>
      </x:c>
      <x:c r="B83" s="142" t="str">
        <x:v>Financial access points</x:v>
      </x:c>
      <x:c r="C83" s="150" t="str">
        <x:v>نقاط الوصول المالي</x:v>
      </x:c>
      <x:c r="D83" s="142" t="str">
        <x:v>Jan-2025</x:v>
      </x:c>
      <x:c r="E83" s="142" t="n">
        <x:v>817</x:v>
      </x:c>
      <x:c r="F83" s="142" t="str">
        <x:v>Jun-2030</x:v>
      </x:c>
      <x:c r="G83" s="142" t="n">
        <x:v>1021</x:v>
      </x:c>
      <x:c r="H83" s="142" t="str">
        <x:v>project-defined access points</x:v>
      </x:c>
      <x:c r="I83" s="142" t="str">
        <x:v>SRC-WB-FMIIP-P180708</x:v>
      </x:c>
      <x:c r="J83" s="142" t="str">
        <x:v>Project baseline / target</x:v>
      </x:c>
      <x:c r="K83" s="150" t="str">
        <x:v>خط أساس / مستهدف للمشروع</x:v>
      </x:c>
      <x:c r="L83" s="142" t="str">
        <x:v>The project-defined access-point taxonomy must be used; do not add ATMs, POS and agents unless definitions and deduplication rules permit it.</x:v>
      </x:c>
      <x:c r="M83" s="150" t="str">
        <x:v>يجب استخدام تعريف المشروع لنقطة الوصول؛ ولا تُجمع أجهزة الصراف ونقاط البيع والوكلاء ما لم تسمح التعريفات وقواعد إزالة الازدواج بذلك.</x:v>
      </x:c>
    </x:row>
    <x:row r="84">
      <x:c r="A84" s="142" t="str">
        <x:v>FMIIP-RF-005</x:v>
      </x:c>
      <x:c r="B84" s="142" t="str">
        <x:v>Decrease in transaction cost to customers</x:v>
      </x:c>
      <x:c r="C84" s="150" t="str">
        <x:v>خفض تكلفة المعاملات على العملاء</x:v>
      </x:c>
      <x:c r="D84" s="142" t="str">
        <x:v>Jan-2025</x:v>
      </x:c>
      <x:c r="E84" s="142" t="n">
        <x:v>0</x:v>
      </x:c>
      <x:c r="F84" s="142" t="str">
        <x:v>Jun-2030</x:v>
      </x:c>
      <x:c r="G84" s="142" t="n">
        <x:v>50</x:v>
      </x:c>
      <x:c r="H84" s="142" t="str">
        <x:v>percent decrease</x:v>
      </x:c>
      <x:c r="I84" s="142" t="str">
        <x:v>SRC-WB-FMIIP-P180708</x:v>
      </x:c>
      <x:c r="J84" s="142" t="str">
        <x:v>Project baseline / target</x:v>
      </x:c>
      <x:c r="K84" s="150" t="str">
        <x:v>خط أساس / مستهدف للمشروع</x:v>
      </x:c>
      <x:c r="L84" s="142" t="str">
        <x:v>A target reduction is not evidence that costs have already fallen.</x:v>
      </x:c>
      <x:c r="M84" s="150" t="str">
        <x:v>مستهدف خفض التكلفة لا يثبت أن التكلفة انخفضت بالفعل.</x:v>
      </x:c>
    </x:row>
    <x:row r="85">
      <x:c r="A85" s="142" t="str">
        <x:v>FMIIP-RF-006</x:v>
      </x:c>
      <x:c r="B85" s="142" t="str">
        <x:v>Fast Payment System developed and operational</x:v>
      </x:c>
      <x:c r="C85" s="150" t="str">
        <x:v>تطوير وتشغيل نظام الدفع السريع</x:v>
      </x:c>
      <x:c r="D85" s="142" t="str">
        <x:v>Jan-2025</x:v>
      </x:c>
      <x:c r="E85" s="142" t="str">
        <x:v>No</x:v>
      </x:c>
      <x:c r="F85" s="142" t="str">
        <x:v>Jun-2030</x:v>
      </x:c>
      <x:c r="G85" s="142" t="str">
        <x:v>Yes</x:v>
      </x:c>
      <x:c r="H85" s="142" t="str">
        <x:v>yes/no</x:v>
      </x:c>
      <x:c r="I85" s="142" t="str">
        <x:v>SRC-WB-FMIIP-P180708</x:v>
      </x:c>
      <x:c r="J85" s="142" t="str">
        <x:v>Infrastructure milestone</x:v>
      </x:c>
      <x:c r="K85" s="150" t="str">
        <x:v>معلم للبنية التحتية</x:v>
      </x:c>
      <x:c r="L85" s="142" t="str">
        <x:v>Operational go-live is distinct from adoption, repeat use and inclusion outcomes.</x:v>
      </x:c>
      <x:c r="M85" s="150" t="str">
        <x:v>التشغيل الفعلي حالة مختلفة عن التبني والاستخدام المتكرر ونتائج الشمول.</x:v>
      </x:c>
    </x:row>
    <x:row r="86">
      <x:c r="A86" s="142" t="str">
        <x:v>FMIIP-RF-007</x:v>
      </x:c>
      <x:c r="B86" s="142" t="str">
        <x:v>Annual cleared FPS transactions</x:v>
      </x:c>
      <x:c r="C86" s="150" t="str">
        <x:v>المعاملات السنوية المسوّاة عبر نظام الدفع السريع</x:v>
      </x:c>
      <x:c r="D86" s="142" t="str">
        <x:v>Jan-2025</x:v>
      </x:c>
      <x:c r="E86" s="142" t="n">
        <x:v>0</x:v>
      </x:c>
      <x:c r="F86" s="142" t="str">
        <x:v>Jun-2030</x:v>
      </x:c>
      <x:c r="G86" s="142" t="n">
        <x:v>600000</x:v>
      </x:c>
      <x:c r="H86" s="142" t="str">
        <x:v>transactions / source wording</x:v>
      </x:c>
      <x:c r="I86" s="142" t="str">
        <x:v>SRC-WB-FMIIP-P180708</x:v>
      </x:c>
      <x:c r="J86" s="142" t="str">
        <x:v>Project baseline / target</x:v>
      </x:c>
      <x:c r="K86" s="150" t="str">
        <x:v>خط أساس / مستهدف للمشروع</x:v>
      </x:c>
      <x:c r="L86" s="142" t="str">
        <x:v>Preserve the source's indicator wording; confirm volume/value semantics before any derived rate.</x:v>
      </x:c>
      <x:c r="M86" s="150" t="str">
        <x:v>تُحفظ صياغة المؤشر كما في المصدر، ويجب التحقق من دلالة الحجم والقيمة قبل اشتقاق أي معدل.</x:v>
      </x:c>
    </x:row>
    <x:row r="87">
      <x:c r="A87" s="142" t="str">
        <x:v>FMIIP-RF-008</x:v>
      </x:c>
      <x:c r="B87" s="142" t="str">
        <x:v>Participating financial institutions in FPS</x:v>
      </x:c>
      <x:c r="C87" s="150" t="str">
        <x:v>المؤسسات المالية المشاركة في نظام الدفع السريع</x:v>
      </x:c>
      <x:c r="D87" s="142" t="str">
        <x:v>Jan-2025</x:v>
      </x:c>
      <x:c r="E87" s="142" t="n">
        <x:v>0</x:v>
      </x:c>
      <x:c r="F87" s="142" t="str">
        <x:v>Jun-2030</x:v>
      </x:c>
      <x:c r="G87" s="142" t="n">
        <x:v>10</x:v>
      </x:c>
      <x:c r="H87" s="142" t="str">
        <x:v>institutions</x:v>
      </x:c>
      <x:c r="I87" s="142" t="str">
        <x:v>SRC-WB-FMIIP-P180708</x:v>
      </x:c>
      <x:c r="J87" s="142" t="str">
        <x:v>Project baseline / target</x:v>
      </x:c>
      <x:c r="K87" s="150" t="str">
        <x:v>خط أساس / مستهدف للمشروع</x:v>
      </x:c>
      <x:c r="L87" s="142" t="str">
        <x:v>Institutional participation does not establish end-user activity.</x:v>
      </x:c>
      <x:c r="M87" s="150" t="str">
        <x:v>مشاركة المؤسسات لا تثبت نشاط المستخدمين النهائيين.</x:v>
      </x:c>
    </x:row>
    <x:row r="88">
      <x:c r="A88" s="142" t="str">
        <x:v>FMIIP-RF-009</x:v>
      </x:c>
      <x:c r="B88" s="142" t="str">
        <x:v>FPS use cases</x:v>
      </x:c>
      <x:c r="C88" s="150" t="str">
        <x:v>حالات استخدام نظام الدفع السريع</x:v>
      </x:c>
      <x:c r="D88" s="142" t="str">
        <x:v>Jan-2025</x:v>
      </x:c>
      <x:c r="E88" s="142" t="n">
        <x:v>1</x:v>
      </x:c>
      <x:c r="F88" s="142" t="str">
        <x:v>Jun-2030</x:v>
      </x:c>
      <x:c r="G88" s="142" t="n">
        <x:v>3</x:v>
      </x:c>
      <x:c r="H88" s="142" t="str">
        <x:v>use cases</x:v>
      </x:c>
      <x:c r="I88" s="142" t="str">
        <x:v>SRC-WB-FMIIP-P180708</x:v>
      </x:c>
      <x:c r="J88" s="142" t="str">
        <x:v>Project baseline / target</x:v>
      </x:c>
      <x:c r="K88" s="150" t="str">
        <x:v>خط أساس / مستهدف للمشروع</x:v>
      </x:c>
      <x:c r="L88" s="142" t="str">
        <x:v>Use-case count does not measure transaction scale or people reached.</x:v>
      </x:c>
      <x:c r="M88" s="150" t="str">
        <x:v>عدد حالات الاستخدام لا يقيس حجم المعاملات أو عدد الأشخاص الذين وصلتهم الخدمة.</x:v>
      </x:c>
    </x:row>
    <x:row r="89">
      <x:c r="A89" s="142" t="str">
        <x:v>FMIIP-RF-010</x:v>
      </x:c>
      <x:c r="B89" s="142" t="str">
        <x:v>RTGS developed and operational</x:v>
      </x:c>
      <x:c r="C89" s="150" t="str">
        <x:v>تطوير وتشغيل نظام التسوية الإجمالية الفورية</x:v>
      </x:c>
      <x:c r="D89" s="142" t="str">
        <x:v>Jan-2025</x:v>
      </x:c>
      <x:c r="E89" s="142" t="str">
        <x:v>No</x:v>
      </x:c>
      <x:c r="F89" s="142" t="str">
        <x:v>Jun-2030</x:v>
      </x:c>
      <x:c r="G89" s="142" t="str">
        <x:v>Yes</x:v>
      </x:c>
      <x:c r="H89" s="142" t="str">
        <x:v>yes/no</x:v>
      </x:c>
      <x:c r="I89" s="142" t="str">
        <x:v>SRC-WB-FMIIP-P180708</x:v>
      </x:c>
      <x:c r="J89" s="142" t="str">
        <x:v>Infrastructure milestone</x:v>
      </x:c>
      <x:c r="K89" s="150" t="str">
        <x:v>معلم للبنية التحتية</x:v>
      </x:c>
      <x:c r="L89" s="142" t="str">
        <x:v>A functioning RTGS is system capacity, not a people-side inclusion outcome.</x:v>
      </x:c>
      <x:c r="M89" s="150" t="str">
        <x:v>تشغيل RTGS قدرة للنظام، وليس نتيجة للشمول على مستوى الأفراد.</x:v>
      </x:c>
    </x:row>
    <x:row r="90">
      <x:c r="A90" s="142" t="str">
        <x:v>FMIIP-RF-011</x:v>
      </x:c>
      <x:c r="B90" s="142" t="str">
        <x:v>Participating payment service providers in RTGS</x:v>
      </x:c>
      <x:c r="C90" s="150" t="str">
        <x:v>مقدمو خدمات الدفع المشاركون في RTGS</x:v>
      </x:c>
      <x:c r="D90" s="142" t="str">
        <x:v>Jan-2025</x:v>
      </x:c>
      <x:c r="E90" s="142" t="n">
        <x:v>0</x:v>
      </x:c>
      <x:c r="F90" s="142" t="str">
        <x:v>Jun-2030</x:v>
      </x:c>
      <x:c r="G90" s="142" t="n">
        <x:v>10</x:v>
      </x:c>
      <x:c r="H90" s="142" t="str">
        <x:v>PSPs</x:v>
      </x:c>
      <x:c r="I90" s="142" t="str">
        <x:v>SRC-WB-FMIIP-P180708</x:v>
      </x:c>
      <x:c r="J90" s="142" t="str">
        <x:v>Project baseline / target</x:v>
      </x:c>
      <x:c r="K90" s="150" t="str">
        <x:v>خط أساس / مستهدف للمشروع</x:v>
      </x:c>
      <x:c r="L90" s="142" t="str">
        <x:v>Participation does not prove transaction activity or user reach.</x:v>
      </x:c>
      <x:c r="M90" s="150" t="str">
        <x:v>المشاركة لا تثبت نشاط المعاملات أو وصول المستخدمين.</x:v>
      </x:c>
    </x:row>
    <x:row r="91">
      <x:c r="A91" s="142" t="str">
        <x:v>FMIIP-RF-012</x:v>
      </x:c>
      <x:c r="B91" s="142" t="str">
        <x:v>Merchants accepting electronic payments</x:v>
      </x:c>
      <x:c r="C91" s="150" t="str">
        <x:v>التجار الذين يقبلون المدفوعات الإلكترونية</x:v>
      </x:c>
      <x:c r="D91" s="142" t="str">
        <x:v>Jan-2025</x:v>
      </x:c>
      <x:c r="E91" s="142" t="n">
        <x:v>170</x:v>
      </x:c>
      <x:c r="F91" s="142" t="str">
        <x:v>Jun-2030</x:v>
      </x:c>
      <x:c r="G91" s="142" t="n">
        <x:v>500</x:v>
      </x:c>
      <x:c r="H91" s="142" t="str">
        <x:v>merchants</x:v>
      </x:c>
      <x:c r="I91" s="142" t="str">
        <x:v>SRC-WB-FMIIP-P180708</x:v>
      </x:c>
      <x:c r="J91" s="142" t="str">
        <x:v>Project baseline / target</x:v>
      </x:c>
      <x:c r="K91" s="150" t="str">
        <x:v>خط أساس / مستهدف للمشروع</x:v>
      </x:c>
      <x:c r="L91" s="142" t="str">
        <x:v>Merchants are not POS terminals and should not be cross-counted as devices.</x:v>
      </x:c>
      <x:c r="M91" s="150" t="str">
        <x:v>التجار ليسوا أجهزة نقاط بيع ولا يجوز تحويل أحد المقياسين إلى الآخر.</x:v>
      </x:c>
    </x:row>
    <x:row r="92">
      <x:c r="A92" s="142" t="str">
        <x:v>FMIIP-RF-013</x:v>
      </x:c>
      <x:c r="B92" s="142" t="str">
        <x:v>Active bank accounts</x:v>
      </x:c>
      <x:c r="C92" s="150" t="str">
        <x:v>الحسابات البنكية النشطة</x:v>
      </x:c>
      <x:c r="D92" s="142" t="str">
        <x:v>Jan-2025</x:v>
      </x:c>
      <x:c r="E92" s="142" t="n">
        <x:v>1062441</x:v>
      </x:c>
      <x:c r="F92" s="142" t="str">
        <x:v>Jun-2030</x:v>
      </x:c>
      <x:c r="G92" s="142" t="n">
        <x:v>1381171</x:v>
      </x:c>
      <x:c r="H92" s="142" t="str">
        <x:v>active accounts</x:v>
      </x:c>
      <x:c r="I92" s="142" t="str">
        <x:v>SRC-WB-FMIIP-P180708</x:v>
      </x:c>
      <x:c r="J92" s="142" t="str">
        <x:v>Project baseline / target</x:v>
      </x:c>
      <x:c r="K92" s="150" t="str">
        <x:v>خط أساس / مستهدف للمشروع</x:v>
      </x:c>
      <x:c r="L92" s="142" t="str">
        <x:v>Accounts are not unique people; definition must be reconciled before comparison with other CBY account totals.</x:v>
      </x:c>
      <x:c r="M92" s="150" t="str">
        <x:v>الحسابات ليست أشخاصًا فريدين، ويجب مطابقة التعريف قبل مقارنتها بإجماليات حسابات أخرى لدى البنك المركزي.</x:v>
      </x:c>
    </x:row>
    <x:row r="93">
      <x:c r="A93" s="142" t="str">
        <x:v>FMIIP-RF-014</x:v>
      </x:c>
      <x:c r="B93" s="142" t="str">
        <x:v>Female-owned active bank accounts</x:v>
      </x:c>
      <x:c r="C93" s="150" t="str">
        <x:v>الحسابات البنكية النشطة المملوكة لنساء</x:v>
      </x:c>
      <x:c r="D93" s="142" t="str">
        <x:v>Jan-2025</x:v>
      </x:c>
      <x:c r="E93" s="142" t="n">
        <x:v>200898</x:v>
      </x:c>
      <x:c r="F93" s="142" t="str">
        <x:v>Jun-2030</x:v>
      </x:c>
      <x:c r="G93" s="142" t="n">
        <x:v>261167</x:v>
      </x:c>
      <x:c r="H93" s="142" t="str">
        <x:v>active accounts</x:v>
      </x:c>
      <x:c r="I93" s="142" t="str">
        <x:v>SRC-WB-FMIIP-P180708</x:v>
      </x:c>
      <x:c r="J93" s="142" t="str">
        <x:v>Project baseline / target</x:v>
      </x:c>
      <x:c r="K93" s="150" t="str">
        <x:v>خط أساس / مستهدف للمشروع</x:v>
      </x:c>
      <x:c r="L93" s="142" t="str">
        <x:v>This is an account count by ownership classification, not a count of unique women.</x:v>
      </x:c>
      <x:c r="M93" s="150" t="str">
        <x:v>هذا عدد حسابات مصنفة بحسب الملكية، وليس عددًا للنساء الفريدات.</x:v>
      </x:c>
    </x:row>
    <x:row r="94">
      <x:c r="A94" s="142" t="str">
        <x:v>FMIIP-RF-015</x:v>
      </x:c>
      <x:c r="B94" s="142" t="str">
        <x:v>Active e-wallet accounts</x:v>
      </x:c>
      <x:c r="C94" s="150" t="str">
        <x:v>حسابات المحافظ الإلكترونية النشطة</x:v>
      </x:c>
      <x:c r="D94" s="142" t="str">
        <x:v>Jan-2025</x:v>
      </x:c>
      <x:c r="E94" s="142" t="n">
        <x:v>375252</x:v>
      </x:c>
      <x:c r="F94" s="142" t="str">
        <x:v>Jun-2030</x:v>
      </x:c>
      <x:c r="G94" s="142" t="n">
        <x:v>487828</x:v>
      </x:c>
      <x:c r="H94" s="142" t="str">
        <x:v>active e-wallet accounts</x:v>
      </x:c>
      <x:c r="I94" s="142" t="str">
        <x:v>SRC-WB-FMIIP-P180708</x:v>
      </x:c>
      <x:c r="J94" s="142" t="str">
        <x:v>Project baseline / target</x:v>
      </x:c>
      <x:c r="K94" s="150" t="str">
        <x:v>خط أساس / مستهدف للمشروع</x:v>
      </x:c>
      <x:c r="L94" s="142" t="str">
        <x:v>Active e-wallet accounts are not subscribers unless a definition bridge proves equivalence.</x:v>
      </x:c>
      <x:c r="M94" s="150" t="str">
        <x:v>الحسابات النشطة للمحافظ ليست مرادفة لعدد المشتركين ما لم تثبت مطابقة التعريفات.</x:v>
      </x:c>
    </x:row>
    <x:row r="95">
      <x:c r="A95" s="142" t="str">
        <x:v>FMIIP-RF-016</x:v>
      </x:c>
      <x:c r="B95" s="142" t="str">
        <x:v>Female-owned active e-wallet accounts</x:v>
      </x:c>
      <x:c r="C95" s="150" t="str">
        <x:v>حسابات المحافظ الإلكترونية النشطة المملوكة لنساء</x:v>
      </x:c>
      <x:c r="D95" s="142"/>
      <x:c r="E95" s="142"/>
      <x:c r="F95" s="142" t="str">
        <x:v>May-2030</x:v>
      </x:c>
      <x:c r="G95" s="142" t="n">
        <x:v>73174</x:v>
      </x:c>
      <x:c r="H95" s="142" t="str">
        <x:v>active e-wallet accounts</x:v>
      </x:c>
      <x:c r="I95" s="142" t="str">
        <x:v>SRC-WB-FMIIP-P180708</x:v>
      </x:c>
      <x:c r="J95" s="142" t="str">
        <x:v>Target only; baseline not stated</x:v>
      </x:c>
      <x:c r="K95" s="150" t="str">
        <x:v>مستهدف فقط؛ لا يورد المصدر خط أساس</x:v>
      </x:c>
      <x:c r="L95" s="142" t="str">
        <x:v>The cited table does not state a female baseline; do not back-calculate one.</x:v>
      </x:c>
      <x:c r="M95" s="150" t="str">
        <x:v>لا يورد الجدول المشار إليه خط أساس للنساء؛ ولا يجوز اشتقاقه حسابيًا من دون مصدر.</x:v>
      </x:c>
    </x:row>
    <x:row r="96">
      <x:c r="A96" s="142" t="str">
        <x:v>FMIIP-RF-017</x:v>
      </x:c>
      <x:c r="B96" s="142" t="str">
        <x:v>Agents of licensed financial institutions</x:v>
      </x:c>
      <x:c r="C96" s="150" t="str">
        <x:v>وكلاء المؤسسات المالية المرخصة</x:v>
      </x:c>
      <x:c r="D96" s="142" t="str">
        <x:v>Jan-2025</x:v>
      </x:c>
      <x:c r="E96" s="142" t="n">
        <x:v>65</x:v>
      </x:c>
      <x:c r="F96" s="142" t="str">
        <x:v>Jun-2030</x:v>
      </x:c>
      <x:c r="G96" s="142" t="n">
        <x:v>71</x:v>
      </x:c>
      <x:c r="H96" s="142" t="str">
        <x:v>agents</x:v>
      </x:c>
      <x:c r="I96" s="142" t="str">
        <x:v>SRC-WB-FMIIP-P180708</x:v>
      </x:c>
      <x:c r="J96" s="142" t="str">
        <x:v>Project baseline / target</x:v>
      </x:c>
      <x:c r="K96" s="150" t="str">
        <x:v>خط أساس / مستهدف للمشروع</x:v>
      </x:c>
      <x:c r="L96" s="142" t="str">
        <x:v>Agent count is not unique customers and does not by itself establish geographic access.</x:v>
      </x:c>
      <x:c r="M96" s="150" t="str">
        <x:v>عدد الوكلاء لا يساوي عدد العملاء الفريدين ولا يثبت وحده الوصول الجغرافي.</x:v>
      </x:c>
    </x:row>
    <x:row r="97">
      <x:c r="A97" s="142" t="str">
        <x:v>FMIIP-RF-018</x:v>
      </x:c>
      <x:c r="B97" s="142" t="str">
        <x:v>Female agents</x:v>
      </x:c>
      <x:c r="C97" s="150" t="str">
        <x:v>الوكيلات</x:v>
      </x:c>
      <x:c r="D97" s="142" t="str">
        <x:v>Jan-2025</x:v>
      </x:c>
      <x:c r="E97" s="142" t="n">
        <x:v>1</x:v>
      </x:c>
      <x:c r="F97" s="142" t="str">
        <x:v>Jun-2030</x:v>
      </x:c>
      <x:c r="G97" s="142" t="n">
        <x:v>20</x:v>
      </x:c>
      <x:c r="H97" s="142" t="str">
        <x:v>agents</x:v>
      </x:c>
      <x:c r="I97" s="142" t="str">
        <x:v>SRC-WB-FMIIP-P180708</x:v>
      </x:c>
      <x:c r="J97" s="142" t="str">
        <x:v>Project baseline / target</x:v>
      </x:c>
      <x:c r="K97" s="150" t="str">
        <x:v>خط أساس / مستهدف للمشروع</x:v>
      </x:c>
      <x:c r="L97" s="142" t="str">
        <x:v>Agent composition is not a population inclusion rate.</x:v>
      </x:c>
      <x:c r="M97" s="150" t="str">
        <x:v>تركيبة شبكة الوكلاء ليست معدل شمول للسكان.</x:v>
      </x:c>
    </x:row>
    <x:row r="98">
      <x:c r="A98" s="142" t="str">
        <x:v>FMIIP-RF-019</x:v>
      </x:c>
      <x:c r="B98" s="142" t="str">
        <x:v>Financial literacy campaigns</x:v>
      </x:c>
      <x:c r="C98" s="150" t="str">
        <x:v>حملات الثقافة المالية</x:v>
      </x:c>
      <x:c r="D98" s="142" t="str">
        <x:v>Jan-2025</x:v>
      </x:c>
      <x:c r="E98" s="142" t="n">
        <x:v>0</x:v>
      </x:c>
      <x:c r="F98" s="142" t="str">
        <x:v>Jun-2030</x:v>
      </x:c>
      <x:c r="G98" s="142" t="n">
        <x:v>10</x:v>
      </x:c>
      <x:c r="H98" s="142" t="str">
        <x:v>campaigns</x:v>
      </x:c>
      <x:c r="I98" s="142" t="str">
        <x:v>SRC-WB-FMIIP-P180708</x:v>
      </x:c>
      <x:c r="J98" s="142" t="str">
        <x:v>Project output target</x:v>
      </x:c>
      <x:c r="K98" s="150" t="str">
        <x:v>مستهدف لمخرج برامجي</x:v>
      </x:c>
      <x:c r="L98" s="142" t="str">
        <x:v>Campaign delivery does not establish improved financial literacy.</x:v>
      </x:c>
      <x:c r="M98" s="150" t="str">
        <x:v>تنفيذ الحملات لا يثبت تحسن الثقافة المالية.</x:v>
      </x:c>
    </x:row>
    <x:row r="99">
      <x:c r="A99" s="142" t="str">
        <x:v>FMIIP-RF-020</x:v>
      </x:c>
      <x:c r="B99" s="142" t="str">
        <x:v>Female-focused financial literacy campaigns</x:v>
      </x:c>
      <x:c r="C99" s="150" t="str">
        <x:v>حملات ثقافة مالية موجهة للنساء</x:v>
      </x:c>
      <x:c r="D99" s="142" t="str">
        <x:v>Jan-2025</x:v>
      </x:c>
      <x:c r="E99" s="142" t="n">
        <x:v>0</x:v>
      </x:c>
      <x:c r="F99" s="142" t="str">
        <x:v>Jun-2030</x:v>
      </x:c>
      <x:c r="G99" s="142" t="n">
        <x:v>5</x:v>
      </x:c>
      <x:c r="H99" s="142" t="str">
        <x:v>campaigns</x:v>
      </x:c>
      <x:c r="I99" s="142" t="str">
        <x:v>SRC-WB-FMIIP-P180708</x:v>
      </x:c>
      <x:c r="J99" s="142" t="str">
        <x:v>Project output target</x:v>
      </x:c>
      <x:c r="K99" s="150" t="str">
        <x:v>مستهدف لمخرج برامجي</x:v>
      </x:c>
      <x:c r="L99" s="142" t="str">
        <x:v>Activity targeting women does not itself establish measured capability change.</x:v>
      </x:c>
      <x:c r="M99" s="150" t="str">
        <x:v>توجيه النشاط للنساء لا يثبت بحد ذاته تغيرًا مقاسًا في القدرات المالية.</x:v>
      </x:c>
    </x:row>
    <x:row r="100">
      <x:c r="A100" s="142" t="str">
        <x:v>FMIIP-RF-021</x:v>
      </x:c>
      <x:c r="B100" s="142" t="str">
        <x:v>Beneficiaries satisfied with level of service</x:v>
      </x:c>
      <x:c r="C100" s="150" t="str">
        <x:v>رضا المستفيدين عن مستوى الخدمة</x:v>
      </x:c>
      <x:c r="D100" s="142" t="str">
        <x:v>Jan-2025</x:v>
      </x:c>
      <x:c r="E100" s="142" t="n">
        <x:v>0</x:v>
      </x:c>
      <x:c r="F100" s="142" t="str">
        <x:v>Jun-2030</x:v>
      </x:c>
      <x:c r="G100" s="142" t="n">
        <x:v>80</x:v>
      </x:c>
      <x:c r="H100" s="142" t="str">
        <x:v>percent</x:v>
      </x:c>
      <x:c r="I100" s="142" t="str">
        <x:v>SRC-WB-FMIIP-P180708</x:v>
      </x:c>
      <x:c r="J100" s="142" t="str">
        <x:v>Project outcome target</x:v>
      </x:c>
      <x:c r="K100" s="150" t="str">
        <x:v>مستهدف نتيجة للمشروع</x:v>
      </x:c>
      <x:c r="L100" s="142" t="str">
        <x:v>Interpret only within the project's beneficiary survey universe and method.</x:v>
      </x:c>
      <x:c r="M100" s="150" t="str">
        <x:v>يفسر فقط داخل مجتمع المستفيدين ومنهج القياس الخاص بالمشروع.</x:v>
      </x:c>
    </x:row>
    <x:row r="101">
      <x:c r="A101" s="142" t="str">
        <x:v>FMIIP-RF-022</x:v>
      </x:c>
      <x:c r="B101" s="142" t="str">
        <x:v>Female beneficiaries satisfied with level of service</x:v>
      </x:c>
      <x:c r="C101" s="150" t="str">
        <x:v>رضا المستفيدات عن مستوى الخدمة</x:v>
      </x:c>
      <x:c r="D101" s="142" t="str">
        <x:v>Jan-2025</x:v>
      </x:c>
      <x:c r="E101" s="142" t="n">
        <x:v>0</x:v>
      </x:c>
      <x:c r="F101" s="142" t="str">
        <x:v>Jun-2030</x:v>
      </x:c>
      <x:c r="G101" s="142" t="n">
        <x:v>80</x:v>
      </x:c>
      <x:c r="H101" s="142" t="str">
        <x:v>percent</x:v>
      </x:c>
      <x:c r="I101" s="142" t="str">
        <x:v>SRC-WB-FMIIP-P180708</x:v>
      </x:c>
      <x:c r="J101" s="142" t="str">
        <x:v>Project outcome target</x:v>
      </x:c>
      <x:c r="K101" s="150" t="str">
        <x:v>مستهدف نتيجة للمشروع</x:v>
      </x:c>
      <x:c r="L101" s="142" t="str">
        <x:v>Do not generalize to women nationally.</x:v>
      </x:c>
      <x:c r="M101" s="150" t="str">
        <x:v>لا يعمم على النساء في اليمن ككل.</x:v>
      </x:c>
    </x:row>
    <x:row r="102">
      <x:c r="A102" s="142" t="str">
        <x:v>FMIIP-RF-023</x:v>
      </x:c>
      <x:c r="B102" s="142" t="str">
        <x:v>Grievances addressed within stipulated time</x:v>
      </x:c>
      <x:c r="C102" s="150" t="str">
        <x:v>الشكاوى التي عولجت ضمن المدة المحددة</x:v>
      </x:c>
      <x:c r="D102" s="142" t="str">
        <x:v>Jan-2025</x:v>
      </x:c>
      <x:c r="E102" s="142" t="n">
        <x:v>0</x:v>
      </x:c>
      <x:c r="F102" s="142" t="str">
        <x:v>Jun-2030</x:v>
      </x:c>
      <x:c r="G102" s="142" t="n">
        <x:v>90</x:v>
      </x:c>
      <x:c r="H102" s="142" t="str">
        <x:v>percent</x:v>
      </x:c>
      <x:c r="I102" s="142" t="str">
        <x:v>SRC-WB-FMIIP-P180708</x:v>
      </x:c>
      <x:c r="J102" s="142" t="str">
        <x:v>Project grievance target</x:v>
      </x:c>
      <x:c r="K102" s="150" t="str">
        <x:v>مستهدف لشكاوى المشروع</x:v>
      </x:c>
      <x:c r="L102" s="142" t="str">
        <x:v>Project grievance performance is distinct from sector-wide consumer-redress performance.</x:v>
      </x:c>
      <x:c r="M102" s="150" t="str">
        <x:v>أداء آلية شكاوى المشروع مختلف عن أداء التظلم وحماية المستهلك على مستوى القطاع.</x:v>
      </x:c>
    </x:row>
    <x:row r="103">
      <x:c r="A103" s="142" t="str">
        <x:v>FMIIP-RF-024</x:v>
      </x:c>
      <x:c r="B103" s="142" t="str">
        <x:v>Female grievances addressed within stipulated time</x:v>
      </x:c>
      <x:c r="C103" s="150" t="str">
        <x:v>شكاوى النساء التي عولجت ضمن المدة المحددة</x:v>
      </x:c>
      <x:c r="D103" s="142" t="str">
        <x:v>Jan-2025</x:v>
      </x:c>
      <x:c r="E103" s="142" t="n">
        <x:v>0</x:v>
      </x:c>
      <x:c r="F103" s="142" t="str">
        <x:v>Jun-2030</x:v>
      </x:c>
      <x:c r="G103" s="142" t="n">
        <x:v>90</x:v>
      </x:c>
      <x:c r="H103" s="142" t="str">
        <x:v>percent</x:v>
      </x:c>
      <x:c r="I103" s="142" t="str">
        <x:v>SRC-WB-FMIIP-P180708</x:v>
      </x:c>
      <x:c r="J103" s="142" t="str">
        <x:v>Project grievance target</x:v>
      </x:c>
      <x:c r="K103" s="150" t="str">
        <x:v>مستهدف لشكاوى المشروع</x:v>
      </x:c>
      <x:c r="L103" s="142" t="str">
        <x:v>Project-specific metric; do not read it as sector-wide evidence.</x:v>
      </x:c>
      <x:c r="M103" s="150" t="str">
        <x:v>مقياس خاص بالمشروع؛ ولا يقرأ باعتباره دليلًا على أداء القطاع ككل.</x:v>
      </x:c>
    </x:row>
  </x:sheetData>
  <x:mergeCells>
    <x:mergeCell ref="A1:J1"/>
    <x:mergeCell ref="A2:J2"/>
    <x:mergeCell ref="A4:H4"/>
    <x:mergeCell ref="A27:G27"/>
    <x:mergeCell ref="A46:I46"/>
    <x:mergeCell ref="A60:J60"/>
    <x:mergeCell ref="A78:M7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Jan-2026</x:v>
      </x:c>
      <x:c r="E8" s="24" t="n">
        <x:v>1.6256684491978608</x:v>
      </x:c>
      <x:c r="F8" s="24" t="str">
        <x:v>percent change</x:v>
      </x:c>
      <x:c r="G8" s="24" t="str">
        <x:v>VIS-POS-TERMINALS</x:v>
      </x:c>
      <x:c r="H8" s="24" t="str">
        <x:v>Change in source-reported POS terminals from March 2025 to January 2026.</x:v>
      </x:c>
      <x:c r="I8" s="24" t="str">
        <x:v>تغير عدد أجهزة نقاط البيع المبلّغ عنها من مارس 2025 إلى يناير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Jan-2026</x:v>
      </x:c>
      <x:c r="E9" s="24" t="n">
        <x:v>1.9976294447910168</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source-displayed growth rate conflicts with raw totals; raw totals and contradiction both remain visible.</x:v>
      </x:c>
    </x:row>
    <x:row r="10">
      <x:c r="A10" s="24" t="str">
        <x:v>DA-005</x:v>
      </x:c>
      <x:c r="B10" s="24" t="str">
        <x:v>Payments</x:v>
      </x:c>
      <x:c r="C10" s="24" t="str">
        <x:v>POS transaction-value change</x:v>
      </x:c>
      <x:c r="D10" s="24" t="str">
        <x:v>Mar-2025 to Jan-2026</x:v>
      </x:c>
      <x:c r="E10" s="24" t="n">
        <x:v>2.94375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custom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custom enterprise survey</x:v>
      </x:c>
      <x:c r="K22" s="24" t="str">
        <x:v>Seven selected governorates; custom sample; not national prevalence.</x:v>
      </x:c>
    </x:row>
    <x:row r="23">
      <x:c r="A23" s="24" t="str">
        <x:v>DA-018</x:v>
      </x:c>
      <x:c r="B23" s="24" t="str">
        <x:v>Firms</x:v>
      </x:c>
      <x:c r="C23" s="24" t="str">
        <x:v>Private commercial bank share of valid loan-source responses</x:v>
      </x:c>
      <x:c r="D23" s="24" t="str">
        <x:v>2022 custom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custom enterprise survey</x:v>
      </x:c>
      <x:c r="K23" s="24" t="str">
        <x:v>Small conditional denominator (n=18).</x:v>
      </x:c>
    </x:row>
    <x:row r="24">
      <x:c r="A24" s="24" t="str">
        <x:v>DA-019</x:v>
      </x:c>
      <x:c r="B24" s="24" t="str">
        <x:v>Firms</x:v>
      </x:c>
      <x:c r="C24" s="24" t="str">
        <x:v>NBFI/microfinance share of valid loan-source responses</x:v>
      </x:c>
      <x:c r="D24" s="24" t="str">
        <x:v>2022 custom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custom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custom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observed-wave change</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observed-wave change</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1,473 in Jan-2026, while monthly POS transactions rose from 8,015 to 24,026.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custom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CON-032</x:v>
      </x:c>
      <x:c r="B120" s="24" t="str">
        <x:v>CBY foreign-currency deposit ratio denominator</x:v>
      </x:c>
      <x:c r="C120" s="24" t="str">
        <x:v>2024→2025</x:v>
      </x:c>
      <x:c r="D120" s="24" t="str">
        <x:v>Consolidated-bank deposit section reports 77.6%→68.2%; monetary-survey table reports 78.4%→71.0% under a similarly labelled ratio.</x:v>
      </x:c>
      <x:c r="E120" s="24" t="str">
        <x:v>DENOMINATOR_OR_INSTITUTIONAL_CONCEPT_DIFFERENCE</x:v>
      </x:c>
      <x:c r="F120" s="24" t="str">
        <x:v>PRESERVE_BOTH__MAP_DENOMINATORS_BEFORE_MERGE</x:v>
      </x:c>
      <x:c r="G120" s="24" t="str">
        <x:v>Show each ratio only with its source table/universe and denominator note.</x:v>
      </x:c>
      <x:c r="H120" s="24" t="str">
        <x:v>/system + /evidence/compare</x:v>
      </x:c>
      <x:c r="I120"/>
      <x:c r="J120"/>
      <x:c r="K120"/>
    </x:row>
    <x:row r="121">
      <x:c r="A121" s="24" t="str">
        <x:v>CON-033</x:v>
      </x:c>
      <x:c r="B121" s="24" t="str">
        <x:v>CBY publication streams / direct accessibility</x:v>
      </x:c>
      <x:c r="C121" s="24" t="str">
        <x:v>historical + 2024 + review 2026-09-10</x:v>
      </x:c>
      <x:c r="D121" s="24" t="str">
        <x:v>CBY-Aden indexed corpus is directly accessible; other historical/Sana'a-issued evidence is locatable through attested primary locators, institutional reproductions or mirrors while direct centralbank.gov.ye access is unresolved.</x:v>
      </x:c>
      <x:c r="E121" s="24" t="str">
        <x:v>SOURCE_STREAM_ACCESS_NOT_EVIDENCE_ABSENCE</x:v>
      </x:c>
      <x:c r="F121" s="24" t="str">
        <x:v>KEEP_ISSUER_STREAM_CUSTODY_SCOPE_SEPARATE</x:v>
      </x:c>
      <x:c r="G121" s="24" t="str">
        <x:v>Access failure may be shown as access/custody state; never as proof that evidence does not exist.</x:v>
      </x:c>
      <x:c r="H121" s="24" t="str">
        <x:v>/evidence + /methodology</x:v>
      </x:c>
      <x:c r="I121"/>
      <x:c r="J121"/>
      <x:c r="K121"/>
    </x:row>
    <x:row r="122">
      <x:c r="A122" s="24" t="str">
        <x:v>CON-034</x:v>
      </x:c>
      <x:c r="B122" s="24" t="str">
        <x:v>CBY long-run statistical methodology vintages</x:v>
      </x:c>
      <x:c r="C122" s="24" t="str">
        <x:v>from 2008-08 / 2014-11 / later revisions</x:v>
      </x:c>
      <x:c r="D122" s="24" t="str">
        <x:v>Historical bulletin methodology/presentation changes coexist with newer methodology revisions in later reporting.</x:v>
      </x:c>
      <x:c r="E122" s="24" t="str">
        <x:v>METHODOLOGY_VINTAGE_BREAKS</x:v>
      </x:c>
      <x:c r="F122" s="24" t="str">
        <x:v>VERSION_SERIES_SEGMENTS__NO_SMOOTH_JOIN</x:v>
      </x:c>
      <x:c r="G122" s="24" t="str">
        <x:v>Long-run charts require method-vintage markers and indicator-level comparability checks.</x:v>
      </x:c>
      <x:c r="H122" s="24" t="str">
        <x:v>/system + /methodology</x:v>
      </x:c>
      <x:c r="I122"/>
      <x:c r="J122"/>
      <x:c r="K122"/>
    </x:row>
    <x:row r="123">
      <x:c r="A123" s="24" t="str">
        <x:v>CON-035</x:v>
      </x:c>
      <x:c r="B123" s="24" t="str">
        <x:v>CBY bilingual/mixed-layout PDF extraction order</x:v>
      </x:c>
      <x:c r="C123" s="24" t="str">
        <x:v>corpus-wide</x:v>
      </x:c>
      <x:c r="D123" s="24" t="str">
        <x:v>Text extraction order in some Arabic/English tables can differ from visual column order, creating year/value inversion risk.</x:v>
      </x:c>
      <x:c r="E123" s="24" t="str">
        <x:v>EXTRACTION_ORDER_RISK</x:v>
      </x:c>
      <x:c r="F123" s="24" t="str">
        <x:v>VERIFY_TABLE_HEADER_NARRATIVE_AND_VISUAL_CONTEXT</x:v>
      </x:c>
      <x:c r="G123" s="24" t="str">
        <x:v>Ambiguous parsed tables remain HOLD until visual/context verification resolves value assignment.</x:v>
      </x:c>
      <x:c r="H123" s="24" t="str">
        <x:v>internal evidence QA + /methodology</x:v>
      </x:c>
      <x:c r="I123"/>
      <x:c r="J123"/>
      <x:c r="K123"/>
    </x:row>
    <x:row r="124">
      <x:c r="A124" s="24" t="str">
        <x:v>CON-036</x:v>
      </x:c>
      <x:c r="B124" s="24" t="str">
        <x:v>CBY series-specific freshness</x:v>
      </x:c>
      <x:c r="C124" s="24" t="str">
        <x:v>reviewed 2026-09-10</x:v>
      </x:c>
      <x:c r="D124" s="24" t="str">
        <x:v>Monthly monetary/financial index reaches May-2026 while monthly POS reaches Jan-2026; annual/snapshot products have other vintages.</x:v>
      </x:c>
      <x:c r="E124" s="24" t="str">
        <x:v>TEMPORAL_CURRENTNESS_NOT_ERROR</x:v>
      </x:c>
      <x:c r="F124" s="24" t="str">
        <x:v>STORE_CURRENTNESS_PER_SERIES_OBJECT</x:v>
      </x:c>
      <x:c r="G124" s="24" t="str">
        <x:v>Use exact observation/publication/review dates; never inherit freshness from publisher-level labels.</x:v>
      </x:c>
      <x:c r="H124" s="24" t="str">
        <x:v>/evidence + /methodology</x:v>
      </x:c>
      <x:c r="I124"/>
      <x:c r="J124"/>
      <x:c r="K124"/>
    </x:row>
    <x:row r="125">
      <x:c r="A125" s="24" t="str">
        <x:v>CON-037</x:v>
      </x:c>
      <x:c r="B125" s="24" t="str">
        <x:v>Exchange Law number / source identity</x:v>
      </x:c>
      <x:c r="C125" s="24" t="str">
        <x:v>1995 law; current CBY hosting and 2026 enforcement citations</x:v>
      </x:c>
      <x:c r="D125" s="24" t="str">
        <x:v>CBY-hosted law PDF title identifies Decree-Law No. 20/1995, while current 2026 CBY decisions cite Law No. 19/1995 amended by Decree No. 15/1996; government legal index corroborates 19/1995.</x:v>
      </x:c>
      <x:c r="E125" s="24" t="str">
        <x:v>LEGAL_SOURCE_IDENTITY_CONFLICT</x:v>
      </x:c>
      <x:c r="F125" s="24" t="str">
        <x:v>PRESERVE_HOSTED_IDENTITY_AND_CURRENT_CITATION__GAZETTE_RESOLUTION_REQUIRED</x:v>
      </x:c>
      <x:c r="G125" s="24" t="str">
        <x:v>Show the discrepancy if the legal citation matters; do not silently rewrite the hosted source.</x:v>
      </x:c>
      <x:c r="H125" s="24" t="str">
        <x:v>/providers + /payments/remittances + /reforms/regulation + /evidence/compare</x:v>
      </x:c>
      <x:c r="I125"/>
      <x:c r="J125"/>
      <x:c r="K125"/>
    </x:row>
    <x:row r="126">
      <x:c r="A126" s="24" t="str">
        <x:v>CON-038</x:v>
      </x:c>
      <x:c r="B126" s="24" t="str">
        <x:v>Deposit Insurance Corporation Law number</x:v>
      </x:c>
      <x:c r="C126" s="24" t="str">
        <x:v>2008</x:v>
      </x:c>
      <x:c r="D126" s="24" t="str">
        <x:v>CBY lists/hosts the law; Ministry of Justice public registry identifies Law No. 21/2008 while another government legal library identifies Law No. 40/2008.</x:v>
      </x:c>
      <x:c r="E126" s="24" t="str">
        <x:v>CROSS_GOVERNMENT_LEGAL_IDENTITY_CONFLICT</x:v>
      </x:c>
      <x:c r="F126" s="24" t="str">
        <x:v>HOLD_DEFINITIVE_LAW_NUMBER__VERIFY_GAZETTE_OR_AUTHORITATIVE_SCAN</x:v>
      </x:c>
      <x:c r="G126" s="24" t="str">
        <x:v>Existence may be stated; definitive number and operative clauses remain held until source identity is resolved.</x:v>
      </x:c>
      <x:c r="H126" s="24" t="str">
        <x:v>/reforms/regulation + /system + /evidence/compare</x:v>
      </x:c>
      <x:c r="I126"/>
      <x:c r="J126"/>
      <x:c r="K126"/>
    </x:row>
    <x:row r="127">
      <x:c r="A127" s="24" t="str">
        <x:v>CON-039</x:v>
      </x:c>
      <x:c r="B127" s="24" t="str">
        <x:v>CBY static web-page availability versus content vintage</x:v>
      </x:c>
      <x:c r="C127" s="24" t="str">
        <x:v>review 2026-09-10</x:v>
      </x:c>
      <x:c r="D127" s="24" t="str">
        <x:v>Official static pages are accessible at review time but several do not display a publication/effective date; some use current-tense language.</x:v>
      </x:c>
      <x:c r="E127" s="24" t="str">
        <x:v>TEMPORAL_METADATA_AMBIGUITY</x:v>
      </x:c>
      <x:c r="F127" s="24" t="str">
        <x:v>SEPARATE_RETRIEVAL_REVIEW_DATE_FROM_CONTENT_EFFECTIVE_DATE</x:v>
      </x:c>
      <x:c r="G127" s="24" t="str">
        <x:v>Attribute page-described state and show review date; do not present as a dated 2026 operating observation without corroboration.</x:v>
      </x:c>
      <x:c r="H127" s="24" t="str">
        <x:v>/methodology + affected domain routes</x:v>
      </x:c>
      <x:c r="I127"/>
      <x:c r="J127"/>
      <x:c r="K127"/>
    </x:row>
    <x:row r="128">
      <x:c r="A128" s="24" t="str">
        <x:v>CON-040</x:v>
      </x:c>
      <x:c r="B128" s="24" t="str">
        <x:v>CBY annual-report same-year value revisions</x:v>
      </x:c>
      <x:c r="C128" s="24" t="str">
        <x:v>2022–2025 annual-report vintages</x:v>
      </x:c>
      <x:c r="D128" s="24" t="str">
        <x:v>Successive CBY annual reports can publish materially different values for the same reference year across remittances and selected banking stocks.</x:v>
      </x:c>
      <x:c r="E128" s="24" t="str">
        <x:v>PUBLICATION_VINTAGE_REVISION</x:v>
      </x:c>
      <x:c r="F128" s="24" t="str">
        <x:v>PRESERVE_REFERENCE_YEAR_PLUS_REPORT_VINTAGE_PLUS_METHOD_BASIS</x:v>
      </x:c>
      <x:c r="G128" s="24" t="str">
        <x:v>Show revision history and latest controlled vintage; do not overwrite or convert revision into time change.</x:v>
      </x:c>
      <x:c r="H128" s="24" t="str">
        <x:v>/system + /payments/remittances + /evidence/compare</x:v>
      </x:c>
      <x:c r="I128"/>
      <x:c r="J128"/>
      <x:c r="K128"/>
    </x:row>
    <x:row r="129">
      <x:c r="A129" s="24" t="str">
        <x:v>CON-041</x:v>
      </x:c>
      <x:c r="B129" s="24" t="str">
        <x:v>CBY workers' remittance annual-report vintages</x:v>
      </x:c>
      <x:c r="C129" s="24" t="str">
        <x:v>2021–2025 reference years</x:v>
      </x:c>
      <x:c r="D129" s="24" t="str">
        <x:v>AR2025 materially restates 2021–2024 remittance levels below AR2024 and produces a much smoother published growth path; exact compilation driver is unresolved.</x:v>
      </x:c>
      <x:c r="E129" s="24" t="str">
        <x:v>SERIES_REVISION__METHOD_DRIVER_OPEN</x:v>
      </x:c>
      <x:c r="F129" s="24" t="str">
        <x:v>PRESERVE_VINTAGES__PUBLISH_PATTERN_NOT_CAUSE</x:v>
      </x:c>
      <x:c r="G129" s="24" t="str">
        <x:v>Both vintage histories may be shown; causal/method explanation remains explicitly open.</x:v>
      </x:c>
      <x:c r="H129" s="24" t="str">
        <x:v>/payments/remittances + /evidence/compare</x:v>
      </x:c>
      <x:c r="I129"/>
      <x:c r="J129"/>
      <x:c r="K129"/>
    </x:row>
    <x:row r="130">
      <x:c r="A130" s="24" t="str">
        <x:v>CON-042</x:v>
      </x:c>
      <x:c r="B130" s="24" t="str">
        <x:v>CBY 2022 consolidated banking values across valuation bases</x:v>
      </x:c>
      <x:c r="C130" s="24" t="str">
        <x:v>2022 reference year / AR2022 vs AR2023+</x:v>
      </x:c>
      <x:c r="D130" s="24" t="str">
        <x:v>AR2023+ restates 2022 banking assets, private loans, deposits and FX deposits above AR2022; AR2023 documents market-exchange-rate valuation of foreign positions from Jan-2023.</x:v>
      </x:c>
      <x:c r="E130" s="24" t="str">
        <x:v>VALUATION_BASIS_BREAK</x:v>
      </x:c>
      <x:c r="F130" s="24" t="str">
        <x:v>SEGMENT_METHOD_VINTAGE__NO_TEMPORAL_GROWTH_FROM_RESTATEMENT</x:v>
      </x:c>
      <x:c r="G130" s="24" t="str">
        <x:v>Same-year restatement may display with method note; economic growth uses method-compatible periods only.</x:v>
      </x:c>
      <x:c r="H130" s="24" t="str">
        <x:v>/system + /firms + /evidence/compare</x:v>
      </x:c>
      <x:c r="I130"/>
      <x:c r="J130"/>
      <x:c r="K130"/>
    </x:row>
    <x:row r="131">
      <x:c r="A131" s="24" t="str">
        <x:v>CON-043</x:v>
      </x:c>
      <x:c r="B131" s="24" t="str">
        <x:v>CBY AR2025 remittance reconstruction versus IMF methodological reconstruction</x:v>
      </x:c>
      <x:c r="C131" s="24" t="str">
        <x:v>2021–2025 / TA 2024–2025</x:v>
      </x:c>
      <x:c r="D131" s="24" t="str">
        <x:v>IMF documents a CBY-linked external-sector statistical rebuild and demographic-behavioral transfer model; CBY AR2025 then materially revises the remittance history. Their normalized 2021–2024 paths are nearly identical while reported levels/scopes differ.</x:v>
      </x:c>
      <x:c r="E131" s="24" t="str">
        <x:v>DOCUMENTED_METHOD_LINK_PLUS_CROSS_SOURCE_TRAJECTORY_CONCORDANCE</x:v>
      </x:c>
      <x:c r="F131" s="24" t="str">
        <x:v>TREAT_METHOD_REBUILD_AS_HIGH_CONFIDENCE_LINK__KEEP_EXACT_CONCEPT_GEOGRAPHY_LEVEL_MAPPING_OPEN</x:v>
      </x:c>
      <x:c r="G131" s="24" t="str">
        <x:v>Publish the method linkage and normalized trajectory diagnostic; do not merge raw levels or reverse-engineer the scaling factor.</x:v>
      </x:c>
      <x:c r="H131" s="24" t="str">
        <x:v>/payments/remittances + /evidence/compare + /methodology</x:v>
      </x:c>
    </x:row>
    <x:row r="132">
      <x:c r="A132" s="24" t="str">
        <x:v>CON-044</x:v>
      </x:c>
      <x:c r="B132" s="24" t="str">
        <x:v>Historical foreign-currency market-rate valuation versus Jan-2023 CBY-Aden change</x:v>
      </x:c>
      <x:c r="C132" s="24" t="str">
        <x:v>1996 historical metadata / 2023 contemporary reporting</x:v>
      </x:c>
      <x:c r="D132" s="24" t="str">
        <x:v>IMF metadata records market-rate valuation of foreign-currency-denominated accounts from Jul-1996, while CBY-Aden AR2023/MFD document a Jan-2023 valuation/reporting change and circular basis.</x:v>
      </x:c>
      <x:c r="E132" s="24" t="str">
        <x:v>METHOD_LINEAGE_NOT_FIRST_USE_CONFLICT</x:v>
      </x:c>
      <x:c r="F132" s="24" t="str">
        <x:v>NARROW_2023_CLAIM__PRESERVE_HISTORICAL_PRECEDENT__VERIFY_LINEAGE</x:v>
      </x:c>
      <x:c r="G132" s="24" t="str">
        <x:v>Use 'contemporary Jan-2023 CBY-Aden change', not 'first use of market rates in Yemen'.</x:v>
      </x:c>
      <x:c r="H132" s="24" t="str">
        <x:v>/system + /firms + /methodology + /evidence/compare</x:v>
      </x:c>
    </x:row>
    <x:row r="133">
      <x:c r="A133" s="24" t="str">
        <x:v>CON-045</x:v>
      </x:c>
      <x:c r="B133" s="24" t="str">
        <x:v>World Bank/WDI Yemen remittance public-interface &amp; access-vintage state</x:v>
      </x:c>
      <x:c r="C133" s="24" t="str">
        <x:v>Different interface/access states reviewed across 2025–2026</x:v>
      </x:c>
      <x:c r="D133"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3" s="24" t="str">
        <x:v>PUBLIC_INTERFACE_AND_ACCESS_VINTAGE_DIVERGENCE</x:v>
      </x:c>
      <x:c r="F133" s="24" t="str">
        <x:v>PRESERVE_EXACT_INTERFACE_URL_INDICATOR_RETRIEVAL_DATE__NO_DATA_ABSENCE_OR_REVISION_CAUSE_INFERENCE</x:v>
      </x:c>
      <x:c r="G133" s="24" t="str">
        <x:v>Each public surface/prior publication may be used as evidence of what it exposed at its access date; underlying dataset history remains a separate question.</x:v>
      </x:c>
      <x:c r="H133" s="24" t="str">
        <x:v>/payments/remittances + /evidence + /methodology</x:v>
      </x:c>
    </x:row>
    <x:row r="134">
      <x:c r="A134" s="24" t="str">
        <x:v>CON-046</x:v>
      </x:c>
      <x:c r="B134" s="24" t="str">
        <x:v>Single CBY↔IMF BOP scalar hypothesis</x:v>
      </x:c>
      <x:c r="C134" s="24" t="str">
        <x:v>2021–2024 overlap</x:v>
      </x:c>
      <x:c r="D134" s="24" t="str">
        <x:v>Remittance ratios are almost constant, but ratios for imports, grants, current account and E&amp;O vary materially; IMF Annex IV documents component-specific reconstruction methods.</x:v>
      </x:c>
      <x:c r="E134" s="24" t="str">
        <x:v>CROSSWALK_HYPOTHESIS_CONTRADICTED_BY_COMPONENTS</x:v>
      </x:c>
      <x:c r="F134" s="24" t="str">
        <x:v>REJECT_GLOBAL_SCALAR__USE_COMPONENT_CROSSWALKS</x:v>
      </x:c>
      <x:c r="G134" s="24" t="str">
        <x:v>A single conversion factor is not supported for the BOP. The remittance fingerprint remains separately open.</x:v>
      </x:c>
      <x:c r="H134" s="24" t="str">
        <x:v>/system;/remittances;/methodology</x:v>
      </x:c>
    </x:row>
    <x:row r="135">
      <x:c r="A135" s="24" t="str">
        <x:v>CON-047</x:v>
      </x:c>
      <x:c r="B135" s="24" t="str">
        <x:v>BOP residual versus hidden-flow interpretation</x:v>
      </x:c>
      <x:c r="C135" s="24" t="str">
        <x:v>2021–2025</x:v>
      </x:c>
      <x:c r="D135" s="24" t="str">
        <x:v>CBY and IMF publish material E&amp;O; BPM accounting treats it as a balancing residual while CCY uses an explicit residual model to estimate remittances.</x:v>
      </x:c>
      <x:c r="E135" s="24" t="str">
        <x:v>RESIDUAL_SEMANTICS_VS_MODEL_IDENTIFICATION</x:v>
      </x:c>
      <x:c r="F135" s="24" t="str">
        <x:v>KEEP_EO_AS_RESIDUAL__TYPE_ANY_ALLOCATION_AS_MODEL</x:v>
      </x:c>
      <x:c r="G135" s="24" t="str">
        <x:v>Show E&amp;O scale and alternative model assumptions separately.</x:v>
      </x:c>
      <x:c r="H135" s="24" t="str">
        <x:v>/system;/remittances;/evidence</x:v>
      </x:c>
    </x:row>
    <x:row r="136">
      <x:c r="A136" s="24" t="str">
        <x:v>CON-048</x:v>
      </x:c>
      <x:c r="B136" s="24" t="str">
        <x:v>CBY capital/financial inflows vs IMF financial account</x:v>
      </x:c>
      <x:c r="C136" s="24" t="str">
        <x:v>2021–2025</x:v>
      </x:c>
      <x:c r="D136" s="24" t="str">
        <x:v>CBY presentation uses inflow language while IMF Table 4 follows a BPM financial-account sign convention and instrument classification.</x:v>
      </x:c>
      <x:c r="E136" s="24" t="str">
        <x:v>SIGN_AND_CLASSIFICATION_NONCOMPARABILITY</x:v>
      </x:c>
      <x:c r="F136" s="24" t="str">
        <x:v>NO_RAW_RATIO_OR_ADDITION_UNTIL_INSTRUMENT_CROSSWALK</x:v>
      </x:c>
      <x:c r="G136" s="24" t="str">
        <x:v>Require XR-012 and the BOP/IIP reconciliation contract.</x:v>
      </x:c>
      <x:c r="H136" s="24" t="str">
        <x:v>/system;/external-sector;/methodology</x:v>
      </x:c>
    </x:row>
    <x:row r="137">
      <x:c r="A137" s="24" t="str">
        <x:v>CON-049</x:v>
      </x:c>
      <x:c r="B137" s="24" t="str">
        <x:v>Current whole-Yemen and IRG external-sector lenses</x:v>
      </x:c>
      <x:c r="C137" s="24" t="str">
        <x:v>2025/2026 publications</x:v>
      </x:c>
      <x:c r="D137" s="24" t="str">
        <x:v>Credible institutions use different geographic/statistical universes for current Yemen external-sector analysis.</x:v>
      </x:c>
      <x:c r="E137" s="24" t="str">
        <x:v>GEOGRAPHIC_SCOPE_DIVERGENCE</x:v>
      </x:c>
      <x:c r="F137" s="24" t="str">
        <x:v>SCOPE_TRAVELS_WITH_EVERY_DATUM</x:v>
      </x:c>
      <x:c r="G137" s="24" t="str">
        <x:v>Parallel lenses can both be valid; do not choose a winner or silently merge.</x:v>
      </x:c>
      <x:c r="H137" s="24" t="str">
        <x:v>/system;/remittances;/methodology</x:v>
      </x:c>
    </x:row>
    <x:row r="138">
      <x:c r="A138" s="24" t="str">
        <x:v>CON-050</x:v>
      </x:c>
      <x:c r="B138" s="24" t="str">
        <x:v>Saudi support parent packages versus child tranches/states</x:v>
      </x:c>
      <x:c r="C138" s="24" t="str">
        <x:v>2010–2026</x:v>
      </x:c>
      <x:c r="D138" s="24" t="str">
        <x:v>Pledges, commitments, deposits, amounts made available, budget disbursements, FX-auction use, in-kind support and project totals can overlap.</x:v>
      </x:c>
      <x:c r="E138" s="24" t="str">
        <x:v>FLOW_STATE_DOUBLE_COUNT_RISK</x:v>
      </x:c>
      <x:c r="F138" s="24" t="str">
        <x:v>PARENT_CHILD_AND_STATE_MUST_BE_EXPLICIT</x:v>
      </x:c>
      <x:c r="G138" s="24" t="str">
        <x:v>Use 190 flow-state ledger; no synthetic additive headline.</x:v>
      </x:c>
      <x:c r="H138" s="24" t="str">
        <x:v>/external-support;/system</x:v>
      </x:c>
    </x:row>
    <x:row r="139">
      <x:c r="A139" s="24" t="str">
        <x:v>CON-051</x:v>
      </x:c>
      <x:c r="B139" s="24" t="str">
        <x:v>Cash programme activity versus durable financial inclusion</x:v>
      </x:c>
      <x:c r="C139" s="24" t="str">
        <x:v>2023–2026 evidence</x:v>
      </x:c>
      <x:c r="D139" s="24" t="str">
        <x:v>Programme delivery, VSLAs/identity targets, local multipliers and payment rails are observed/planned at different stages, but durable post-transfer account/wallet use is not yet established.</x:v>
      </x:c>
      <x:c r="E139" s="24" t="str">
        <x:v>ACTIVITY_ACCESS_USE_OUTCOME_CONFLATION_RISK</x:v>
      </x:c>
      <x:c r="F139" s="24" t="str">
        <x:v>STOP_CLAIM_AT_LAST_EVIDENCED_STAGE</x:v>
      </x:c>
      <x:c r="G139" s="24" t="str">
        <x:v>Use the seven-stage cash→finance proof ladder.</x:v>
      </x:c>
      <x:c r="H139" s="24" t="str">
        <x:v>/cash;/people;/payments</x:v>
      </x:c>
    </x:row>
    <x:row r="140">
      <x:c r="A140" s="24" t="str">
        <x:v>CON-052</x:v>
      </x:c>
      <x:c r="B140" s="24" t="str">
        <x:v>Statistical standard migration</x:v>
      </x:c>
      <x:c r="C140" s="24" t="str">
        <x:v>BPM6-era Yemen evidence vs BPM7 released 2025</x:v>
      </x:c>
      <x:c r="D140" s="24" t="str">
        <x:v>BPM7 is the updated global standard, but country implementation is a multi-year transition; historical Yemen series retain their source-native standard until an explicit bridge/revision exists.</x:v>
      </x:c>
      <x:c r="E140" s="24" t="str">
        <x:v>STANDARD_VERSION_RISK</x:v>
      </x:c>
      <x:c r="F140" s="24" t="str">
        <x:v>VERSION_STANDARD_WITH_SERIES__NO_SILENT_RELABEL</x:v>
      </x:c>
      <x:c r="G140" s="24" t="str">
        <x:v>Create BPM7 migration watch; preserve historical semantics.</x:v>
      </x:c>
      <x:c r="H140" s="24" t="str">
        <x:v>/methodology;/external-sector</x:v>
      </x:c>
    </x:row>
    <x:row r="141">
      <x:c r="A141" s="24" t="str">
        <x:v>CON-053</x:v>
      </x:c>
      <x:c r="B141" s="24" t="str">
        <x:v>IBS electronic-money accounts vs active/unique users</x:v>
      </x:c>
      <x:c r="C141" s="24" t="str">
        <x:v>2016–2019</x:v>
      </x:c>
      <x:c r="D141" s="24" t="str">
        <x:v>IBS Table 3 reports account objects while the same source reports average 23% dormant/inactive in 2019; later literature sometimes relabels counts as active users.</x:v>
      </x:c>
      <x:c r="E141" s="24" t="str">
        <x:v>ACCOUNT_ACTIVITY_PERSON_SEMANTIC_CONFLICT</x:v>
      </x:c>
      <x:c r="F141" s="24" t="str">
        <x:v>ACCOUNT_COUNT_GOVERNS__ACTIVE_AND_PERSON_REQUIRE_SEPARATE_EVIDENCE</x:v>
      </x:c>
      <x:c r="G141" s="24" t="str">
        <x:v>Publish account count only with Evidence Passport and source activity qualifier.</x:v>
      </x:c>
      <x:c r="H141" s="24" t="str">
        <x:v>/payments;/people;/methodology</x:v>
      </x:c>
    </x:row>
    <x:row r="142">
      <x:c r="A142" s="24" t="str">
        <x:v>CON-054</x:v>
      </x:c>
      <x:c r="B142" s="24" t="str">
        <x:v>IBS Table 8 vs secondary 2018 subshares</x:v>
      </x:c>
      <x:c r="C142" s="24" t="n">
        <x:v>2018</x:v>
      </x:c>
      <x:c r="D142" s="24" t="str">
        <x:v>A rounded 95% broad grouping is reproducible, but secondary 9% cash-out and 1% bill/purchase subshares do not reproduce from the evident Table 8 denominator.</x:v>
      </x:c>
      <x:c r="E142" s="24" t="str">
        <x:v>SECONDARY_GROUPING_DENOMINATOR_OPEN</x:v>
      </x:c>
      <x:c r="F142" s="24" t="str">
        <x:v>PRIMARY_TABLE_PLUS_EXPLICIT_DERIVATION_GOVERNS</x:v>
      </x:c>
      <x:c r="G142" s="24" t="str">
        <x:v>Withhold unreproduced subshares; expose calculation if any derived percentage is shown.</x:v>
      </x:c>
      <x:c r="H142" s="24" t="str">
        <x:v>/payments;/evidence/compare</x:v>
      </x:c>
    </x:row>
    <x:row r="143">
      <x:c r="A143" s="24" t="str">
        <x:v>CON-055</x:v>
      </x:c>
      <x:c r="B143" s="24" t="str">
        <x:v>IBS 2017 transaction-value total vs Arabic secondary transcription</x:v>
      </x:c>
      <x:c r="C143" s="24" t="n">
        <x:v>2017</x:v>
      </x:c>
      <x:c r="D143" s="24" t="str">
        <x:v>Original category arithmetic supports YER 11,393,123,266 while a later Arabic footnote shows 113,393,123,266.</x:v>
      </x:c>
      <x:c r="E143" s="24" t="str">
        <x:v>SECONDARY_TRANSCRIPTION_ERROR</x:v>
      </x:c>
      <x:c r="F143" s="24" t="str">
        <x:v>PRIMARY_TABLE_ARITHMETIC_GOVERNS</x:v>
      </x:c>
      <x:c r="G143" s="24" t="str">
        <x:v>Use 11.393bn; retain extra-digit form only as discrepancy evidence.</x:v>
      </x:c>
      <x:c r="H143" s="24" t="str">
        <x:v>/payments;/evidence/compare</x:v>
      </x:c>
    </x:row>
    <x:row r="144">
      <x:c r="A144" s="24" t="str">
        <x:v>CON-056</x:v>
      </x:c>
      <x:c r="B144" s="24" t="str">
        <x:v>IBS provider gender distribution vs 611-user survey composition</x:v>
      </x:c>
      <x:c r="C144" s="24" t="str">
        <x:v>2016–2019</x:v>
      </x:c>
      <x:c r="D144" s="24" t="str">
        <x:v>Provider/account-user average is 87% male/13% female, whereas the study's 611-user sample is 73.5% male/26.5% female.</x:v>
      </x:c>
      <x:c r="E144" s="24" t="str">
        <x:v>DIFFERENT_UNIVERSE_METHOD_NOT_CONTRADICTION</x:v>
      </x:c>
      <x:c r="F144" s="24" t="str">
        <x:v>TYPE_AND_DISPLAY_SEPARATELY</x:v>
      </x:c>
      <x:c r="G144" s="24" t="str">
        <x:v>Never blend or use either as national adult gender prevalence.</x:v>
      </x:c>
      <x:c r="H144" s="24" t="str">
        <x:v>/people;/payments;/methodology</x:v>
      </x:c>
    </x:row>
    <x:row r="145">
      <x:c r="A145" s="24" t="str">
        <x:v>CON-057</x:v>
      </x:c>
      <x:c r="B145" s="24" t="str">
        <x:v>Al-Kuraimi 91% concentration metric</x:v>
      </x:c>
      <x:c r="C145" s="24" t="str">
        <x:v>2023 state / 2024 vs 2025 publications</x:v>
      </x:c>
      <x:c r="D145"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5" s="24" t="str">
        <x:v>SEMANTIC_HIERARCHY_RESOLVED__2023_CALCULATION_OPEN</x:v>
      </x:c>
      <x:c r="F145" s="24" t="str">
        <x:v>ALLOW_SOURCE_ATTRIBUTED_GROWTH_SHARE_WITH_CALCULATION_OPEN__WITHHOLD_2023_STOCK_SHARE</x:v>
      </x:c>
      <x:c r="G145" s="24" t="str">
        <x:v>Show 91% only as source-attributed saver-growth share with calculation-open badge; show the 2025 stock-share wording only as an unsupported later restatement until primary 2023 numerator/denominator or correction is recovered.</x:v>
      </x:c>
      <x:c r="H145" s="24" t="str">
        <x:v>/finance/microfinance;/evidence/compare</x:v>
      </x:c>
    </x:row>
    <x:row r="146">
      <x:c r="A146" s="24" t="str">
        <x:v>CON-058</x:v>
      </x:c>
      <x:c r="B146" s="24" t="str">
        <x:v>Active borrowers June vs end-2023</x:v>
      </x:c>
      <x:c r="C146" s="24" t="str">
        <x:v>2023-06 vs 2023 end</x:v>
      </x:c>
      <x:c r="D146" s="24" t="str">
        <x:v>A 2024 social-protection paper reports ~80,800 active borrowers by June 2023 citing MoPIC Issue 80; a separate 2024 MFB paper reports 78,686 by end-2023 citing the SFD/SMED archive.</x:v>
      </x:c>
      <x:c r="E146" s="24" t="str">
        <x:v>DIFFERENT_PERIOD_AND_SOURCE_CHAIN_NOT_CONTRADICTION</x:v>
      </x:c>
      <x:c r="F146" s="24" t="str">
        <x:v>TYPE_AS_SEPARATE_OBSERVATIONS__NO_WITHIN_YEAR_CHANGE_WITHOUT_UNIVERSE_BRIDGE</x:v>
      </x:c>
      <x:c r="G146" s="24" t="str">
        <x:v>Both may be shown as bounded period-specific observations, but not connected as a trend line until source universes are reconciled.</x:v>
      </x:c>
      <x:c r="H146" s="24" t="str">
        <x:v>/finance/microfinance;/evidence-clock</x:v>
      </x:c>
    </x:row>
    <x:row r="147">
      <x:c r="A147" s="24" t="str">
        <x:v>CON-059</x:v>
      </x:c>
      <x:c r="B147" s="24" t="str">
        <x:v>2023 saver concentration semantics</x:v>
      </x:c>
      <x:c r="C147" s="24" t="str">
        <x:v>2016–2023 wording / 2023 endpoint</x:v>
      </x:c>
      <x:c r="D147" s="24" t="str">
        <x:v>The 2024 paper reports 3.3m active MFB savers in 2023 and 96% vs 4% shares 'between 2016 and 2023', but the accessible prose does not establish whether 96/4 is a 2023 stock split, a period-average, or another aggregation.</x:v>
      </x:c>
      <x:c r="E147" s="24" t="str">
        <x:v>PERIOD_DENOMINATOR_AMBIGUITY</x:v>
      </x:c>
      <x:c r="F147" s="24" t="str">
        <x:v>ALLOW_3.3M_AS_BOUNDED_SOURCE_OBJECT__WITHHOLD_EXACT_96_4_PUBLIC_SPLIT</x:v>
      </x:c>
      <x:c r="G147" s="24" t="str">
        <x:v>Use saver scale only with object-definition warning; precise 96/4 concentration chart remains held.</x:v>
      </x:c>
      <x:c r="H147" s="24" t="str">
        <x:v>/finance/microfinance;/people;/evidence/compare</x:v>
      </x:c>
    </x:row>
    <x:row r="150">
      <x:c r="A150" s="70" t="str">
        <x:v>Metric crosswalk</x:v>
      </x:c>
      <x:c r="B150" s="70"/>
      <x:c r="C150" s="70"/>
      <x:c r="D150" s="70"/>
      <x:c r="E150" s="70"/>
      <x:c r="F150" s="70"/>
      <x:c r="G150" s="70"/>
      <x:c r="H150" s="70"/>
      <x:c r="I150" s="70"/>
      <x:c r="J150" s="70"/>
      <x:c r="K150" s="70"/>
      <x:c r="L150" s="70"/>
      <x:c r="M150" s="70"/>
      <x:c r="N150" s="70"/>
    </x:row>
    <x:row r="151">
      <x:c r="A151" s="73" t="str">
        <x:v>crosswalk_id</x:v>
      </x:c>
      <x:c r="B151" s="73" t="str">
        <x:v>concept</x:v>
      </x:c>
      <x:c r="C151" s="73" t="str">
        <x:v>project_state</x:v>
      </x:c>
      <x:c r="D151" s="73" t="str">
        <x:v>project_year</x:v>
      </x:c>
      <x:c r="E151" s="73" t="str">
        <x:v>project_value</x:v>
      </x:c>
      <x:c r="F151" s="73" t="str">
        <x:v>project_unit</x:v>
      </x:c>
      <x:c r="G151" s="73" t="str">
        <x:v>related_admin_metric</x:v>
      </x:c>
      <x:c r="H151" s="73" t="str">
        <x:v>admin_year</x:v>
      </x:c>
      <x:c r="I151" s="73" t="str">
        <x:v>admin_value</x:v>
      </x:c>
      <x:c r="J151" s="73" t="str">
        <x:v>admin_unit</x:v>
      </x:c>
      <x:c r="K151" s="73" t="str">
        <x:v>compatibility_state</x:v>
      </x:c>
      <x:c r="L151" s="73" t="str">
        <x:v>use_rule</x:v>
      </x:c>
      <x:c r="M151" s="73" t="str">
        <x:v>project_source</x:v>
      </x:c>
      <x:c r="N151" s="73" t="str">
        <x:v>admin_source</x:v>
      </x:c>
    </x:row>
    <x:row r="152">
      <x:c r="A152" s="24" t="str">
        <x:v>XW-FMIIP-001</x:v>
      </x:c>
      <x:c r="B152" s="24" t="str">
        <x:v>Active bank accounts</x:v>
      </x:c>
      <x:c r="C152" s="24" t="str">
        <x:v>FMIIP baseline</x:v>
      </x:c>
      <x:c r="D152" s="24" t="n">
        <x:v>2025</x:v>
      </x:c>
      <x:c r="E152" s="24" t="n">
        <x:v>1062441</x:v>
      </x:c>
      <x:c r="F152" s="24" t="str">
        <x:v>accounts</x:v>
      </x:c>
      <x:c r="G152" s="24" t="str">
        <x:v>CBY H1 2025 reported accounts</x:v>
      </x:c>
      <x:c r="H152" s="24" t="n">
        <x:v>2025</x:v>
      </x:c>
      <x:c r="I152" s="24" t="n">
        <x:v>5202019</x:v>
      </x:c>
      <x:c r="J152" s="24" t="str">
        <x:v>accounts</x:v>
      </x:c>
      <x:c r="K152" s="24" t="str">
        <x:v>NOT_DIRECTLY_COMPARABLE__ACTIVE_DEFINITION_AND_UNIVERSE_UNRESOLVED</x:v>
      </x:c>
      <x:c r="L152" s="24" t="str">
        <x:v>Do not reconcile or ratio. Treat as a definitions problem requiring metadata/source-owner clarification.</x:v>
      </x:c>
      <x:c r="M152" s="24" t="str">
        <x:v>https://www.undp.org/yemen/projects/yemen-financial-market-infrastructure-and-inclusion-project</x:v>
      </x:c>
      <x:c r="N152" s="24" t="str">
        <x:v>https://www.cby-ye.com/files/693a7845e7f26.pdf</x:v>
      </x:c>
    </x:row>
    <x:row r="153">
      <x:c r="A153" s="24" t="str">
        <x:v>XW-FMIIP-002</x:v>
      </x:c>
      <x:c r="B153" s="24" t="str">
        <x:v>Active e-wallet accounts</x:v>
      </x:c>
      <x:c r="C153" s="24" t="str">
        <x:v>FMIIP baseline</x:v>
      </x:c>
      <x:c r="D153" s="24" t="n">
        <x:v>2025</x:v>
      </x:c>
      <x:c r="E153" s="24" t="n">
        <x:v>375252</x:v>
      </x:c>
      <x:c r="F153" s="24" t="str">
        <x:v>active e-wallet accounts</x:v>
      </x:c>
      <x:c r="G153" s="24" t="str">
        <x:v>CBY H1 2025 e-wallet subscribers</x:v>
      </x:c>
      <x:c r="H153" s="24" t="n">
        <x:v>2025</x:v>
      </x:c>
      <x:c r="I153" s="24" t="n">
        <x:v>2102484</x:v>
      </x:c>
      <x:c r="J153" s="24" t="str">
        <x:v>subscribers</x:v>
      </x:c>
      <x:c r="K153" s="24" t="str">
        <x:v>NOT_SAME_METRIC</x:v>
      </x:c>
      <x:c r="L153" s="24" t="str">
        <x:v>Subscribers are not active e-wallet accounts. Never use one as the denominator/numerator of the other.</x:v>
      </x:c>
      <x:c r="M153" s="24" t="str">
        <x:v>https://www.undp.org/yemen/projects/yemen-financial-market-infrastructure-and-inclusion-project</x:v>
      </x:c>
      <x:c r="N153" s="24" t="str">
        <x:v>https://www.cby-ye.com/files/693a7845e7f26.pdf</x:v>
      </x:c>
    </x:row>
    <x:row r="154">
      <x:c r="A154" s="24" t="str">
        <x:v>XW-FMIIP-003</x:v>
      </x:c>
      <x:c r="B154" s="24" t="str">
        <x:v>Merchants accepting electronic payments</x:v>
      </x:c>
      <x:c r="C154" s="24" t="str">
        <x:v>FMIIP baseline</x:v>
      </x:c>
      <x:c r="D154" s="24" t="n">
        <x:v>2025</x:v>
      </x:c>
      <x:c r="E154" s="24" t="n">
        <x:v>170</x:v>
      </x:c>
      <x:c r="F154" s="24" t="str">
        <x:v>merchants</x:v>
      </x:c>
      <x:c r="G154" s="24" t="str">
        <x:v>CBY June 2025 POS terminals</x:v>
      </x:c>
      <x:c r="H154" s="24" t="n">
        <x:v>2025</x:v>
      </x:c>
      <x:c r="I154" s="24" t="n">
        <x:v>791</x:v>
      </x:c>
      <x:c r="J154" s="24" t="str">
        <x:v>POS terminals</x:v>
      </x:c>
      <x:c r="K154" s="24" t="str">
        <x:v>NOT_SAME_UNIT</x:v>
      </x:c>
      <x:c r="L154" s="24" t="str">
        <x:v>A merchant can have zero/one/multiple terminals; POS count does not equal merchant count.</x:v>
      </x:c>
      <x:c r="M154" s="24" t="str">
        <x:v>https://www.undp.org/yemen/projects/yemen-financial-market-infrastructure-and-inclusion-project</x:v>
      </x:c>
      <x:c r="N154" s="24" t="str">
        <x:v>https://www.cby-ye.com/files/693a7845e7f26.pdf</x:v>
      </x:c>
    </x:row>
    <x:row r="155">
      <x:c r="A155" s="24" t="str">
        <x:v>XW-FMIIP-004</x:v>
      </x:c>
      <x:c r="B155" s="24" t="str">
        <x:v>Beneficiaries receiving/making electronic payments</x:v>
      </x:c>
      <x:c r="C155" s="24" t="str">
        <x:v>FMIIP baseline</x:v>
      </x:c>
      <x:c r="D155" s="24" t="n">
        <x:v>2025</x:v>
      </x:c>
      <x:c r="E155" s="24" t="n">
        <x:v>10761</x:v>
      </x:c>
      <x:c r="F155" s="24" t="str">
        <x:v>beneficiaries</x:v>
      </x:c>
      <x:c r="G155" s="24" t="str">
        <x:v>CBY H1 2025 POS transactions</x:v>
      </x:c>
      <x:c r="H155" s="24" t="n">
        <x:v>2025</x:v>
      </x:c>
      <x:c r="I155" s="24" t="n">
        <x:v>58512</x:v>
      </x:c>
      <x:c r="J155" s="24" t="str">
        <x:v>transactions</x:v>
      </x:c>
      <x:c r="K155" s="24" t="str">
        <x:v>NOT_SAME_UNIT</x:v>
      </x:c>
      <x:c r="L155" s="24" t="str">
        <x:v>Transactions are events; beneficiaries are people/entities. Never convert without unique-ID methodology.</x:v>
      </x:c>
      <x:c r="M155" s="24" t="str">
        <x:v>https://www.undp.org/yemen/projects/yemen-financial-market-infrastructure-and-inclusion-project</x:v>
      </x:c>
      <x:c r="N155" s="24" t="str">
        <x:v>https://www.cby-ye.com/files/693a7845e7f26.pdf</x:v>
      </x:c>
    </x:row>
    <x:row r="156">
      <x:c r="A156" s="24" t="str">
        <x:v>XW-FMIIP-005</x:v>
      </x:c>
      <x:c r="B156" s="24" t="str">
        <x:v>Financial access points</x:v>
      </x:c>
      <x:c r="C156" s="24" t="str">
        <x:v>FMIIP target</x:v>
      </x:c>
      <x:c r="D156" s="24" t="n">
        <x:v>2030</x:v>
      </x:c>
      <x:c r="E156" s="24" t="n">
        <x:v>1021</x:v>
      </x:c>
      <x:c r="F156" s="24" t="str">
        <x:v>access points</x:v>
      </x:c>
      <x:c r="G156" s="24" t="str">
        <x:v>CBY H1 2025 ATMs and POS</x:v>
      </x:c>
      <x:c r="H156" s="24" t="n">
        <x:v>2025</x:v>
      </x:c>
      <x:c r="I156" s="24"/>
      <x:c r="J156" s="24" t="str">
        <x:v>multiple infrastructure objects</x:v>
      </x:c>
      <x:c r="K156" s="24" t="str">
        <x:v>NO_VALID_ADDITIVE_CROSSWALK</x:v>
      </x:c>
      <x:c r="L156" s="24" t="str">
        <x:v>Do not add ATMs + POS + agents unless FMIIP access-point taxonomy and deduplication rules explicitly permit it.</x:v>
      </x:c>
      <x:c r="M156" s="24" t="str">
        <x:v>https://www.undp.org/yemen/projects/yemen-financial-market-infrastructure-and-inclusion-project</x:v>
      </x:c>
      <x:c r="N156" s="24" t="str">
        <x:v>https://www.cby-ye.com/files/693a7845e7f26.pdf</x:v>
      </x:c>
    </x:row>
    <x:row r="157">
      <x:c r="A157" s="24" t="str">
        <x:v>XW-WALLET-001</x:v>
      </x:c>
      <x:c r="B157" s="24" t="str">
        <x:v>Wallet provider count</x:v>
      </x:c>
      <x:c r="C157" s="24" t="str">
        <x:v>CBY payment report</x:v>
      </x:c>
      <x:c r="D157" s="24" t="n">
        <x:v>2024</x:v>
      </x:c>
      <x:c r="E157" s="24" t="n">
        <x:v>7</x:v>
      </x:c>
      <x:c r="F157" s="24" t="str">
        <x:v>e-wallets</x:v>
      </x:c>
      <x:c r="G157" s="24" t="str">
        <x:v>CBY H1 payment report</x:v>
      </x:c>
      <x:c r="H157" s="24" t="n">
        <x:v>2025</x:v>
      </x:c>
      <x:c r="I157" s="24" t="n">
        <x:v>9</x:v>
      </x:c>
      <x:c r="J157" s="24" t="str">
        <x:v>e-wallets</x:v>
      </x:c>
      <x:c r="K157" s="24" t="str">
        <x:v>NOT_YET_PROVEN_SAME_UNIVERSE</x:v>
      </x:c>
      <x:c r="L157" s="24" t="str">
        <x:v>Keep as separate dated administrative counts; no growth calculation.</x:v>
      </x:c>
      <x:c r="M157" s="24" t="str">
        <x:v>https://www.cby-ye.com/files/677c2e75a4d8c.pdf</x:v>
      </x:c>
      <x:c r="N157" s="24" t="str">
        <x:v>https://www.cby-ye.com/files/693a7845e7f26.pdf</x:v>
      </x:c>
    </x:row>
    <x:row r="158">
      <x:c r="A158" s="24" t="str">
        <x:v>XW-WALLET-002</x:v>
      </x:c>
      <x:c r="B158" s="24" t="str">
        <x:v>Wallet provider count</x:v>
      </x:c>
      <x:c r="C158" s="24" t="str">
        <x:v>CBY H1 payment report</x:v>
      </x:c>
      <x:c r="D158" s="24" t="n">
        <x:v>2025</x:v>
      </x:c>
      <x:c r="E158" s="24" t="n">
        <x:v>9</x:v>
      </x:c>
      <x:c r="F158" s="24" t="str">
        <x:v>e-wallets</x:v>
      </x:c>
      <x:c r="G158" s="24" t="str">
        <x:v>CBY Governor workshop statement</x:v>
      </x:c>
      <x:c r="H158" s="24" t="n">
        <x:v>2025</x:v>
      </x:c>
      <x:c r="I158" s="24" t="n">
        <x:v>8</x:v>
      </x:c>
      <x:c r="J158" s="24" t="str">
        <x:v>licensed e-wallets</x:v>
      </x:c>
      <x:c r="K158" s="24" t="str">
        <x:v>NOT_SAME_WORDING_OR_REFERENCE_DATE</x:v>
      </x:c>
      <x:c r="L158" s="24" t="str">
        <x:v>Administrative 'number of e-wallets' and dated 'licensed e-wallets' statement cannot be reconciled without provider definitions/names.</x:v>
      </x:c>
      <x:c r="M158" s="24" t="str">
        <x:v>https://www.cby-ye.com/files/693a7845e7f26.pdf</x:v>
      </x:c>
      <x:c r="N158" s="24" t="str">
        <x:v>https://cby-ye.com/news/876</x:v>
      </x:c>
    </x:row>
    <x:row r="159">
      <x:c r="A159" s="24" t="str">
        <x:v>XW-WALLET-003</x:v>
      </x:c>
      <x:c r="B159" s="24" t="str">
        <x:v>Wallet provider count</x:v>
      </x:c>
      <x:c r="C159" s="24" t="str">
        <x:v>CBY Governor workshop statement</x:v>
      </x:c>
      <x:c r="D159" s="24" t="n">
        <x:v>2025</x:v>
      </x:c>
      <x:c r="E159" s="24" t="n">
        <x:v>8</x:v>
      </x:c>
      <x:c r="F159" s="24" t="str">
        <x:v>licensed e-wallets</x:v>
      </x:c>
      <x:c r="G159" s="24" t="str">
        <x:v>CBY digital-payment exhibition</x:v>
      </x:c>
      <x:c r="H159" s="24" t="n">
        <x:v>2026</x:v>
      </x:c>
      <x:c r="I159" s="24" t="str">
        <x:v>&gt;9</x:v>
      </x:c>
      <x:c r="J159" s="24" t="str">
        <x:v>e-wallet participants</x:v>
      </x:c>
      <x:c r="K159" s="24" t="str">
        <x:v>NOT_SAME_UNIT__LICENSING_VS_EVENT_PARTICIPATION</x:v>
      </x:c>
      <x:c r="L159" s="24" t="str">
        <x:v>Event participation cannot update the licensed-provider count.</x:v>
      </x:c>
      <x:c r="M159" s="24" t="str">
        <x:v>https://cby-ye.com/news/876</x:v>
      </x:c>
      <x:c r="N159" s="24" t="str">
        <x:v>https://cby-ye.com/news/915</x:v>
      </x:c>
    </x:row>
    <x:row r="162">
      <x:c r="A162" s="70" t="str">
        <x:v>Evidence fusion map</x:v>
      </x:c>
      <x:c r="B162" s="70"/>
      <x:c r="C162" s="70"/>
      <x:c r="D162" s="70"/>
      <x:c r="E162" s="70"/>
      <x:c r="F162" s="70"/>
      <x:c r="G162" s="70"/>
      <x:c r="H162" s="70"/>
      <x:c r="I162" s="70"/>
      <x:c r="J162" s="70"/>
      <x:c r="K162" s="70"/>
    </x:row>
    <x:row r="163">
      <x:c r="A163" s="73" t="str">
        <x:v>question_id</x:v>
      </x:c>
      <x:c r="B163" s="73" t="str">
        <x:v>public_question</x:v>
      </x:c>
      <x:c r="C163" s="73" t="str">
        <x:v>decision_value</x:v>
      </x:c>
      <x:c r="D163" s="73" t="str">
        <x:v>people_demand_evidence</x:v>
      </x:c>
      <x:c r="E163" s="73" t="str">
        <x:v>supply_provider_evidence</x:v>
      </x:c>
      <x:c r="F163" s="73" t="str">
        <x:v>activity_flow_evidence</x:v>
      </x:c>
      <x:c r="G163" s="73" t="str">
        <x:v>regulation_reform_evidence</x:v>
      </x:c>
      <x:c r="H163" s="73" t="str">
        <x:v>context_history_evidence</x:v>
      </x:c>
      <x:c r="I163" s="73" t="str">
        <x:v>synthesis_pattern</x:v>
      </x:c>
      <x:c r="J163" s="73" t="str">
        <x:v>primary_gap</x:v>
      </x:c>
      <x:c r="K163" s="73" t="str">
        <x:v>route</x:v>
      </x:c>
    </x:row>
    <x:row r="164">
      <x:c r="A164" s="24" t="str">
        <x:v>Q-001</x:v>
      </x:c>
      <x:c r="B164" s="24" t="str">
        <x:v>Who is included, who is excluded, and how certain are we?</x:v>
      </x:c>
      <x:c r="C164" s="24" t="str">
        <x:v>Separates people-based inclusion levels from administrative proxies and exposes coverage limits.</x:v>
      </x:c>
      <x:c r="D164" s="24" t="str">
        <x:v>DS-FINDEX-META; DS-FINDEX-VARS; DS-FINDEX-WAVES; DS-FINDEX-WB-OBS; DS-FINDEX-RULES</x:v>
      </x:c>
      <x:c r="E164" s="24" t="str">
        <x:v>DS-PROVIDER-MASTER; DS-PROVIDER-UNIVERSE</x:v>
      </x:c>
      <x:c r="F164" s="24" t="str">
        <x:v>DS-CBY-PAYMENTS</x:v>
      </x:c>
      <x:c r="G164" s="24" t="str">
        <x:v>DS-PRIMARY-AUTHORITY</x:v>
      </x:c>
      <x:c r="H164" s="24" t="str">
        <x:v>DS-OECD-NARRATIVE</x:v>
      </x:c>
      <x:c r="I164" s="24" t="str">
        <x:v>PEOPLE_MEASURES + ACCESS_SYSTEM_CONTEXT + EVIDENCE_PASSPORT</x:v>
      </x:c>
      <x:c r="J164" s="24" t="str">
        <x:v>No current representative 2026 population inclusion wave; Findex geography limits remain material.</x:v>
      </x:c>
      <x:c r="K164" s="24" t="str">
        <x:v>/people + /evidence</x:v>
      </x:c>
    </x:row>
    <x:row r="165">
      <x:c r="A165" s="24" t="str">
        <x:v>Q-002</x:v>
      </x:c>
      <x:c r="B165" s="24" t="str">
        <x:v>Is digital finance expanding inclusion, or only infrastructure and transaction activity?</x:v>
      </x:c>
      <x:c r="C165" s="24" t="str">
        <x:v>Prevents POS/accounts/wallet activity from being mislabeled as unique-person inclusion while still showing genuine system change.</x:v>
      </x:c>
      <x:c r="D165" s="24" t="str">
        <x:v>DS-FINDEX-WB-OBS</x:v>
      </x:c>
      <x:c r="E165" s="24" t="str">
        <x:v>DS-PROVIDER-UNIVERSE; DS-WALLET-COUNT-RECON</x:v>
      </x:c>
      <x:c r="F165" s="24" t="str">
        <x:v>DS-CBY-PAYMENTS; DS-DERIVED-ANALYTICS; DS-PAYMENT-CURRENTNESS</x:v>
      </x:c>
      <x:c r="G165" s="24" t="str">
        <x:v>DS-REFORM-EVENTS; DS-EMONEY-REG; DS-PRIMARY-AUTHORITY</x:v>
      </x:c>
      <x:c r="H165" s="24" t="str">
        <x:v>DS-CBY-MONETARY</x:v>
      </x:c>
      <x:c r="I165" s="24" t="str">
        <x:v>PARALLEL_LAYERS__INFRASTRUCTURE → ACTIVITY → PEOPLE_OUTCOME_GAP</x:v>
      </x:c>
      <x:c r="J165" s="24" t="str">
        <x:v>Unique active-user/unique-person evidence and current wallet-provider universe.</x:v>
      </x:c>
      <x:c r="K165" s="24" t="str">
        <x:v>/payments + /people + /methodology</x:v>
      </x:c>
    </x:row>
    <x:row r="166">
      <x:c r="A166" s="24" t="str">
        <x:v>Q-003</x:v>
      </x:c>
      <x:c r="B166" s="24" t="str">
        <x:v>Which financial providers actually exist, under which authority, and at what date?</x:v>
      </x:c>
      <x:c r="C166" s="24" t="str">
        <x:v>Turns a static directory into a time-aware regulated-provider evidence product.</x:v>
      </x:c>
      <x:c r="D166" s="24"/>
      <x:c r="E166" s="24" t="str">
        <x:v>DS-PROVIDER-MASTER; DS-PROVIDER-UNIVERSE; DS-PROVIDER-OBSERVABILITY; DS-PROVIDER-STATUS-EVENTS; DS-PROVIDER-NEGATIVE-AUTHORITY; DS-PROVIDER-BASELINE-2025; DS-WALLET-COUNT-RECON; DS-MFI-PROVIDER-PANEL; DS-MFI-EVIDENCE</x:v>
      </x:c>
      <x:c r="F166" s="24" t="str">
        <x:v>DS-CBY-PAYMENTS</x:v>
      </x:c>
      <x:c r="G166" s="24" t="str">
        <x:v>DS-PRIMARY-AUTHORITY; DS-EMONEY-REG</x:v>
      </x:c>
      <x:c r="H166" s="24" t="str">
        <x:v>DS-WB2004-CHRON</x:v>
      </x:c>
      <x:c r="I166" s="24" t="str">
        <x:v>PROVIDER_OBSERVABILITY → BITEMPORAL_STATE_MACHINE__AUTHORITY + UNIVERSE + STATUS_EVENTS + OPERATION_GAP</x:v>
      </x:c>
      <x:c r="J166" s="24" t="str">
        <x:v>2026 exchange/remittance row extraction and current named positive wallet/PSP/system-operator universe.</x:v>
      </x:c>
      <x:c r="K166" s="24" t="str">
        <x:v>/providers + /finance</x:v>
      </x:c>
    </x:row>
    <x:row r="167">
      <x:c r="A167" s="24" t="str">
        <x:v>Q-004</x:v>
      </x:c>
      <x:c r="B167" s="24" t="str">
        <x:v>How important are remittances, what does it cost to send them, and what remains invisible?</x:v>
      </x:c>
      <x:c r="C167" s="24" t="str">
        <x:v>Combines macro flow and corridor-price evidence while refusing to invent hawala volume.</x:v>
      </x:c>
      <x:c r="D167" s="24"/>
      <x:c r="E167" s="24" t="str">
        <x:v>DS-PROVIDER-MASTER; DS-PROVIDER-UNIVERSE</x:v>
      </x:c>
      <x:c r="F167" s="24" t="str">
        <x:v>DS-REMITTANCES</x:v>
      </x:c>
      <x:c r="G167" s="24" t="str">
        <x:v>DS-PRIMARY-AUTHORITY</x:v>
      </x:c>
      <x:c r="H167" s="24" t="str">
        <x:v>DS-CBY-MONETARY</x:v>
      </x:c>
      <x:c r="I167" s="24" t="str">
        <x:v>OBSERVED_MACRO_SERIES + CORRIDOR_PRICE_QUOTES + INFORMAL_EVIDENCE_GAP</x:v>
      </x:c>
      <x:c r="J167" s="24" t="str">
        <x:v>No defensible national hawala/informal-transfer volume; current remittance-provider roster not yet extracted.</x:v>
      </x:c>
      <x:c r="K167" s="24" t="str">
        <x:v>/payments/remittances</x:v>
      </x:c>
    </x:row>
    <x:row r="168">
      <x:c r="A168" s="24" t="str">
        <x:v>Q-005</x:v>
      </x:c>
      <x:c r="B168" s="24" t="str">
        <x:v>If a financial consumer is not treated fairly, what is the official path to redress — and do we know if it works?</x:v>
      </x:c>
      <x:c r="C168" s="24" t="str">
        <x:v>Moves FCP from a binary 'rule exists' label to an explicit architecture/performance distinction.</x:v>
      </x:c>
      <x:c r="D168" s="24"/>
      <x:c r="E168" s="24" t="str">
        <x:v>DS-FCP-ARCH</x:v>
      </x:c>
      <x:c r="F168" s="24"/>
      <x:c r="G168" s="24" t="str">
        <x:v>DS-PRIMARY-AUTHORITY; DS-REFORM-EVENTS</x:v>
      </x:c>
      <x:c r="H168" s="24" t="str">
        <x:v>DS-OECD-NARRATIVE; DS-OECD-POLICY</x:v>
      </x:c>
      <x:c r="I168" s="24" t="str">
        <x:v>RULE → PROVIDER_OBLIGATION → 10_DAY_STAGE → ESCALATION → 14_DAY_WINDOW → PERFORMANCE_GAP</x:v>
      </x:c>
      <x:c r="J168" s="24" t="str">
        <x:v>Full controlled legal text/current applicability plus administrative complaint, enforcement and outcome data.</x:v>
      </x:c>
      <x:c r="K168" s="24" t="str">
        <x:v>/reforms/regulation + /evidence</x:v>
      </x:c>
    </x:row>
    <x:row r="169">
      <x:c r="A169" s="24" t="str">
        <x:v>Q-006</x:v>
      </x:c>
      <x:c r="B169" s="24" t="str">
        <x:v>Is financial-literacy activity becoming measurable financial capability?</x:v>
      </x:c>
      <x:c r="C169" s="24" t="str">
        <x:v>Separates programme activity from population capability and evaluated outcomes.</x:v>
      </x:c>
      <x:c r="D169" s="24" t="str">
        <x:v>DS-FINDEX-WB-OBS</x:v>
      </x:c>
      <x:c r="E169" s="24"/>
      <x:c r="F169" s="24"/>
      <x:c r="G169" s="24" t="str">
        <x:v>DS-PRIMARY-AUTHORITY</x:v>
      </x:c>
      <x:c r="H169" s="24" t="str">
        <x:v>DS-OECD-NARRATIVE; DS-LIT-CBY-FI</x:v>
      </x:c>
      <x:c r="I169" s="24" t="str">
        <x:v>ACTIVITY → OUTPUT → POPULATION_CAPABILITY → EVALUATED_OUTCOME</x:v>
      </x:c>
      <x:c r="J169" s="24" t="str">
        <x:v>Programme baseline/endline, participant denominator and evaluated learning/behavioural outcomes.</x:v>
      </x:c>
      <x:c r="K169" s="24" t="str">
        <x:v>/people/capability + /reforms</x:v>
      </x:c>
    </x:row>
    <x:row r="170">
      <x:c r="A170" s="24" t="str">
        <x:v>Q-007</x:v>
      </x:c>
      <x:c r="B170" s="24" t="str">
        <x:v>For firms, is finance the binding constraint — and what competes with it?</x:v>
      </x:c>
      <x:c r="C170" s="24" t="str">
        <x:v>Places finance inside electricity, fuel, transport, tax, political and operating constraints.</x:v>
      </x:c>
      <x:c r="D170" s="24"/>
      <x:c r="E170" s="24"/>
      <x:c r="F170" s="24" t="str">
        <x:v>DS-FIRM-FINANCE; DS-DERIVED-ANALYTICS</x:v>
      </x:c>
      <x:c r="G170" s="24"/>
      <x:c r="H170" s="24" t="str">
        <x:v>DS-CBY-MONETARY</x:v>
      </x:c>
      <x:c r="I170" s="24" t="str">
        <x:v>RANKED_CONSTRAINTS + CONDITIONAL_FINANCE_PATH + DENOMINATOR_DISCLOSURE</x:v>
      </x:c>
      <x:c r="J170" s="24" t="str">
        <x:v>No national extrapolation beyond the seven-governorate custom survey.</x:v>
      </x:c>
      <x:c r="K170" s="24" t="str">
        <x:v>/firms</x:v>
      </x:c>
    </x:row>
    <x:row r="171">
      <x:c r="A171" s="24" t="str">
        <x:v>Q-008</x:v>
      </x:c>
      <x:c r="B171" s="24" t="str">
        <x:v>How is Yemen's payment architecture changing from rule to operational activity?</x:v>
      </x:c>
      <x:c r="C171" s="24" t="str">
        <x:v>Tracks state transitions rather than equating announcements with go-live.</x:v>
      </x:c>
      <x:c r="D171" s="24"/>
      <x:c r="E171" s="24" t="str">
        <x:v>DS-PROVIDER-UNIVERSE</x:v>
      </x:c>
      <x:c r="F171" s="24" t="str">
        <x:v>DS-CBY-PAYMENTS; DS-PAYMENT-CURRENTNESS</x:v>
      </x:c>
      <x:c r="G171" s="24" t="str">
        <x:v>DS-REFORM-EVENTS; DS-EMONEY-REG; DS-PRIMARY-AUTHORITY; DS-PAYMENT-CURRENTNESS</x:v>
      </x:c>
      <x:c r="H171" s="24"/>
      <x:c r="I171" s="24" t="str">
        <x:v>REGULATION → PROJECT → DECISION → INTEGRATION → INSTITUTION → ACTIVITY → USAGE/OUTCOME_GAP</x:v>
      </x:c>
      <x:c r="J171" s="24" t="str">
        <x:v>Independent system go-live/participant/coverage evidence for FPS/RTGS/QR/interconnection and unique-user outcomes; institutional establishment is now better evidenced.</x:v>
      </x:c>
      <x:c r="K171" s="24" t="str">
        <x:v>/payments + /reforms/projects</x:v>
      </x:c>
    </x:row>
    <x:row r="172">
      <x:c r="A172" s="24" t="str">
        <x:v>Q-009</x:v>
      </x:c>
      <x:c r="B172" s="24" t="str">
        <x:v>Where do humanitarian and development capital flows touch the financial system without becoming financial-inclusion outcomes?</x:v>
      </x:c>
      <x:c r="C172" s="24" t="str">
        <x:v>Makes capital pathways visible while preserving funding-class semantics.</x:v>
      </x:c>
      <x:c r="D172" s="24"/>
      <x:c r="E172" s="24"/>
      <x:c r="F172" s="24" t="str">
        <x:v>DS-OCHA-FTS-2026; DS-OCHA-LINKS</x:v>
      </x:c>
      <x:c r="G172" s="24" t="str">
        <x:v>DS-REFORM-EVENTS</x:v>
      </x:c>
      <x:c r="H172" s="24"/>
      <x:c r="I172" s="24" t="str">
        <x:v>RELATIONSHIP_GRAPH__FLOW_CLASS + PROGRAMME_STATE + NO_OUTCOME_CONVERSION</x:v>
      </x:c>
      <x:c r="J172" s="24" t="str">
        <x:v>Programme-owner evidence linking finance to actual financial-service delivery, reach and post-transfer use.</x:v>
      </x:c>
      <x:c r="K172" s="24" t="str">
        <x:v>/reforms/projects + /evidence</x:v>
      </x:c>
    </x:row>
    <x:row r="173">
      <x:c r="A173" s="24" t="str">
        <x:v>Q-010</x:v>
      </x:c>
      <x:c r="B173" s="24" t="str">
        <x:v>What does the microfinance record tell us — and where does the historical series break?</x:v>
      </x:c>
      <x:c r="C173" s="24" t="str">
        <x:v>Combines historical programme narrative with bounded provider-period evidence without pretending continuity.</x:v>
      </x:c>
      <x:c r="D173" s="24"/>
      <x:c r="E173" s="24" t="str">
        <x:v>DS-MFI-EVIDENCE; DS-MFI-PROVIDER-PANEL; DS-MFI-YEAR-COVERAGE; DS-MFI-TEMPORAL-SPINE; DS-MFI-METRIC-COVERAGE</x:v>
      </x:c>
      <x:c r="F173" s="24"/>
      <x:c r="G173" s="24"/>
      <x:c r="H173" s="24" t="str">
        <x:v>DS-WB2004-NARR; DS-WB2004-CASES; DS-WB2004-CHRON; DS-MF-ORIGIN-CHRONOLOGY</x:v>
      </x:c>
      <x:c r="I173" s="24" t="str">
        <x:v>LAYERED_ORIGIN_TIMELINE + SEGMENTED_PRIMARY_TEMPORAL_SPINE + PROVIDER_SMALL_MULTIPLES + METRIC_ELIGIBILITY</x:v>
      </x:c>
      <x:c r="J173" s="24" t="str">
        <x:v>2021 primary source remains missing; 2022/2024 no comparable primary point; 2023 exact archive object inaccessible; rights/passports remain S05.</x:v>
      </x:c>
      <x:c r="K173" s="24" t="str">
        <x:v>/finance/microfinance</x:v>
      </x:c>
    </x:row>
    <x:row r="174">
      <x:c r="A174" s="24" t="str">
        <x:v>Q-011</x:v>
      </x:c>
      <x:c r="B174" s="24" t="str">
        <x:v>When trusted sources disagree, are they actually measuring the same thing?</x:v>
      </x:c>
      <x:c r="C174" s="24" t="str">
        <x:v>Turns semantic mismatch into a user-facing analytical feature.</x:v>
      </x:c>
      <x:c r="D174" s="24" t="str">
        <x:v>DS-FINDEX-RULES</x:v>
      </x:c>
      <x:c r="E174" s="24"/>
      <x:c r="F174" s="24" t="str">
        <x:v>DS-CBY-PAYMENTS</x:v>
      </x:c>
      <x:c r="G174" s="24"/>
      <x:c r="H174" s="24"/>
      <x:c r="I174" s="24" t="str">
        <x:v>SIDE_BY_SIDE_DEFINITION_COMPARE + COMPATIBILITY_STATE</x:v>
      </x:c>
      <x:c r="J174" s="24" t="str">
        <x:v>Some incompatible metrics may remain permanently non-reconcilable; that is an acceptable finding.</x:v>
      </x:c>
      <x:c r="K174" s="24" t="str">
        <x:v>/evidence/compare</x:v>
      </x:c>
    </x:row>
    <x:row r="175">
      <x:c r="A175" s="24" t="str">
        <x:v>Q-012</x:v>
      </x:c>
      <x:c r="B175" s="24" t="str">
        <x:v>Where is the evidence fresh, stale, missing or only partially verified?</x:v>
      </x:c>
      <x:c r="C175" s="24" t="str">
        <x:v>Prevents the newest administrative observation from being mistaken for the newest population truth.</x:v>
      </x:c>
      <x:c r="D175" s="24" t="str">
        <x:v>DS-FINDEX-WAVES</x:v>
      </x:c>
      <x:c r="E175" s="24" t="str">
        <x:v>DS-PROVIDER-UNIVERSE</x:v>
      </x:c>
      <x:c r="F175" s="24" t="str">
        <x:v>DS-CBY-PAYMENTS</x:v>
      </x:c>
      <x:c r="G175" s="24" t="str">
        <x:v>DS-PRIMARY-AUTHORITY</x:v>
      </x:c>
      <x:c r="H175" s="24" t="str">
        <x:v>DS-WB2004-CHRON; DS-OECD-NARRATIVE</x:v>
      </x:c>
      <x:c r="I175" s="24" t="str">
        <x:v>EVIDENCE_FRESHNESS_SKYLINE + GAP_MATRIX + DOMAIN_VINTAGE_BADGES</x:v>
      </x:c>
      <x:c r="J175" s="24" t="str">
        <x:v>Current demand-side/subgroup data, provider-universe closure and several outcome layers remain old/open.</x:v>
      </x:c>
      <x:c r="K175" s="24" t="str">
        <x:v>/evidence + /methodology</x:v>
      </x:c>
    </x:row>
    <x:row r="176">
      <x:c r="A176" s="24" t="str">
        <x:v>Q-013</x:v>
      </x:c>
      <x:c r="B176" s="24" t="str">
        <x:v>How does YFSI turn evidence into a decision surface without losing provenance?</x:v>
      </x:c>
      <x:c r="C176" s="24" t="str">
        <x:v>Makes product architecture itself auditable and prevents design from overruling evidence.</x:v>
      </x:c>
      <x:c r="D176" s="24"/>
      <x:c r="E176" s="24"/>
      <x:c r="F176" s="24" t="str">
        <x:v>DS-DERIVED-ANALYTICS</x:v>
      </x:c>
      <x:c r="G176" s="24"/>
      <x:c r="H176" s="24" t="str">
        <x:v>DS-STRATEGIC-INSIGHTS</x:v>
      </x:c>
      <x:c r="I176" s="24" t="str">
        <x:v>SOURCE → CLAIM_BOUNDARY → DERIVATION → VISUAL_CONTRACT → PAGE_BUNDLE → PUBLICATION_DECISION</x:v>
      </x:c>
      <x:c r="J176" s="24" t="str">
        <x:v>No frontend surface should bypass the governed release package.</x:v>
      </x:c>
      <x:c r="K176" s="24" t="str">
        <x:v>/methodology + internal product governance</x:v>
      </x:c>
    </x:row>
    <x:row r="177">
      <x:c r="A177" s="24" t="str">
        <x:v>Q-014</x:v>
      </x:c>
      <x:c r="B177" s="24" t="str">
        <x:v>What mechanisms may sit behind an observed pattern — and what does the evidence still not prove?</x:v>
      </x:c>
      <x:c r="C177" s="24" t="str">
        <x:v>Adds qualitative explanation without fabricating prevalence or causality and makes interpretation itself traceable.</x:v>
      </x:c>
      <x:c r="D177" s="24" t="str">
        <x:v>DS-FINDEX-WB-OBS</x:v>
      </x:c>
      <x:c r="E177" s="24" t="str">
        <x:v>DS-PROVIDER-OBSERVABILITY</x:v>
      </x:c>
      <x:c r="F177" s="24" t="str">
        <x:v>DS-FIRM-FINANCE; DS-CBY-PAYMENTS; DS-REMITTANCES</x:v>
      </x:c>
      <x:c r="G177" s="24" t="str">
        <x:v>DS-FCP-ARCH; DS-EMONEY-REG; DS-REFORM-EVENTS</x:v>
      </x:c>
      <x:c r="H177" s="24" t="str">
        <x:v>DS-QUAL-EVIDENCE; DS-MECHANISM-TAXONOMY</x:v>
      </x:c>
      <x:c r="I177" s="24" t="str">
        <x:v>MEASURED_OBJECT ↔ GOVERNED_MECHANISM_LINKS ↔ SOURCE_METHOD ↔ ALLOWED/PROHIBITED_INFERENCE</x:v>
      </x:c>
      <x:c r="J177" s="24" t="str">
        <x:v>Qualitative coverage is not yet comprehensive across all mechanisms/populations/geographies; links must remain source-bounded.</x:v>
      </x:c>
      <x:c r="K177" s="24" t="str">
        <x:v>/people + /firms + /evidence</x:v>
      </x:c>
    </x:row>
    <x:row r="178">
      <x:c r="A178" s="24" t="str">
        <x:v>Q-015</x:v>
      </x:c>
      <x:c r="B178" s="24" t="str">
        <x:v>Can this evidence object survive publication without losing meaning, provenance, rights controls or accessibility?</x:v>
      </x:c>
      <x:c r="C178" s="24" t="str">
        <x:v>Turns release readiness into an auditable evidence question rather than a final editorial checklist.</x:v>
      </x:c>
      <x:c r="D178" s="24" t="str">
        <x:v>DS-RC0-FIXTURE</x:v>
      </x:c>
      <x:c r="E178" s="24" t="str">
        <x:v>DS-RC0-PASSPORTS</x:v>
      </x:c>
      <x:c r="F178" s="24" t="str">
        <x:v>DS-RC0-RIGHTS</x:v>
      </x:c>
      <x:c r="G178" s="24" t="str">
        <x:v>DS-RC0-VISUAL-BINDINGS; DS-PUBLICATION-ELIGIBILITY</x:v>
      </x:c>
      <x:c r="H178" s="24" t="str">
        <x:v>DS-S05-RECON-GATE</x:v>
      </x:c>
      <x:c r="I178" s="24" t="str">
        <x:v>OBJECT → PASSPORT → RIGHTS/INTENDED_USE → VISUAL/FALLBACK → ACCEPTANCE_TEST → RELEASE_STATE</x:v>
      </x:c>
      <x:c r="J178" s="24" t="str">
        <x:v>Global site rights backfill, non-fixture D1 bindings and later bilingual design/implementation gates remain open.</x:v>
      </x:c>
      <x:c r="K178" s="24" t="str">
        <x:v>/methodology + internal release governance</x:v>
      </x:c>
    </x:row>
    <x:row r="179">
      <x:c r="A179" s="24" t="str">
        <x:v>Q-016</x:v>
      </x:c>
      <x:c r="B179" s="24" t="str">
        <x:v>What can demand-side evidence tell us beyond account ownership — and which parts are still computation-gated?</x:v>
      </x:c>
      <x:c r="C179" s="24" t="str">
        <x:v>Separates currently publishable weighted anchors from a much richer but correctly withheld microdata panel, while making subgroup and denominator constraints explicit.</x:v>
      </x:c>
      <x:c r="D179" s="24" t="str">
        <x:v>DS-FINDEX-WB-OBS; DS-FINDEX-PANEL-CATALOG; DS-FINDEX-SUBGROUP-MATRIX; DS-FINDEX-DENOMINATOR-STRESS</x:v>
      </x:c>
      <x:c r="E179" s="24"/>
      <x:c r="F179" s="24"/>
      <x:c r="G179" s="24"/>
      <x:c r="H179" s="24"/>
      <x:c r="I179" s="24" t="str">
        <x:v>PUBLISHED_ANCHOR → PANEL_CONTRACT → DENOMINATOR/SUBGROUP_GATE → WEIGHTED_MICRODATA_REPLICATION → PUBLIC_OBJECT</x:v>
      </x:c>
      <x:c r="J179" s="24" t="str">
        <x:v>Respondent microdata require authorized login and are not yet in controlled YFSI custody; custom weighted estimates remain withheld.</x:v>
      </x:c>
      <x:c r="K179" s="24" t="str">
        <x:v>/people + /methodology + /evidence</x:v>
      </x:c>
    </x:row>
    <x:row r="180">
      <x:c r="A180" s="24" t="str">
        <x:v>Q-017</x:v>
      </x:c>
      <x:c r="B180" s="24" t="str">
        <x:v>What should the public product show first — and what should remain deep-dive, conditional or held?</x:v>
      </x:c>
      <x:c r="C180" s="24" t="str">
        <x:v>Turns product scope into a governed analytical decision so backend richness does not become interface clutter.</x:v>
      </x:c>
      <x:c r="D180" s="24"/>
      <x:c r="E180" s="24"/>
      <x:c r="F180" s="24"/>
      <x:c r="G180" s="24"/>
      <x:c r="H180" s="24" t="str">
        <x:v>DS-PRODUCT-IDENTITY</x:v>
      </x:c>
      <x:c r="I180" s="24" t="str">
        <x:v>CANONICAL_EVIDENCE → RELEASE_ELIGIBILITY → ROUTE/QUESTION → EDITORIAL_TIER → BILINGUAL/INTERACTION_CONTRACT → PUBLIC_SURFACE</x:v>
      </x:c>
      <x:c r="J180" s="24" t="str">
        <x:v>D2 usability testing and B0 compiler/static-package fixture remain to validate the frozen contract in a real bilingual build.</x:v>
      </x:c>
      <x:c r="K180" s="24" t="str">
        <x:v>/methodology + internal product governance</x:v>
      </x:c>
    </x:row>
    <x:row r="181">
      <x:c r="A181" s="24" t="str">
        <x:v>Q-018</x:v>
      </x:c>
      <x:c r="B181" s="24" t="str">
        <x:v>Can the frozen evidence/product contract survive compilation and a real bilingual screen without losing semantics?</x:v>
      </x:c>
      <x:c r="C181" s="24" t="str">
        <x:v>Connects canonical evidence governance to implementation proof: immutable package, object compiler chain, machine tests and screen-level acceptance.</x:v>
      </x:c>
      <x:c r="D181" s="24"/>
      <x:c r="E181" s="24"/>
      <x:c r="F181" s="24" t="str">
        <x:v>DS-B0-PACKAGE-MANIFEST; DS-B0-OBJECT-COMPILER-MAP</x:v>
      </x:c>
      <x:c r="G181" s="24"/>
      <x:c r="H181" s="24" t="str">
        <x:v>DS-D2-SCREEN-CONTRACT</x:v>
      </x:c>
      <x:c r="I181" s="24" t="str">
        <x:v>CANONICAL_OBJECT → IMMUTABLE_PACKAGE → PASSPORT/RIGHTS/VISUAL_BINDING → SCHEMA_TEST → D2_SCREEN_ACCEPTANCE → BUILD_PASS/FAIL</x:v>
      </x:c>
      <x:c r="J181" s="24" t="str">
        <x:v>Actual D2 high-fidelity prototype has not yet passed the 12-screen contract; global public-release gates remain independent.</x:v>
      </x:c>
      <x:c r="K181" s="24" t="str">
        <x:v>/methodology + internal compiler/design governance</x:v>
      </x:c>
    </x:row>
    <x:row r="182">
      <x:c r="A182" s="24" t="str">
        <x:v>Q-019</x:v>
      </x:c>
      <x:c r="B182" s="24" t="str">
        <x:v>Does the implementation preserve the frozen evidence contract in both languages and constrained device modes?</x:v>
      </x:c>
      <x:c r="C182" s="24" t="str">
        <x:v>Turns the actual prototype into a governed implementation object rather than an untracked design artifact.</x:v>
      </x:c>
      <x:c r="D182" s="24"/>
      <x:c r="E182" s="24"/>
      <x:c r="F182" s="24" t="str">
        <x:v>DS-D2-PROTOTYPE-MANIFEST</x:v>
      </x:c>
      <x:c r="G182" s="24"/>
      <x:c r="H182" s="24"/>
      <x:c r="I182" s="24" t="str">
        <x:v>STATIC_FIXTURE_PACKAGE → PROTOTYPE_CODE → BILINGUAL/ROUTE/PASSPORT BINDING → STATIC_TESTS → RUNTIME_VISUAL/A11Y_GATE</x:v>
      </x:c>
      <x:c r="J182" s="24" t="str">
        <x:v>Runtime browser visual/usability/accessibility QA remains open.</x:v>
      </x:c>
      <x:c r="K182" s="24" t="str">
        <x:v>/methodology + internal design/build governance</x:v>
      </x:c>
    </x:row>
    <x:row r="183">
      <x:c r="A183" s="24" t="str">
        <x:v>Q-020</x:v>
      </x:c>
      <x:c r="B183" s="24" t="str">
        <x:v>What weighted people-side evidence can YFSI publish now without respondent microdata — and how old is it by financial function?</x:v>
      </x:c>
      <x:c r="C183" s="24" t="str">
        <x:v>Separates historical weighted-public evidence from latest-wave computation gates and turns evidence vintage into part of the analysis.</x:v>
      </x:c>
      <x:c r="D183" s="24" t="str">
        <x:v>DS-FINDEX-PUBLIC-HISTORY; DS-FINDEX-WB-OBS</x:v>
      </x:c>
      <x:c r="E183" s="24"/>
      <x:c r="F183" s="24" t="str">
        <x:v>DS-FINDEX-PUBLIC-HISTORY</x:v>
      </x:c>
      <x:c r="G183" s="24"/>
      <x:c r="H183" s="24" t="str">
        <x:v>DS-DEMAND-VINTAGE-LENS</x:v>
      </x:c>
      <x:c r="I183" s="24" t="str">
        <x:v>PUBLISHED_WEIGHTED_HISTORY → FUNCTION_EVIDENCE_CLOCK → LATEST_WAVE_CONTRACT/HOLD → PUBLIC_SURFACE</x:v>
      </x:c>
      <x:c r="J183" s="24" t="str">
        <x:v>Current weighted values for resilience/barriers/latest saving/borrowing/remittance/digital-use remain unavailable; historical values cannot be relabeled current.</x:v>
      </x:c>
      <x:c r="K183" s="24" t="str">
        <x:v>/people + /evidence</x:v>
      </x:c>
    </x:row>
    <x:row r="184">
      <x:c r="A184" s="24" t="str">
        <x:v>Q-021</x:v>
      </x:c>
      <x:c r="B184" s="24" t="str">
        <x:v>What happens when canonical evidence improves after an immutable B0 package and D2 prototype candidate already exist?</x:v>
      </x:c>
      <x:c r="C184" s="24" t="str">
        <x:v>Prevents content enrichment from either invalidating real package-integrity proofs or silently creating a stale-content release.</x:v>
      </x:c>
      <x:c r="D184" s="24"/>
      <x:c r="E184" s="24"/>
      <x:c r="F184" s="24" t="str">
        <x:v>DS-POST-B0-CONTENT-DELTA</x:v>
      </x:c>
      <x:c r="G184" s="24"/>
      <x:c r="H184" s="24"/>
      <x:c r="I184" s="24" t="str">
        <x:v>CANONICAL_EVIDENCE_DELTA → PACKAGE_SCOPE_CHECK → PROTOTYPE_SCOPE_CHECK → SELECT/RECOMPILE BEFORE B1</x:v>
      </x:c>
      <x:c r="J184" s="24" t="str">
        <x:v>The current prototype/package remains a valid implementation-test artifact but does not contain v0.17 historical demand objects.</x:v>
      </x:c>
      <x:c r="K184" s="24" t="str">
        <x:v>/methodology + internal build governance</x:v>
      </x:c>
    </x:row>
    <x:row r="185">
      <x:c r="A185" s="24" t="str">
        <x:v>Q-022</x:v>
      </x:c>
      <x:c r="B185" s="24" t="str">
        <x:v>How far is a financial-inclusion object from a measured outcome for people or firms?</x:v>
      </x:c>
      <x:c r="C185" s="24" t="str">
        <x:v>Prevents access, activity, regulation and programme delivery from being interpreted as welfare/resilience/economic outcomes.</x:v>
      </x:c>
      <x:c r="D185" s="24" t="str">
        <x:v>DS-FINDEX-WB-OBS; DS-FINDEX-PUBLIC-HISTORY</x:v>
      </x:c>
      <x:c r="E185" s="24" t="str">
        <x:v>DS-PROVIDER-OBSERVABILITY</x:v>
      </x:c>
      <x:c r="F185" s="24" t="str">
        <x:v>DS-CBY-PAYMENTS; DS-FIRM-FINANCE</x:v>
      </x:c>
      <x:c r="G185" s="24" t="str">
        <x:v>DS-REFORM-EVENTS; DS-FCP-ARCH</x:v>
      </x:c>
      <x:c r="H185" s="24" t="str">
        <x:v>DS-QUAL-EVIDENCE</x:v>
      </x:c>
      <x:c r="I185" s="24" t="str">
        <x:v>EVIDENCE_OBJECT → ACCESS/ACTIVITY/RULE/IMPLEMENTATION CLASS → OUTCOME_DISTANCE → ALLOWED CLAIM</x:v>
      </x:c>
      <x:c r="J185" s="24" t="str">
        <x:v>Direct outcome/evaluation evidence is sparse for several reform/activity pathways.</x:v>
      </x:c>
      <x:c r="K185" s="24" t="str">
        <x:v>/methodology + relevant domain</x:v>
      </x:c>
    </x:row>
    <x:row r="186">
      <x:c r="A186" s="24" t="str">
        <x:v>Q-023</x:v>
      </x:c>
      <x:c r="B186" s="24" t="str">
        <x:v>How can different stakeholders use the same evidence without YFSI pretending to perform their institutional role?</x:v>
      </x:c>
      <x:c r="C186" s="24" t="str">
        <x:v>Makes stakeholder utility and role boundaries explicit so this resource can serve regulators, providers, DFIs, researchers and the public without becoming an authority/rating system.</x:v>
      </x:c>
      <x:c r="D186" s="24" t="str">
        <x:v>DS-FINDEX-WB-OBS</x:v>
      </x:c>
      <x:c r="E186" s="24" t="str">
        <x:v>DS-PROVIDER-OBSERVABILITY</x:v>
      </x:c>
      <x:c r="F186" s="24" t="str">
        <x:v>DS-CBY-PAYMENTS; DS-FIRM-FINANCE</x:v>
      </x:c>
      <x:c r="G186" s="24" t="str">
        <x:v>DS-PRIMARY-AUTHORITY</x:v>
      </x:c>
      <x:c r="H186" s="24" t="str">
        <x:v>DS-STRATEGIC-INSIGHTS</x:v>
      </x:c>
      <x:c r="I186" s="24" t="str">
        <x:v>USER QUESTION → GOVERNED EVIDENCE → SAFE DECISION USE → EXPLICIT NON_ROLE</x:v>
      </x:c>
      <x:c r="J186" s="24" t="str">
        <x:v>Public identity must remain clear that CauseWay integrates and analyses evidence but does not issue regulatory/compliance findings.</x:v>
      </x:c>
      <x:c r="K186" s="24" t="str">
        <x:v>/ + /methodology</x:v>
      </x:c>
    </x:row>
    <x:row r="187">
      <x:c r="A187" s="24" t="str">
        <x:v>Q-024</x:v>
      </x:c>
      <x:c r="B187" s="24" t="str">
        <x:v>Which advanced analytical experiences genuinely add decision value and which should remain held?</x:v>
      </x:c>
      <x:c r="C187" s="24" t="str">
        <x:v>Stops innovation theatre by requiring novelty to pass evidence, denominator, causal, rights, usability and stakeholder tests.</x:v>
      </x:c>
      <x:c r="D187" s="24" t="str">
        <x:v>DS-FINDEX-PUBLIC-HISTORY</x:v>
      </x:c>
      <x:c r="E187" s="24" t="str">
        <x:v>DS-PROVIDER-OBSERVABILITY</x:v>
      </x:c>
      <x:c r="F187" s="24" t="str">
        <x:v>DS-CBY-PAYMENTS; DS-FIRM-FINANCE; DS-REMITTANCES</x:v>
      </x:c>
      <x:c r="G187" s="24" t="str">
        <x:v>DS-REFORM-EVENTS</x:v>
      </x:c>
      <x:c r="H187" s="24" t="str">
        <x:v>DS-MFI-TEMPORAL-SPINE</x:v>
      </x:c>
      <x:c r="I187" s="24" t="str">
        <x:v>ANALYTICAL IDEA → METHOD MINIMUM → CURRENT EVIDENCE STATE → VISUAL GRAMMAR → SELECT/HOLD</x:v>
      </x:c>
      <x:c r="J187" s="24" t="str">
        <x:v>Several attractive ideas remain held because unique-user, causal, geographic or flow-width conditions are not satisfied.</x:v>
      </x:c>
      <x:c r="K187" s="24" t="str">
        <x:v>/methodology + internal product governance</x:v>
      </x:c>
    </x:row>
    <x:row r="188">
      <x:c r="A188" s="24" t="str">
        <x:v>Q-025</x:v>
      </x:c>
      <x:c r="B188" s="24" t="str">
        <x:v>Which post-B0 canonical additions enter the next immutable package before B1?</x:v>
      </x:c>
      <x:c r="C188" s="24" t="str">
        <x:v>Creates an explicit evidence/content selection gate after D2 rather than silently shipping every new canonical object.</x:v>
      </x:c>
      <x:c r="D188" s="24" t="str">
        <x:v>DS-FINDEX-PUBLIC-HISTORY</x:v>
      </x:c>
      <x:c r="E188" s="24"/>
      <x:c r="F188" s="24"/>
      <x:c r="G188" s="24"/>
      <x:c r="H188" s="24" t="str">
        <x:v>DS-DEMAND-VINTAGE-LENS</x:v>
      </x:c>
      <x:c r="I188" s="24" t="str">
        <x:v>CANONICAL DELTA → PUBLICATION/RIGHTS → EDITORIAL TIER → PACKAGE SELECTION → NEW IMMUTABLE PACKAGE → B1</x:v>
      </x:c>
      <x:c r="J188" s="24" t="str">
        <x:v>Selected objects still require actual package compilation and implementation acceptance.</x:v>
      </x:c>
      <x:c r="K188" s="24" t="str">
        <x:v>internal build governance</x:v>
      </x:c>
    </x:row>
    <x:row r="189">
      <x:c r="A189" s="24" t="str">
        <x:v>Q-026</x:v>
      </x:c>
      <x:c r="B189" s="24" t="str">
        <x:v>How does YFSI compare with leading financial-inclusion measurement systems without becoming a copy of them?</x:v>
      </x:c>
      <x:c r="C189" s="24" t="str">
        <x:v>Uses benchmarks as method challenge while keeping Yemen evidence/source authority primary.</x:v>
      </x:c>
      <x:c r="D189" s="24"/>
      <x:c r="E189" s="24"/>
      <x:c r="F189" s="24"/>
      <x:c r="G189" s="24"/>
      <x:c r="H189" s="24" t="str">
        <x:v>DS-GLOBAL-BENCHMARK-CHALLENGE</x:v>
      </x:c>
      <x:c r="I189" s="24" t="str">
        <x:v>GLOBAL_METHOD → YEMEN_SOURCE_REALITY → ADOPT/EXCEED/HOLD</x:v>
      </x:c>
      <x:c r="J189" s="24" t="str">
        <x:v>Benchmarks cannot create missing Yemen observations.</x:v>
      </x:c>
      <x:c r="K189" s="24" t="str">
        <x:v>/methodology</x:v>
      </x:c>
    </x:row>
    <x:row r="190">
      <x:c r="A190" s="24" t="str">
        <x:v>Q-027</x:v>
      </x:c>
      <x:c r="B190" s="24" t="str">
        <x:v>How should YFSI relate to the institutions already working on financial inclusion, cash, livelihoods, infrastructure and macro stability in Yemen?</x:v>
      </x:c>
      <x:c r="C190" s="24" t="str">
        <x:v>Clarifies value-add and prevents institutional overreach.</x:v>
      </x:c>
      <x:c r="D190" s="24"/>
      <x:c r="E190" s="24" t="str">
        <x:v>DS-PROVIDER-OBSERVABILITY</x:v>
      </x:c>
      <x:c r="F190" s="24"/>
      <x:c r="G190" s="24" t="str">
        <x:v>DS-REFORM-EVENTS</x:v>
      </x:c>
      <x:c r="H190" s="24" t="str">
        <x:v>DS-YEMEN-ECOSYSTEM-ALIGNMENT</x:v>
      </x:c>
      <x:c r="I190" s="24" t="str">
        <x:v>ACTOR_ROLE → SOURCE_ROLE → YFSI_COMPLEMENT → NON_ROLE</x:v>
      </x:c>
      <x:c r="J190" s="24" t="str">
        <x:v>Partnership role cannot upgrade evidence state or authority.</x:v>
      </x:c>
      <x:c r="K190" s="24" t="str">
        <x:v>/ + /methodology</x:v>
      </x:c>
    </x:row>
    <x:row r="191">
      <x:c r="A191" s="24" t="str">
        <x:v>Q-028</x:v>
      </x:c>
      <x:c r="B191" s="24" t="str">
        <x:v>What does independent review require before an advanced analysis or visualization reaches the public interface?</x:v>
      </x:c>
      <x:c r="C191" s="24" t="str">
        <x:v>Creates three separate challenge lanes instead of one self-review.</x:v>
      </x:c>
      <x:c r="D191" s="24"/>
      <x:c r="E191" s="24"/>
      <x:c r="F191" s="24"/>
      <x:c r="G191" s="24"/>
      <x:c r="H191" s="24"/>
      <x:c r="I191" s="24" t="str">
        <x:v>FI_METHOD + DATA_SCIENCE + PUBLIC_INTEREST → CONSENSUS/HOLD → B1</x:v>
      </x:c>
      <x:c r="J191" s="24" t="str">
        <x:v>Passing one review lane cannot override a failure in another.</x:v>
      </x:c>
      <x:c r="K191" s="24" t="str">
        <x:v>internal / methodology</x:v>
      </x:c>
    </x:row>
    <x:row r="192">
      <x:c r="A192" s="24" t="str">
        <x:v>Q-029</x:v>
      </x:c>
      <x:c r="B192" s="24" t="str">
        <x:v>Is the current selected canonical delta compiled into an immutable package that can enter implementation?</x:v>
      </x:c>
      <x:c r="C192" s="24" t="str">
        <x:v>Closes the package integrity/rights/schema gap before B1.</x:v>
      </x:c>
      <x:c r="D192" s="24"/>
      <x:c r="E192" s="24"/>
      <x:c r="F192" s="24"/>
      <x:c r="G192" s="24"/>
      <x:c r="H192" s="24"/>
      <x:c r="I192" s="24" t="str">
        <x:v>SELECTION → ASSET MANIFEST → SCHEMA/SEMANTIC/RIGHTS TESTS → IMMUTABLE ZIP → IMPLEMENT</x:v>
      </x:c>
      <x:c r="J192" s="24" t="str">
        <x:v>Package PASS still does not equal B1 build acceptance.</x:v>
      </x:c>
      <x:c r="K192" s="24" t="str">
        <x:v>internal build governance</x:v>
      </x:c>
    </x:row>
    <x:row r="193">
      <x:c r="A193" s="24" t="str">
        <x:v>Q-030</x:v>
      </x:c>
      <x:c r="B193" s="24" t="str">
        <x:v>Have all legacy assets been either used, superseded, held or rejected — rather than silently ignored?</x:v>
      </x:c>
      <x:c r="C193" s="24" t="str">
        <x:v>Turns 'use all data' into an auditable legacy-coverage decision instead of indiscriminate ingestion.</x:v>
      </x:c>
      <x:c r="D193" s="24"/>
      <x:c r="E193" s="24"/>
      <x:c r="F193" s="24"/>
      <x:c r="G193" s="24"/>
      <x:c r="H193" s="24" t="str">
        <x:v>DS-LEGACY-COVERAGE; DS-LEGACY-RESCUE</x:v>
      </x:c>
      <x:c r="I193" s="24" t="str">
        <x:v>LEGACY_ASSET → CURRENT_AUTHORITY/METHOD_CHECK → ADMIT/SUPERSEDE/SALVAGE/HOLD/REJECT → NAMED_YFSI_DESTINATION</x:v>
      </x:c>
      <x:c r="J193" s="24" t="str">
        <x:v>Bayan 4 large archive remains only partially reviewable; some source candidates require primary/currentness/rights verification.</x:v>
      </x:c>
      <x:c r="K193" s="24" t="str">
        <x:v>internal governance</x:v>
      </x:c>
    </x:row>
    <x:row r="194">
      <x:c r="A194" s="24" t="str">
        <x:v>Q-031</x:v>
      </x:c>
      <x:c r="B194" s="24" t="str">
        <x:v>Does every priority audience have a recurring decision/job that YFSI can actually help with?</x:v>
      </x:c>
      <x:c r="C194" s="24" t="str">
        <x:v>Prevents stakeholder-name lists from masquerading as product strategy.</x:v>
      </x:c>
      <x:c r="D194" s="24"/>
      <x:c r="E194" s="24" t="str">
        <x:v>DS-CBY-DECISION-UTILITY</x:v>
      </x:c>
      <x:c r="F194" s="24"/>
      <x:c r="G194" s="24"/>
      <x:c r="H194" s="24" t="str">
        <x:v>DS-AUDIENCE-DECISION-PRODUCTS; DS-GOVT-DONOR-DECISION-ROOMS</x:v>
      </x:c>
      <x:c r="I194" s="24" t="str">
        <x:v>AUDIENCE → JOB_TO_BE_DONE → EVIDENCE_AVAILABLE → PRODUCT → NON_ROLE → ACCEPTANCE_TEST</x:v>
      </x:c>
      <x:c r="J194" s="24" t="str">
        <x:v>Some products require partner/primary data and cannot be fully public today.</x:v>
      </x:c>
      <x:c r="K194" s="24" t="str">
        <x:v>/ + /methodology</x:v>
      </x:c>
    </x:row>
    <x:row r="195">
      <x:c r="A195" s="24" t="str">
        <x:v>Q-032</x:v>
      </x:c>
      <x:c r="B195" s="24" t="str">
        <x:v>How can YFSI explain the economic cost of exclusion or no action without inventing a macro impact number?</x:v>
      </x:c>
      <x:c r="C195" s="24" t="str">
        <x:v>Creates useful plain-economics tools while separating arithmetic, scenarios, forecasts and causal counterfactuals.</x:v>
      </x:c>
      <x:c r="D195" s="24" t="str">
        <x:v>DS-FINDEX-PUBLIC-HISTORY</x:v>
      </x:c>
      <x:c r="E195" s="24"/>
      <x:c r="F195" s="24" t="str">
        <x:v>DS-FIRM-FINANCE; DS-REMITTANCES</x:v>
      </x:c>
      <x:c r="G195" s="24"/>
      <x:c r="H195" s="24" t="str">
        <x:v>DS-PUBLIC-ECONOMICS-LAB</x:v>
      </x:c>
      <x:c r="I195" s="24" t="str">
        <x:v>PUBLIC_QUESTION → MODEL_CLASS → INPUT_STATE → ASSUMPTION_LEDGER → ALLOWED_OUTPUT / FORBIDDEN_INFERENCE</x:v>
      </x:c>
      <x:c r="J195" s="24" t="str">
        <x:v>National GDP-loss/peace-dividend counterfactual remains HOLD absent separately validated causal model.</x:v>
      </x:c>
      <x:c r="K195" s="24" t="str">
        <x:v>/people + /firms + /payments + /methodology</x:v>
      </x:c>
    </x:row>
    <x:row r="196">
      <x:c r="A196" s="24" t="str">
        <x:v>Q-033</x:v>
      </x:c>
      <x:c r="B196" s="24" t="str">
        <x:v>Can a researcher cite, reproduce and audit a YFSI object without reverse-engineering the website?</x:v>
      </x:c>
      <x:c r="C196" s="24" t="str">
        <x:v>Moves YFSI toward journal-grade evidence infrastructure.</x:v>
      </x:c>
      <x:c r="D196" s="24" t="str">
        <x:v>DS-FINDEX-PUBLIC-HISTORY</x:v>
      </x:c>
      <x:c r="E196" s="24"/>
      <x:c r="F196" s="24"/>
      <x:c r="G196" s="24"/>
      <x:c r="H196" s="24" t="str">
        <x:v>DS-RESEARCH-REPRODUCIBILITY</x:v>
      </x:c>
      <x:c r="I196" s="24" t="str">
        <x:v>OBJECT_ID → SOURCE/VERSION → METHOD/DENOMINATOR → RIGHTS → MACHINE_DATA / RECIPE → CITATION / RELEASE_DIFF</x:v>
      </x:c>
      <x:c r="J196" s="24" t="str">
        <x:v>Raw or rights-restricted inputs cannot be redistributed merely for reproducibility.</x:v>
      </x:c>
      <x:c r="K196" s="24" t="str">
        <x:v>/data + /methodology + /evidence</x:v>
      </x:c>
    </x:row>
    <x:row r="197">
      <x:c r="A197" s="24" t="str">
        <x:v>Q-034</x:v>
      </x:c>
      <x:c r="B197" s="24" t="str">
        <x:v>What can YFSI provide to CBY leadership that is genuinely decision-useful without becoming a shadow supervisory system?</x:v>
      </x:c>
      <x:c r="C197" s="24" t="str">
        <x:v>Transforms public/authorized evidence into definition, currentness, gap and reform utilities while preserving CBY authority.</x:v>
      </x:c>
      <x:c r="D197" s="24" t="str">
        <x:v>DS-FINDEX-WB-OBS</x:v>
      </x:c>
      <x:c r="E197" s="24" t="str">
        <x:v>DS-PROVIDER-OBSERVABILITY</x:v>
      </x:c>
      <x:c r="F197" s="24" t="str">
        <x:v>DS-CBY-PAYMENTS</x:v>
      </x:c>
      <x:c r="G197" s="24" t="str">
        <x:v>DS-REFORM-EVENTS; DS-FCP-ARCH</x:v>
      </x:c>
      <x:c r="H197" s="24" t="str">
        <x:v>DS-CBY-DECISION-UTILITY</x:v>
      </x:c>
      <x:c r="I197" s="24" t="str">
        <x:v>PUBLIC_OR_AUTHORIZED_EVIDENCE → DECISION_QUESTION → DEFINITION/CURRENTNESS/GAP/STATE → DATA_REQUEST / BRIEF</x:v>
      </x:c>
      <x:c r="J197" s="24" t="str">
        <x:v>No supervisory finding, compliance certification, institution ranking or non-public operational assertion.</x:v>
      </x:c>
      <x:c r="K197" s="24" t="str">
        <x:v>/payments + /providers + /reforms + /evidence</x:v>
      </x:c>
    </x:row>
    <x:row r="198">
      <x:c r="A198" s="24" t="str">
        <x:v>Q-035</x:v>
      </x:c>
      <x:c r="B198" s="24" t="str">
        <x:v>How can CauseWay use YFSI in the live World Bank NFID Diagnostic opportunity without pretending the platform replaces the required primary study?</x:v>
      </x:c>
      <x:c r="C198" s="24" t="str">
        <x:v>Maps TOR workstreams to existing infrastructure, missing primary collection and secure delivery tools.</x:v>
      </x:c>
      <x:c r="D198" s="24" t="str">
        <x:v>DS-FINDEX-WB-OBS</x:v>
      </x:c>
      <x:c r="E198" s="24" t="str">
        <x:v>DS-PROVIDER-OBSERVABILITY</x:v>
      </x:c>
      <x:c r="F198" s="24" t="str">
        <x:v>DS-FIRM-FINANCE</x:v>
      </x:c>
      <x:c r="G198" s="24" t="str">
        <x:v>DS-REFORM-EVENTS; DS-FCP-ARCH</x:v>
      </x:c>
      <x:c r="H198" s="24" t="str">
        <x:v>DS-NFID-EOI-ALIGNMENT</x:v>
      </x:c>
      <x:c r="I198" s="24" t="str">
        <x:v>TOR_REQUIREMENT → EXISTING_YFSI_ASSET → NEW_PRIMARY_DATA_REQUIRED → BID/DELIVERY_TOOL → CONFIDENTIALITY_BOUNDARY</x:v>
      </x:c>
      <x:c r="J198" s="24" t="str">
        <x:v>FSP survey/interview evidence does not yet exist; assignment-confidential data must remain outside public YFSI unless approved for release.</x:v>
      </x:c>
      <x:c r="K198" s="24" t="str">
        <x:v>internal partnership / bid</x:v>
      </x:c>
    </x:row>
    <x:row r="199">
      <x:c r="A199" s="24" t="str">
        <x:v>Q-036</x:v>
      </x:c>
      <x:c r="B199" s="24" t="str">
        <x:v>Is the current B1 product expressing the analytical power of the canon clearly enough for people, researchers and decision-makers?</x:v>
      </x:c>
      <x:c r="C199" s="24" t="str">
        <x:v>Makes product usefulness an independent gate in addition to technical correctness.</x:v>
      </x:c>
      <x:c r="D199" s="24" t="str">
        <x:v>DS-FINDEX-PUBLIC-HISTORY</x:v>
      </x:c>
      <x:c r="E199" s="24" t="str">
        <x:v>DS-PROVIDER-OBSERVABILITY</x:v>
      </x:c>
      <x:c r="F199" s="24" t="str">
        <x:v>DS-CBY-PAYMENTS; DS-REMITTANCES</x:v>
      </x:c>
      <x:c r="G199" s="24" t="str">
        <x:v>DS-REFORM-EVENTS</x:v>
      </x:c>
      <x:c r="H199" s="24" t="str">
        <x:v>DS-B1-PRODUCT-CHALLENGE</x:v>
      </x:c>
      <x:c r="I199" s="24" t="str">
        <x:v>CANONICAL_POWER → CURRENT_RENDERED_PRODUCT → AUDIENCE_TASK_TEST → FIX/ELEVATE/HOLD</x:v>
      </x:c>
      <x:c r="J199" s="24" t="str">
        <x:v>B1 v0.3 fixes known state-label/borrowing defects but strategic audience-product testing remains open.</x:v>
      </x:c>
      <x:c r="K199" s="24" t="str">
        <x:v>internal / product</x:v>
      </x:c>
    </x:row>
    <x:row r="200">
      <x:c r="A200" s="24" t="str">
        <x:v>Q-037</x:v>
      </x:c>
      <x:c r="B200" s="24" t="str">
        <x:v>Can a public financial-inclusion tool be useful without turning assumptions into facts?</x:v>
      </x:c>
      <x:c r="C200" s="24" t="str">
        <x:v>Tests whether plain-economics calculators preserve model class, assumptions and causal boundaries.</x:v>
      </x:c>
      <x:c r="D200" s="24" t="str">
        <x:v>DS-FINDEX-PUBLIC-HISTORY</x:v>
      </x:c>
      <x:c r="E200" s="24"/>
      <x:c r="F200" s="24" t="str">
        <x:v>DS-REMITTANCES</x:v>
      </x:c>
      <x:c r="G200" s="24"/>
      <x:c r="H200" s="24" t="str">
        <x:v>DS-PUBLIC-ECONOMICS-IMPL</x:v>
      </x:c>
      <x:c r="I200" s="24" t="str">
        <x:v>USER_INPUT / ELIGIBLE_FACT → MODEL_CLASS → ASSUMPTION_LEDGER → ARITHMETIC/SCENARIO OUTPUT → EXPLICIT NON_CAUSAL BOUNDARY</x:v>
      </x:c>
      <x:c r="J200" s="24" t="str">
        <x:v>No validated national causal cost-of-exclusion model.</x:v>
      </x:c>
      <x:c r="K200" s="24" t="str">
        <x:v>/learn + /methodology</x:v>
      </x:c>
    </x:row>
    <x:row r="201">
      <x:c r="A201" s="24" t="str">
        <x:v>Q-038</x:v>
      </x:c>
      <x:c r="B201" s="24" t="str">
        <x:v>Can a researcher cite, download and audit the exact YFSI object without redistributing restricted source data?</x:v>
      </x:c>
      <x:c r="C201" s="24" t="str">
        <x:v>Converts research reproducibility from architecture into a tested product behavior.</x:v>
      </x:c>
      <x:c r="D201" s="24" t="str">
        <x:v>DS-FINDEX-PUBLIC-HISTORY</x:v>
      </x:c>
      <x:c r="E201" s="24"/>
      <x:c r="F201" s="24"/>
      <x:c r="G201" s="24"/>
      <x:c r="H201" s="24" t="str">
        <x:v>DS-RESEARCH-LAB-IMPL</x:v>
      </x:c>
      <x:c r="I201" s="24" t="str">
        <x:v>OBJECT_ID → SOURCE/PASSPORT → RIGHTS → CITATION / SAFE_EXPORT → RELEASE_VERSION</x:v>
      </x:c>
      <x:c r="J201" s="24" t="str">
        <x:v>Persistent R0 URLs, release diff and full derivation recipes remain open.</x:v>
      </x:c>
      <x:c r="K201" s="24" t="str">
        <x:v>/research + /data</x:v>
      </x:c>
    </x:row>
    <x:row r="202">
      <x:c r="A202" s="24" t="str">
        <x:v>Q-039</x:v>
      </x:c>
      <x:c r="B202" s="24" t="str">
        <x:v>Can CBY-facing decision utility improve definitions and evidence readiness without imitating supervision?</x:v>
      </x:c>
      <x:c r="C202" s="24" t="str">
        <x:v>Tests the strongest institutional value proposition against the permanent non-authority boundary.</x:v>
      </x:c>
      <x:c r="D202" s="24"/>
      <x:c r="E202" s="24" t="str">
        <x:v>DS-PROVIDER-OBSERVABILITY</x:v>
      </x:c>
      <x:c r="F202" s="24" t="str">
        <x:v>DS-CBY-PAYMENTS</x:v>
      </x:c>
      <x:c r="G202" s="24" t="str">
        <x:v>DS-FCP-ARCH; DS-REFORM-EVENTS</x:v>
      </x:c>
      <x:c r="H202" s="24" t="str">
        <x:v>DS-CBY-UTILITY-IMPL</x:v>
      </x:c>
      <x:c r="I202" s="24" t="str">
        <x:v>PUBLIC/AUTHORIZED EVIDENCE → DEFINITION/CURRENTNESS/UNIVERSE GAP → DATA SPEC/KPI CONTRACT → DECISION SUPPORT</x:v>
      </x:c>
      <x:c r="J202" s="24" t="str">
        <x:v>Authorized operational/provider data remain absent; no supervisory conclusion allowed.</x:v>
      </x:c>
      <x:c r="K202" s="24" t="str">
        <x:v>/decision/cby + /payments + /providers</x:v>
      </x:c>
    </x:row>
    <x:row r="203">
      <x:c r="A203" s="24" t="str">
        <x:v>Q-040</x:v>
      </x:c>
      <x:c r="B203" s="24" t="str">
        <x:v>Is the NFID primary-data architecture ready to collect new evidence without contaminating public YFSI with confidential project data?</x:v>
      </x:c>
      <x:c r="C203" s="24" t="str">
        <x:v>Makes the procurement opportunity a secure data-design test rather than a reason to overclaim existing coverage.</x:v>
      </x:c>
      <x:c r="D203" s="24"/>
      <x:c r="E203" s="24" t="str">
        <x:v>DS-PROVIDER-OBSERVABILITY</x:v>
      </x:c>
      <x:c r="F203" s="24" t="str">
        <x:v>DS-FIRM-FINANCE</x:v>
      </x:c>
      <x:c r="G203" s="24" t="str">
        <x:v>DS-FCP-ARCH; DS-REFORM-EVENTS</x:v>
      </x:c>
      <x:c r="H203" s="24" t="str">
        <x:v>DS-NFID-SECURE-ARCH</x:v>
      </x:c>
      <x:c r="I203" s="24" t="str">
        <x:v>TOR → MODULE/FIELD/VALIDATION → SECURE RESPONSE WORKSPACE → ANALYSIS/VALIDATION → APPROVED AGGREGATE/PUBLICATION GATE</x:v>
      </x:c>
      <x:c r="J203" s="24" t="str">
        <x:v>No FSP/interview responses exist; award/clarifications/security terms may change requirements.</x:v>
      </x:c>
      <x:c r="K203" s="24" t="str">
        <x:v>internal secure project / bid</x:v>
      </x:c>
    </x:row>
    <x:row r="204">
      <x:c r="A204" s="24" t="str">
        <x:v>Q-041</x:v>
      </x:c>
      <x:c r="B204" s="24" t="str">
        <x:v>Has B1 v0.4 earned promotion from concept to a controlled production candidate?</x:v>
      </x:c>
      <x:c r="C204" s="24" t="str">
        <x:v>Joins static QA, browser runtime, asset hashes and visual review into one implementation gate.</x:v>
      </x:c>
      <x:c r="D204" s="24"/>
      <x:c r="E204" s="24"/>
      <x:c r="F204" s="24"/>
      <x:c r="G204" s="24"/>
      <x:c r="H204" s="24" t="str">
        <x:v>DS-B1-V04-ASSET-MANIFEST</x:v>
      </x:c>
      <x:c r="I204" s="24" t="str">
        <x:v>IMMUTABLE ASSETS → STATIC QA → CHROMIUM QA → VISUAL QA → PASS/REOPEN → NEXT PRODUCTION INCREMENT</x:v>
      </x:c>
      <x:c r="J204" s="24" t="str">
        <x:v>External task/usability testing, full accessibility matrix and R0 remain open.</x:v>
      </x:c>
      <x:c r="K204" s="24" t="str">
        <x:v>internal build governance</x:v>
      </x:c>
    </x:row>
    <x:row r="205">
      <x:c r="A205" s="24" t="str">
        <x:v>Q-042</x:v>
      </x:c>
      <x:c r="B205" s="24" t="str">
        <x:v>Can every declared public/launch object be compiled without bypassing publication, provenance, rights, semantic or HOLD controls?</x:v>
      </x:c>
      <x:c r="C205" s="24" t="str">
        <x:v>Turns release eligibility into an executable object compiler rather than a collection of disconnected spreadsheets.</x:v>
      </x:c>
      <x:c r="D205" s="24"/>
      <x:c r="E205" s="24"/>
      <x:c r="F205" s="24"/>
      <x:c r="G205" s="24"/>
      <x:c r="H205" s="24" t="str">
        <x:v>DS-FULL-LAUNCH-COMPILER</x:v>
      </x:c>
      <x:c r="I205" s="24" t="str">
        <x:v>PUBLICATION_ELIGIBILITY → PASSPORT/TRACEABILITY → ROUTE/LAUNCH → COMPILER_ACTION → FAIL_CLOSED_PACKAGE</x:v>
      </x:c>
      <x:c r="J205" s="24" t="str">
        <x:v>Full frontend implementation and Arabic authoring remain open.</x:v>
      </x:c>
      <x:c r="K205" s="24" t="str">
        <x:v>internal compiler / methodology</x:v>
      </x:c>
    </x:row>
    <x:row r="206">
      <x:c r="A206" s="24" t="str">
        <x:v>Q-043</x:v>
      </x:c>
      <x:c r="B206" s="24" t="str">
        <x:v>Can the full launch package be consumed by routes without hand-copying evidence or creating route drift?</x:v>
      </x:c>
      <x:c r="C206" s="24" t="str">
        <x:v>Binds immutable release input to governed route contracts and makes missing route state a build failure.</x:v>
      </x:c>
      <x:c r="D206" s="24"/>
      <x:c r="E206" s="24"/>
      <x:c r="F206" s="24"/>
      <x:c r="G206" s="24"/>
      <x:c r="H206" s="24" t="str">
        <x:v>DS-ROUTE-OBJECT-BINDINGS</x:v>
      </x:c>
      <x:c r="I206" s="24" t="str">
        <x:v>IMMUTABLE_PACKAGE → ROUTE_CONTRACT → OBJECT_BINDING → COMPONENT_RENDER / HOLD_GAP</x:v>
      </x:c>
      <x:c r="J206" s="24" t="str">
        <x:v>Binding contract exists; B1 full frontend implementation is next.</x:v>
      </x:c>
      <x:c r="K206" s="24" t="str">
        <x:v>internal build governance</x:v>
      </x:c>
    </x:row>
    <x:row r="207">
      <x:c r="A207" s="24" t="str">
        <x:v>Q-044</x:v>
      </x:c>
      <x:c r="B207" s="24" t="str">
        <x:v>Is bilingual expansion governed object-by-object rather than treated as a final translation pass?</x:v>
      </x:c>
      <x:c r="C207" s="24" t="str">
        <x:v>Makes Arabic a release gate while preserving one language-neutral factual/evidence object.</x:v>
      </x:c>
      <x:c r="D207" s="24" t="str">
        <x:v>DS-FINDEX-PUBLIC-HISTORY</x:v>
      </x:c>
      <x:c r="E207" s="24"/>
      <x:c r="F207" s="24"/>
      <x:c r="G207" s="24"/>
      <x:c r="H207" s="24" t="str">
        <x:v>DS-BILINGUAL-AUTHORING-GATE</x:v>
      </x:c>
      <x:c r="I207" s="24" t="str">
        <x:v>CANONICAL_OBJECT → NATIVE_AR_AUTHORING → TERMINOLOGY_QA → EVIDENCE_INVARIANCE → BROWSER_QA</x:v>
      </x:c>
      <x:c r="J207" s="24" t="str">
        <x:v>Non-P0 Arabic claim narratives are not fully authored yet; R0 remains blocked.</x:v>
      </x:c>
      <x:c r="K207" s="24" t="str">
        <x:v>Arabic full-route implementation</x:v>
      </x:c>
    </x:row>
    <x:row r="208">
      <x:c r="A208" s="24" t="str">
        <x:v>Q-045</x:v>
      </x:c>
      <x:c r="B208" s="24" t="str">
        <x:v>Has the canonical evidence/product system reached the point where full B1 frontend implementation can proceed without reopening evidence truth?</x:v>
      </x:c>
      <x:c r="C208" s="24" t="str">
        <x:v>Joins publication completeness, package integrity, routes, HOLD behavior and bilingual gating into one next-lane decision.</x:v>
      </x:c>
      <x:c r="D208" s="24"/>
      <x:c r="E208" s="24"/>
      <x:c r="F208" s="24"/>
      <x:c r="G208" s="24"/>
      <x:c r="H208" s="24" t="str">
        <x:v>DS-V022-RECON-GATE</x:v>
      </x:c>
      <x:c r="I208" s="24" t="str">
        <x:v>CANONICAL_TRUTH → FULL_LAUNCH_COMPILER → IMMUTABLE_PACKAGE → B1_FULL_IMPLEMENTATION</x:v>
      </x:c>
      <x:c r="J208" s="24" t="str">
        <x:v>Audience task acceptance, full accessibility/device regression and R0 remain open.</x:v>
      </x:c>
      <x:c r="K208" s="24" t="str">
        <x:v>internal release control</x:v>
      </x:c>
    </x:row>
    <x:row r="209">
      <x:c r="A209" s="24" t="str">
        <x:v>Q-046</x:v>
      </x:c>
      <x:c r="B209" s="24" t="str">
        <x:v>How much is remitted to Yemen, and why do credible estimates differ?</x:v>
      </x:c>
      <x:c r="C209" s="24" t="str">
        <x:v>Prevents a false single-number baseline and identifies conclusions robust to method/scope.</x:v>
      </x:c>
      <x:c r="D209" s="24" t="str">
        <x:v>Household/remittance context</x:v>
      </x:c>
      <x:c r="E209" s="24"/>
      <x:c r="F209" s="24" t="str">
        <x:v>CBY/IMF/CCY flows</x:v>
      </x:c>
      <x:c r="G209" s="24"/>
      <x:c r="H209" s="24" t="str">
        <x:v>World Bank/IGC history</x:v>
      </x:c>
      <x:c r="I209" s="24" t="str">
        <x:v>REGIME → COMPONENT_METHOD → SCOPE → MODEL/OBSERVATION → RESIDUAL → ROBUST_CONCLUSION</x:v>
      </x:c>
      <x:c r="J209" s="24" t="str">
        <x:v>Exact remittance formula/CBY scope crosswalk.</x:v>
      </x:c>
      <x:c r="K209" s="24" t="str">
        <x:v>/remittances + /evidence/compare</x:v>
      </x:c>
    </x:row>
    <x:row r="210">
      <x:c r="A210" s="24" t="str">
        <x:v>Q-047</x:v>
      </x:c>
      <x:c r="B210" s="24" t="str">
        <x:v>Can CBY and IMF external-sector tables be converted into each other?</x:v>
      </x:c>
      <x:c r="C210" s="24" t="str">
        <x:v>Answers the crosswalk question component-by-component rather than with an invented scalar.</x:v>
      </x:c>
      <x:c r="D210" s="24"/>
      <x:c r="E210" s="24"/>
      <x:c r="F210" s="24" t="str">
        <x:v>CBY/IMF BOP components</x:v>
      </x:c>
      <x:c r="G210" s="24"/>
      <x:c r="H210" s="24" t="str">
        <x:v>IMF method history</x:v>
      </x:c>
      <x:c r="I210" s="24" t="str">
        <x:v>COMPONENT → CONCEPT → SIGN → SOURCE → TRANSFORM → GEOGRAPHY → COMPARABILITY_CLASS</x:v>
      </x:c>
      <x:c r="J210" s="24" t="str">
        <x:v>Detailed mission crosswalk and financial-account mapping.</x:v>
      </x:c>
      <x:c r="K210" s="24" t="str">
        <x:v>/external-sector + /methodology</x:v>
      </x:c>
    </x:row>
    <x:row r="211">
      <x:c r="A211" s="24" t="str">
        <x:v>Q-048</x:v>
      </x:c>
      <x:c r="B211" s="24" t="str">
        <x:v>How should Yemen's external-flow uncertainty change a decision?</x:v>
      </x:c>
      <x:c r="C211" s="24" t="str">
        <x:v>Makes E&amp;O and stock-flow reconciliation visible before precise flow ranking.</x:v>
      </x:c>
      <x:c r="D211" s="24"/>
      <x:c r="E211" s="24"/>
      <x:c r="F211" s="24" t="str">
        <x:v>BOP/IIP/residual evidence</x:v>
      </x:c>
      <x:c r="G211" s="24"/>
      <x:c r="H211" s="24" t="str">
        <x:v>BPM standard</x:v>
      </x:c>
      <x:c r="I211" s="24" t="str">
        <x:v>FLOW → RESIDUAL_SCALE → COMPONENT_RECON → STOCK_FLOW_TEST → CONFIDENCE_BOUNDARY</x:v>
      </x:c>
      <x:c r="J211" s="24" t="str">
        <x:v>Component-level E&amp;O and IIP reconciliation inputs.</x:v>
      </x:c>
      <x:c r="K211" s="24" t="str">
        <x:v>/external-sector + /evidence</x:v>
      </x:c>
    </x:row>
    <x:row r="212">
      <x:c r="A212" s="24" t="str">
        <x:v>Q-049</x:v>
      </x:c>
      <x:c r="B212" s="24" t="str">
        <x:v>When does a cash payment become durable financial inclusion?</x:v>
      </x:c>
      <x:c r="C212" s="24" t="str">
        <x:v>Separates delivery success from persistent active use and outcome.</x:v>
      </x:c>
      <x:c r="D212" s="24" t="str">
        <x:v>Programme/household evidence</x:v>
      </x:c>
      <x:c r="E212" s="24" t="str">
        <x:v>Rail/provider evidence</x:v>
      </x:c>
      <x:c r="F212" s="24" t="str">
        <x:v>Cash/payment evidence</x:v>
      </x:c>
      <x:c r="G212" s="24" t="str">
        <x:v>Project/regulatory state</x:v>
      </x:c>
      <x:c r="H212" s="24" t="str">
        <x:v>CCY/REACH/WB context</x:v>
      </x:c>
      <x:c r="I212" s="24" t="str">
        <x:v>DELIVERY → USABILITY → RESILIENCE → LINKAGES → FORMAL_ACCESS → DURABLE_USE → OUTCOME</x:v>
      </x:c>
      <x:c r="J212" s="24" t="str">
        <x:v>Longitudinal post-transfer transaction data.</x:v>
      </x:c>
      <x:c r="K212" s="24" t="str">
        <x:v>/cash + /people + /payments</x:v>
      </x:c>
    </x:row>
    <x:row r="213">
      <x:c r="A213" s="24" t="str">
        <x:v>Q-050</x:v>
      </x:c>
      <x:c r="B213" s="24" t="str">
        <x:v>How does Saudi support move from announcement to economic use?</x:v>
      </x:c>
      <x:c r="C213" s="24" t="str">
        <x:v>Prevents double count and distinguishes fiscal, reserve, import-finance and project channels.</x:v>
      </x:c>
      <x:c r="D213" s="24"/>
      <x:c r="E213" s="24"/>
      <x:c r="F213" s="24" t="str">
        <x:v>Budget/deposit/auction flows</x:v>
      </x:c>
      <x:c r="G213" s="24"/>
      <x:c r="H213" s="24" t="str">
        <x:v>AidData history</x:v>
      </x:c>
      <x:c r="I213" s="24" t="str">
        <x:v>PLEDGE/COMMITMENT → CUSTODY/AGREEMENT → AVAILABLE/DISBURSED → AUCTION/IN_KIND/PROJECT_USE</x:v>
      </x:c>
      <x:c r="J213" s="24" t="str">
        <x:v>Reconciled parent-package/tranche/disbursement ledger.</x:v>
      </x:c>
      <x:c r="K213" s="24" t="str">
        <x:v>/external-support + /system</x:v>
      </x:c>
    </x:row>
  </x:sheetData>
  <x:mergeCells>
    <x:mergeCell ref="A1:N1"/>
    <x:mergeCell ref="A2:N2"/>
    <x:mergeCell ref="A4:K4"/>
    <x:mergeCell ref="A40:I40"/>
    <x:mergeCell ref="A106:H106"/>
    <x:mergeCell ref="A150:N150"/>
    <x:mergeCell ref="A162:K162"/>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row>
    <x:row r="6">
      <x:c r="A6" s="24" t="str">
        <x:v>EP-CBY-POS-MONTHLY</x:v>
      </x:c>
      <x:c r="B6" s="24" t="str">
        <x:v>Series</x:v>
      </x:c>
      <x:c r="C6" s="24" t="str">
        <x:v>POS monthly observations</x:v>
      </x:c>
      <x:c r="D6" s="24" t="str">
        <x:v>Central Bank of Yemen — Aden</x:v>
      </x:c>
      <x:c r="E6" s="24" t="str">
        <x:v>IND-0002/0003/0004</x:v>
      </x:c>
      <x:c r="F6" s="24" t="str">
        <x:v>Mar-2025–Jan-2026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A smaller source-internal mismatch also appears in June 2025: 733→791 terminals imply approximately +7.91%, while the June graphic displays +7.6%.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discrepancies prominently; retain the June 2025 mismatch in the evidence detail/method note. Keep the September 2025 gap only on the YER transaction-value series, not on terminal counts.</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row>
    <x:row r="9">
      <x:c r="A9" s="24" t="str">
        <x:v>EP-FIRM-2022</x:v>
      </x:c>
      <x:c r="B9" s="24" t="str">
        <x:v>Survey</x:v>
      </x:c>
      <x:c r="C9" s="24" t="str">
        <x:v>Formal enterprise finance evidence</x:v>
      </x:c>
      <x:c r="D9" s="24" t="str">
        <x:v>World Bank 2022 custom enterprise survey</x:v>
      </x:c>
      <x:c r="E9" s="24" t="str">
        <x:v>FFM-001..007</x:v>
      </x:c>
      <x:c r="F9" s="24" t="str">
        <x:v>2022-09</x:v>
      </x:c>
      <x:c r="G9" s="24" t="str">
        <x:v>Formal enterprises in seven selected governorates</x:v>
      </x:c>
      <x:c r="H9" s="24" t="str">
        <x:v>Custom enterprise survey</x:v>
      </x:c>
      <x:c r="I9" s="24" t="str">
        <x:v>Not national; some tables have small conditional denominators; obstacle tabulation has filtered denominator</x:v>
      </x:c>
      <x:c r="J9" s="24" t="str">
        <x:v>PRIMARY_SURVEY</x:v>
      </x:c>
      <x:c r="K9" s="24" t="str">
        <x:v>/firms/</x:v>
      </x:c>
      <x:c r="L9" s="24" t="str">
        <x:v>Every chart shows sample/universe/denominator.</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141</x:v>
      </x:c>
      <x:c r="D5" s="24" t="n">
        <x:f>COUNTA('02_SITE_MAP'!A5:A300)</x:f>
        <x:v>141</x:v>
      </x:c>
      <x:c r="E5" s="24" t="str">
        <x:f>IF(D5=C5,"READY","REVIEW")</x:f>
        <x:v>READY</x:v>
      </x:c>
      <x:c r="F5" s="24" t="str">
        <x:v>02_SITE_MAP</x:v>
      </x:c>
      <x:c r="G5" s="24" t="str">
        <x:v>Every site page instance is represented.</x:v>
      </x:c>
    </x:row>
    <x:row r="6">
      <x:c r="A6" s="24" t="str">
        <x:v>Site</x:v>
      </x:c>
      <x:c r="B6" s="24" t="str">
        <x:v>Bilingual page sections</x:v>
      </x:c>
      <x:c r="C6" s="24" t="n">
        <x:v>572</x:v>
      </x:c>
      <x:c r="D6" s="24" t="n">
        <x:v>572</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108</x:v>
      </x:c>
      <x:c r="D8" s="24" t="n">
        <x:f>COUNTA('06_EVIDENCE_OBJECTS'!A5:A300)</x:f>
        <x:v>108</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59</x:v>
      </x:c>
      <x:c r="D9" s="24" t="n">
        <x:f>COUNTA('07_PUBLIC_CLAIMS'!A5:A200)</x:f>
        <x:v>59</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24</x:v>
      </x:c>
      <x:c r="D14" s="24" t="n">
        <x:v>24</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159</x:v>
      </x:c>
      <x:c r="D15" s="24" t="n">
        <x:v>159</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17</x:v>
      </x:c>
      <x:c r="D21" s="24" t="n">
        <x:f>COUNTA('23_REMITTANCES'!A5:A100)</x:f>
        <x:v>17</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