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144</x:v>
      </x:c>
      <x:c r="C14" s="23" t="n">
        <x:v>144</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237</x:v>
      </x:c>
      <x:c r="C15" s="23" t="n">
        <x:v>237</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11</x:v>
      </x:c>
      <x:c r="C19" s="23" t="n">
        <x:v>11</x:v>
      </x:c>
    </x:row>
    <x:row r="20">
      <x:c r="A20" s="23" t="str">
        <x:v>Measurement priorities</x:v>
      </x:c>
      <x:c r="B20" s="23" t="n">
        <x:f>COUNTA('10_MEASUREMENT_AGENDA'!A5:A50)</x:f>
        <x:v>10</x:v>
      </x:c>
      <x:c r="C20" s="23" t="n">
        <x:v>10</x:v>
      </x:c>
    </x:row>
    <x:row r="21">
      <x:c r="A21" s="23" t="str">
        <x:v>Visual objects</x:v>
      </x:c>
      <x:c r="B21" s="23" t="n">
        <x:f>COUNTA('11_VISUAL_LIBRARY'!A5:A100)</x:f>
        <x:v>39</x:v>
      </x:c>
      <x:c r="C21" s="23" t="n">
        <x:v>39</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168</x:v>
      </x:c>
      <x:c r="C24" s="23" t="n">
        <x:v>168</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/evidence/CBY-BANKS-2026-05/</x:v>
      </x:c>
      <x:c r="B148" s="24" t="str">
        <x:v>evidence_detail</x:v>
      </x:c>
      <x:c r="C148" s="24" t="str">
        <x:v>/evidence/[id]</x:v>
      </x:c>
      <x:c r="D148" s="24" t="str">
        <x:v>CBY-BANKS-2026-05</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mobile-money questions were not asked in Yemen's survey, so the figure here reflects accounts at financial institutions. Fieldwork ran from 7 November 2022 to 9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أسئلة خدمات الأموال عبر الهاتف لم تُطرح في مسح اليمن، فالنسبة هنا تعكس الحسابات لدى المؤسسات المالية. نُفذ العمل الميداني من 7 نوفمبر 2022 إلى 9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which this resource reads as not reported, not as zero.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ويقرأ هذا المورد تلك القيم على أنها غير مُبلَّغ عنها، لا على أنها صفر.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مدفوعة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calculation bases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وقاعدتا احتساب مختلفتان</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
Three figures for women’s account ownership circulate,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with no date and no source, so it is not used here as a measurement. The two measurements come from different waves and are not joined into a trend here, and neither explains the gap.</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
تُتداوَل ثلاثة أرقام لنسبة النساء اللواتي يملكن حسابًا، اثنان منها فقط قياسان. فقد قدّرت موجة 2021 من المؤشر العالمي للشمول المالي (Findex)، التي نُفذ عملها الميداني في اليمن خلال 2022–2023، أن 5.4% من النساء بعمر 15 سنة فأكثر يملكن حسابًا، وهو تقدير مسحي مرجّح للمناطق التي شملها المسح؛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من دون تاريخ ولا مصدر، ولذلك لا يُستخدم هنا قياسًا. والقياسان من موجتين مختلفتين، ولا يُربط بينهما هنا لاستخلاص اتجاه، ولا يفسر أيٌّ منهما الفجوة.</x:v>
      </x:c>
    </x:row>
    <x:row r="271">
      <x:c r="A271" s="24" t="str">
        <x:v>/readings/gender-gap-measured-causes-open/</x:v>
      </x:c>
      <x:c r="B271" s="24" t="n">
        <x:v>3</x:v>
      </x:c>
      <x:c r="C271" s="24"/>
      <x:c r="D271" s="24" t="str">
        <x:v>The causes are not yet established</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أسباب الفجوة لم تُثبَت بعد</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85"/>
      <x:c r="G285"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03">
      <x:c r="A303" t="str">
        <x:v>/reforms/</x:v>
      </x:c>
      <x:c r="B303" t="n">
        <x:v>7</x:v>
      </x:c>
      <x:c r="C303" t="str">
        <x:v>Evidence</x:v>
      </x:c>
      <x:c r="D303" t="str">
        <x:v>IMF Management approved an 18-month Staff-Monitored Program in October 2026; it is not IMF financing</x:v>
      </x:c>
      <x:c r="E303"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03"/>
      <x:c r="G303"/>
    </x:row>
    <x:row r="304">
      <x:c r="A304" t="str">
        <x:v>/reforms/</x:v>
      </x:c>
      <x:c r="B304" t="n">
        <x:v>7</x:v>
      </x:c>
      <x:c r="C304" t="str">
        <x:v>الدليل</x:v>
      </x:c>
      <x:c r="D304"/>
      <x:c r="E304"/>
      <x:c r="F304" t="str">
        <x:v>وافقت إدارة صندوق النقد الدولي في أكتوبر 2026 على برنامج يراقبه خبراء الصندوق مدته 18 شهرًا، ولا يتضمن تمويلًا من الصندوق</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The IMF's past values are model-based estimates, not reported history</x:v>
      </x:c>
      <x:c r="E314"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السابقة لدى صندوق النقد الدولي تقديرات قائمة على نموذج، لا قيم تاريخية مُبلَّغ عنها</x:v>
      </x:c>
      <x:c r="G315"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Evidence fitness, citation, factual use and redistribution are separate questions</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1" t="str">
        <x:v>صلاحية الدليل، والاستشهاد به، واستخدام الوقائع والأرقام، وإعادة نشر المواد: مسائل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and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«حقوق 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 issued these lists, and what do they cover?</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من أصدر هذه القوائم؟ وما نطاقها؟</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64">
      <x:c r="A364" t="str">
        <x:v>/readings/where-bank-balance-sheets-sit/</x:v>
      </x:c>
      <x:c r="B364" t="n">
        <x:v>2</x:v>
      </x:c>
      <x:c r="E364" t="str">
        <x:v>Where a banking system puts its assets says something about whom it serves.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64" t="str">
        <x:v>يكشف موضع أصول المنظومة المصرفية شيئًا عمّن تخدمه.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65">
      <x:c r="A365" t="str">
        <x:v>/readings/where-bank-balance-sheets-sit/</x:v>
      </x:c>
      <x:c r="B365" t="n">
        <x:v>3</x:v>
      </x:c>
      <x:c r="D365" t="str">
        <x:v>A hypothesis, not a finding</x:v>
      </x:c>
      <x:c r="E365"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x:v>
      </x:c>
      <x:c r="F365" t="str">
        <x:v>فرضية لا نتيجة</x:v>
      </x:c>
      <x:c r="G365"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x:v>
      </x:c>
    </x:row>
    <x:row r="366">
      <x:c r="A366" t="str">
        <x:v>/readings/where-bank-balance-sheets-sit/</x:v>
      </x:c>
      <x:c r="B366" t="n">
        <x:v>4</x:v>
      </x:c>
      <x:c r="D366" t="str">
        <x:v>Four other explanations fit the same numbers</x:v>
      </x:c>
      <x:c r="E366"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 The reporting perimeter. The bulletin covers the deposit-taking institutions in its data, but it does not state which areas its figures cover, so the consolidated balance sheet may not describe every bank in every part of the country.</x:v>
      </x:c>
      <x:c r="F366" t="str">
        <x:v>أربعة تفسيرات أخرى تنسجم مع الأرقام نفسها</x:v>
      </x:c>
      <x:c r="G366"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x:v>
      </x:c>
    </x:row>
    <x:row r="367">
      <x:c r="A367" t="str">
        <x:v>/readings/where-bank-balance-sheets-sit/</x:v>
      </x:c>
      <x:c r="B367" t="n">
        <x:v>5</x:v>
      </x:c>
      <x:c r="D367" t="str">
        <x:v>Where the evidence stops</x:v>
      </x:c>
      <x:c r="E367" t="str">
        <x:v>This is one month of one table. The balance sheet does not show credit by currency or by sector, does not split claims on government between frozen and other holdings, and does not state its territorial reach. It does not establish that banks prefer the state to firms, that firms are refused credit, or that any policy caused the pattern.</x:v>
      </x:c>
      <x:c r="F367" t="str">
        <x:v>أين يتوقف الدليل؟</x:v>
      </x:c>
      <x:c r="G367" t="str">
        <x:v>هذا شهر واحد من جدول واحد. فالميزانية لا تُظهر الائتمان بحسب العملة أو القطاع، ولا تفصل الحقوق على الحكومة بين الأرصدة المجمدة وغيرها، ولا تذكر نطاقها الجغرافي. ولا تثبت أن البنوك تفضّل الدولة على المنشآت، ولا أن المنشآت تُحرم من الائتمان، ولا أن سياسة بعينها أنتجت هذا النمط.</x:v>
      </x:c>
    </x:row>
    <x:row r="368">
      <x:c r="A368" t="str">
        <x:v>/readings/where-bank-balance-sheets-sit/</x:v>
      </x:c>
      <x:c r="B368" t="n">
        <x:v>6</x:v>
      </x:c>
      <x:c r="D368" t="str">
        <x:v>What would change this reading?</x:v>
      </x:c>
      <x:c r="E368" t="str">
        <x:v>Four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a stated reporting perimeter: which banks, and which areas, the consolidated balance sheet covers.
&gt; Until then, read the balance sheet as a picture of where assets sit, not as an account of why.</x:v>
      </x:c>
      <x:c r="F368" t="str">
        <x:v>ما الذي قد يغيّر هذه القراءة؟</x:v>
      </x:c>
      <x:c r="G368" t="str">
        <x:v>من شأن أربعة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نطاق إبلاغ معلن: أي البنوك وأي المناطق تغطيها الميزانية المجمعة.
&gt; وإلى أن تتوافر، تُقرأ الميزانية صورةً لموضع الأصول، لا تفسيرًا لأسبابه.</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Yemen's survey did not ask the mobile-money questions, so the World Bank's values for an account at a financial institution are the same as for any account.</x:v>
      </x:c>
      <x:c r="C629" s="24" t="str">
        <x:v>لم تُطرح أسئلة خدمات الأموال عبر الهاتف في مسح اليمن، لذلك تطابق قيمُ البنك الدولي لحساب لدى مؤسسة مالية قيمَه لأي حساب.</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3">
      <x:c r="A633" s="24" t="str">
        <x:v>Trust navigation</x:v>
      </x:c>
    </x:row>
    <x:row r="634">
      <x:c r="A634" s="24" t="str">
        <x:v>item_order</x:v>
      </x:c>
      <x:c r="B634" s="24" t="str">
        <x:v>label_en</x:v>
      </x:c>
      <x:c r="C634" s="24" t="str">
        <x:v>label_ar</x:v>
      </x:c>
      <x:c r="D634" s="24" t="str">
        <x:v>route</x:v>
      </x:c>
    </x:row>
    <x:row r="635">
      <x:c r="A635" s="24" t="n">
        <x:v>1</x:v>
      </x:c>
      <x:c r="B635" s="24" t="str">
        <x:v>About</x:v>
      </x:c>
      <x:c r="C635" s="24" t="str">
        <x:v>التعريف بهذا المورد</x:v>
      </x:c>
      <x:c r="D635" s="24" t="str">
        <x:v>/about</x:v>
      </x:c>
    </x:row>
    <x:row r="636">
      <x:c r="A636" s="24" t="n">
        <x:v>2</x:v>
      </x:c>
      <x:c r="B636" s="24" t="str">
        <x:v>Corrections</x:v>
      </x:c>
      <x:c r="C636" s="24" t="str">
        <x:v>التصحيحات</x:v>
      </x:c>
      <x:c r="D636" s="24" t="str">
        <x:v>/corrections</x:v>
      </x:c>
    </x:row>
    <x:row r="637">
      <x:c r="A637" s="24" t="n">
        <x:v>3</x:v>
      </x:c>
      <x:c r="B637" s="24" t="str">
        <x:v>Rights and reuse</x:v>
      </x:c>
      <x:c r="C637" s="24" t="str">
        <x:v>حقوق إعادة الاستخدام</x:v>
      </x:c>
      <x:c r="D637" s="24" t="str">
        <x:v>/rights</x:v>
      </x:c>
    </x:row>
    <x:row r="638">
      <x:c r="A638" s="24" t="n">
        <x:v>4</x:v>
      </x:c>
      <x:c r="B638" s="24" t="str">
        <x:v>Accessibility</x:v>
      </x:c>
      <x:c r="C638" s="24" t="str">
        <x:v>إمكانية الوصول</x:v>
      </x:c>
      <x:c r="D638" s="24" t="str">
        <x:v>/accessibility</x:v>
      </x:c>
    </x:row>
    <x:row r="639">
      <x:c r="A639" s="24" t="n">
        <x:v>5</x:v>
      </x:c>
      <x:c r="B639" s="24" t="str">
        <x:v>Privacy</x:v>
      </x:c>
      <x:c r="C639" s="24" t="str">
        <x:v>الخصوصية</x:v>
      </x:c>
      <x:c r="D639" s="24" t="str">
        <x:v>/privacy</x:v>
      </x:c>
    </x:row>
    <x:row r="640">
      <x:c r="A640" s="24" t="n">
        <x:v>6</x:v>
      </x:c>
      <x:c r="B640" s="24" t="str">
        <x:v>Terms of use</x:v>
      </x:c>
      <x:c r="C640" s="24" t="str">
        <x:v>شروط الاستخدام</x:v>
      </x:c>
      <x:c r="D640" s="24" t="str">
        <x:v>/terms</x:v>
      </x:c>
    </x:row>
    <x:row r="641">
      <x:c r="A641" s="24" t="n">
        <x:v>7</x:v>
      </x:c>
      <x:c r="B641" s="24" t="str">
        <x:v>Contact</x:v>
      </x:c>
      <x:c r="C641" s="24" t="str">
        <x:v>التواصل</x:v>
      </x:c>
      <x:c r="D641" s="24" t="str">
        <x:v>/contact</x:v>
      </x:c>
    </x:row>
    <x:row r="643">
      <x:c r="A643" s="24" t="str">
        <x:v>Search aliases</x:v>
      </x:c>
    </x:row>
    <x:row r="644">
      <x:c r="A644" s="24" t="str">
        <x:v>alias_id</x:v>
      </x:c>
      <x:c r="B644" s="24" t="str">
        <x:v>terms_en</x:v>
      </x:c>
      <x:c r="C644" s="24" t="str">
        <x:v>terms_ar</x:v>
      </x:c>
      <x:c r="D644" s="24" t="str">
        <x:v>targets</x:v>
      </x:c>
      <x:c r="E644" s="24" t="str">
        <x:v>boundary_note_en</x:v>
      </x:c>
      <x:c r="F644" s="38" t="str">
        <x:v>boundary_note_ar</x:v>
      </x:c>
    </x:row>
    <x:row r="645">
      <x:c r="A645" s="24" t="str">
        <x:v>SEARCH-ALIAS-001</x:v>
      </x:c>
      <x:c r="B645" s="24" t="str">
        <x:v>law; laws</x:v>
      </x:c>
      <x:c r="C645" s="24" t="str">
        <x:v>قانون; قوانين</x:v>
      </x:c>
      <x:c r="D645" s="24" t="str">
        <x:v>document_type:law | route:/reforms/ | route:/data/</x:v>
      </x:c>
      <x:c r="E645" s="24" t="str">
        <x:v>Discovery aid only: this evidence base holds no law as a source document. It holds regulations, circulars, decisions and official lists issued by the Central Bank of Yemen – Aden, listed on the Data &amp; sources page.</x:v>
      </x:c>
      <x:c r="F645"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46">
      <x:c r="A646" s="24" t="str">
        <x:v>SEARCH-ALIAS-002</x:v>
      </x:c>
      <x:c r="B646" s="24" t="str">
        <x:v>decision; decisions</x:v>
      </x:c>
      <x:c r="C646" s="24" t="str">
        <x:v>قرار; قرارات</x:v>
      </x:c>
      <x:c r="D646" s="24" t="str">
        <x:v>document_type:regulatory decision | route:/reforms/ | route:/providers/</x:v>
      </x:c>
    </x:row>
    <x:row r="647">
      <x:c r="A647" s="24" t="str">
        <x:v>SEARCH-ALIAS-003</x:v>
      </x:c>
      <x:c r="B647" s="24" t="str">
        <x:v>circular; circulars</x:v>
      </x:c>
      <x:c r="C647" s="24" t="str">
        <x:v>تعميم; تعاميم</x:v>
      </x:c>
      <x:c r="D647" s="24" t="str">
        <x:v>document_type:instruction/circular | route:/reforms/</x:v>
      </x:c>
    </x:row>
    <x:row r="648">
      <x:c r="A648" s="24" t="str">
        <x:v>SEARCH-ALIAS-004</x:v>
      </x:c>
      <x:c r="B648" s="24" t="str">
        <x:v>regulation; regulations; instructions</x:v>
      </x:c>
      <x:c r="C648" s="24" t="str">
        <x:v>لائحة; لوائح; تعليمات</x:v>
      </x:c>
      <x:c r="D648" s="24" t="str">
        <x:v>document_type:regulation | document_type:instruction/circular | route:/reforms/ | route:/data/</x:v>
      </x:c>
    </x:row>
    <x:row r="649">
      <x:c r="A649" s="24" t="str">
        <x:v>SEARCH-ALIAS-005</x:v>
      </x:c>
      <x:c r="B649" s="24" t="str">
        <x:v>remittance; remittances</x:v>
      </x:c>
      <x:c r="C649" s="24" t="str">
        <x:v>حوالة; حوالات; تحويلات</x:v>
      </x:c>
      <x:c r="D649" s="24" t="str">
        <x:v>route:/remittances/</x:v>
      </x:c>
    </x:row>
    <x:row r="650">
      <x:c r="A650" s="24" t="str">
        <x:v>SEARCH-ALIAS-006</x:v>
      </x:c>
      <x:c r="B650" s="24" t="str">
        <x:v>exchange company; exchange companies</x:v>
      </x:c>
      <x:c r="C650" s="24" t="str">
        <x:v>صرافة; شركات الصرافة; منشآت الصرافة</x:v>
      </x:c>
      <x:c r="D650" s="24" t="str">
        <x:v>route:/providers/</x:v>
      </x:c>
    </x:row>
    <x:row r="651">
      <x:c r="A651" s="24" t="str">
        <x:v>SEARCH-ALIAS-007</x:v>
      </x:c>
      <x:c r="B651" s="24" t="str">
        <x:v>wallet; e-wallet; e-wallets; electronic wallet</x:v>
      </x:c>
      <x:c r="C651" s="24" t="str">
        <x:v>محفظة; محافظ; المحافظ الإلكترونية; المحفظة الإلكترونية</x:v>
      </x:c>
      <x:c r="D651" s="24" t="str">
        <x:v>route:/payments/</x:v>
      </x:c>
      <x:c r="E651" s="24" t="str">
        <x:v>Discovery aid only: in Arabic «محفظة» means both an e-wallet and a loan portfolio. E-wallet records are under Payments; loan-portfolio records are under Finance (microfinance and banks).</x:v>
      </x:c>
      <x:c r="F651"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52">
      <x:c r="A652" s="24" t="str">
        <x:v>SEARCH-ALIAS-008</x:v>
      </x:c>
      <x:c r="B652" s="24" t="str">
        <x:v>POS; point of sale; POS terminals</x:v>
      </x:c>
      <x:c r="C652" s="24" t="str">
        <x:v>نقاط البيع; نقطة بيع</x:v>
      </x:c>
      <x:c r="D652" s="24" t="str">
        <x:v>route:/payments/</x:v>
      </x:c>
    </x:row>
    <x:row r="653">
      <x:c r="A653" s="24" t="str">
        <x:v>SEARCH-ALIAS-009</x:v>
      </x:c>
      <x:c r="B653" s="24" t="str">
        <x:v>microfinance; MFB; MFI</x:v>
      </x:c>
      <x:c r="C653" s="24" t="str">
        <x:v>التمويل الأصغر; تمويل أصغر</x:v>
      </x:c>
      <x:c r="D653" s="24" t="str">
        <x:v>route:/finance/</x:v>
      </x:c>
    </x:row>
    <x:row r="654">
      <x:c r="A654" s="24" t="str">
        <x:v>SEARCH-ALIAS-010</x:v>
      </x:c>
      <x:c r="B654" s="24" t="str">
        <x:v>exchange rate</x:v>
      </x:c>
      <x:c r="C654" s="24" t="str">
        <x:v>سعر الصرف; أسعار الصرف</x:v>
      </x:c>
      <x:c r="D654" s="24" t="str">
        <x:v>route:/finance/</x:v>
      </x:c>
    </x:row>
    <x:row r="655">
      <x:c r="A655" s="24" t="str">
        <x:v>SEARCH-ALIAS-011</x:v>
      </x:c>
      <x:c r="B655" s="24" t="str">
        <x:v>measurement; measurement agenda; measurement priorities</x:v>
      </x:c>
      <x:c r="C655" s="24" t="str">
        <x:v>أولويات القياس; أجندة القياس; القياس</x:v>
      </x:c>
      <x:c r="D655" s="24" t="str">
        <x:v>route:/measurement/</x:v>
      </x:c>
    </x:row>
    <x:row r="656">
      <x:c r="A656" s="24" t="str">
        <x:v>SEARCH-ALIAS-012</x:v>
      </x:c>
      <x:c r="B656" s="24" t="str">
        <x:v>financial literacy; financial education</x:v>
      </x:c>
      <x:c r="C656" s="24" t="str">
        <x:v>الثقافة المالية; التثقيف المالي</x:v>
      </x:c>
      <x:c r="D656" s="24" t="str">
        <x:v>route:/people/ | route:/reforms/</x:v>
      </x:c>
      <x:c r="E656" s="24" t="str">
        <x:v>Discovery aid only: financial-education activity is not literacy, capability or behaviour.</x:v>
      </x:c>
      <x:c r="F656" s="38" t="str">
        <x:v>وسيلة للعثور على المحتوى فقط: النشاط التثقيفي المالي ليس ثقافة مالية ولا قدرة ولا سلوكًا.</x:v>
      </x:c>
    </x:row>
    <x:row r="657">
      <x:c r="A657" s="24" t="str">
        <x:v>SEARCH-ALIAS-013</x:v>
      </x:c>
      <x:c r="B657" s="24" t="str">
        <x:v>income; income gap</x:v>
      </x:c>
      <x:c r="C657" s="24" t="str">
        <x:v>الدخل; فجوة الدخل</x:v>
      </x:c>
      <x:c r="D657" s="24" t="str">
        <x:v>route:/people/</x:v>
      </x:c>
    </x:row>
    <x:row r="658">
      <x:c r="A658" s="24" t="str">
        <x:v>SEARCH-ALIAS-014</x:v>
      </x:c>
      <x:c r="B658" s="24" t="str">
        <x:v>credit; lending</x:v>
      </x:c>
      <x:c r="C658" s="24" t="str">
        <x:v>الائتمان; الإقراض</x:v>
      </x:c>
      <x:c r="D658" s="24" t="str">
        <x:v>route:/finance/ | route:/firms/</x:v>
      </x:c>
    </x:row>
    <x:row r="659">
      <x:c r="A659" s="24" t="str">
        <x:v>SEARCH-ALIAS-015</x:v>
      </x:c>
      <x:c r="B659" s="24" t="str">
        <x:v>licensed banks; licensed bank; bank list</x:v>
      </x:c>
      <x:c r="C659" s="24" t="str">
        <x:v>البنوك المرخصة; بنوك مرخصة; قائمة البنوك</x:v>
      </x:c>
      <x:c r="D659" s="24" t="str">
        <x:v>route:/providers/</x:v>
      </x:c>
    </x:row>
    <x:row r="660">
      <x:c r="A660" s="24" t="str">
        <x:v>SEARCH-ALIAS-016</x:v>
      </x:c>
      <x:c r="B660" s="24" t="str">
        <x:v>remittance cost; remittance prices; transfer cost</x:v>
      </x:c>
      <x:c r="C660" s="24" t="str">
        <x:v>تكلفة التحويل; تكلفة الحوالات; رسوم التحويل</x:v>
      </x:c>
      <x:c r="D660" s="24" t="str">
        <x:v>route:/remittances/</x:v>
      </x:c>
    </x:row>
    <x:row r="661">
      <x:c r="A661" s="24" t="str">
        <x:v>SEARCH-ALIAS-017</x:v>
      </x:c>
      <x:c r="B661" s="24" t="str">
        <x:v>Aden; CBY Aden; CBY-Aden</x:v>
      </x:c>
      <x:c r="C661" s="24" t="str">
        <x:v>عدن; البنك المركزي في عدن</x:v>
      </x:c>
      <x:c r="D661" s="24" t="str">
        <x:v>route:/providers/ | route:/data/</x:v>
      </x:c>
      <x:c r="E661" s="24" t="str">
        <x:v>Discovery aid only: CBY-Aden lists, decisions and statistics carry the scope of that authority; they do not describe all of Yemen.</x:v>
      </x:c>
      <x:c r="F661" s="38" t="str">
        <x:v>وسيلة للعثور على المحتوى فقط: قوائم البنك المركزي اليمني في عدن وقراراته وإحصاءاته تحمل نطاق تلك السلطة، ولا تصف اليمن كله.</x:v>
      </x:c>
    </x:row>
    <x:row r="662">
      <x:c r="A662" s="24" t="str">
        <x:v>SEARCH-ALIAS-018</x:v>
      </x:c>
      <x:c r="B662" s="24" t="str">
        <x:v>deposits; deposit; bank deposits</x:v>
      </x:c>
      <x:c r="C662" s="24" t="str">
        <x:v>الودائع; ودائع; الودائع المصرفية</x:v>
      </x:c>
      <x:c r="D662" s="24" t="str">
        <x:v>route:/finance/</x:v>
      </x:c>
    </x:row>
    <x:row r="663">
      <x:c r="A663" s="24" t="str">
        <x:v>SEARCH-ALIAS-019</x:v>
      </x:c>
      <x:c r="B663" s="24" t="str">
        <x:v>SME finance; SME; SMEs; MSME; MSMEs; MSME finance; small business finance</x:v>
      </x:c>
      <x:c r="C663" s="24" t="str">
        <x:v>المنشآت الصغيرة والمتوسطة; تمويل المنشآت الصغيرة والمتوسطة; المنشآت الأصغر والصغيرة والمتوسطة; المنشآت الصغرى والصغيرة والمتوسطة</x:v>
      </x:c>
      <x:c r="D663" s="24" t="str">
        <x:v>route:/firms/</x:v>
      </x:c>
    </x:row>
    <x:row r="664">
      <x:c r="A664" s="24" t="str">
        <x:v>SEARCH-ALIAS-020</x:v>
      </x:c>
      <x:c r="B664" s="24" t="str">
        <x:v>RTGS; real-time gross settlement; real time gross settlement</x:v>
      </x:c>
      <x:c r="C664" s="24" t="str">
        <x:v>التسوية الإجمالية الفورية; نظام التسوية الإجمالية الفورية</x:v>
      </x:c>
      <x:c r="D664" s="24" t="str">
        <x:v>route:/payments/ | route:/reforms/</x:v>
      </x:c>
    </x:row>
    <x:row r="665">
      <x:c r="A665" s="24" t="str">
        <x:v>SEARCH-ALIAS-021</x:v>
      </x:c>
      <x:c r="B665" s="24" t="str">
        <x:v>FPS; fast payment system; fast payments</x:v>
      </x:c>
      <x:c r="C665" s="24" t="str">
        <x:v>نظام الدفع السريع; الدفع السريع; المدفوعات السريعة</x:v>
      </x:c>
      <x:c r="D665" s="24" t="str">
        <x:v>route:/payments/ | route:/reforms/</x:v>
      </x:c>
    </x:row>
    <x:row r="666">
      <x:c r="A666" s="24" t="str">
        <x:v>SEARCH-ALIAS-022</x:v>
      </x:c>
      <x:c r="B666" s="24" t="str">
        <x:v>consumer protection; financial consumer protection</x:v>
      </x:c>
      <x:c r="C666" s="24" t="str">
        <x:v>حماية المستهلك; حماية المستهلك المالي</x:v>
      </x:c>
      <x:c r="D666" s="24" t="str">
        <x:v>route:/reforms/</x:v>
      </x:c>
    </x:row>
    <x:row r="667">
      <x:c r="A667" s="24" t="str">
        <x:v>SEARCH-ALIAS-023</x:v>
      </x:c>
      <x:c r="B667" s="24" t="str">
        <x:v>complaints; complaint; complaint handling; redress</x:v>
      </x:c>
      <x:c r="C667" s="24" t="str">
        <x:v>الشكاوى; شكوى; معالجة الشكاوى; التظلم</x:v>
      </x:c>
      <x:c r="D667" s="24" t="str">
        <x:v>route:/reforms/</x:v>
      </x:c>
      <x:c r="E667" s="24" t="str">
        <x:v>Discovery aid only: official guidance and instructions describe a complaint path and time limits, not how complaints are handled in practice.</x:v>
      </x:c>
      <x:c r="F667" s="38" t="str">
        <x:v>وسيلة للعثور على المحتوى فقط: تصف الإرشادات والتعليمات الرسمية مسار الشكوى ومهلها، لا طريقة معالجة الشكاوى فعليًا.</x:v>
      </x:c>
    </x:row>
    <x:row r="668">
      <x:c r="A668" s="24" t="str">
        <x:v>SEARCH-ALIAS-024</x:v>
      </x:c>
      <x:c r="B668" s="24" t="str">
        <x:v>FMIIP; Financial Market Infrastructure and Inclusion Project</x:v>
      </x:c>
      <x:c r="C668" s="24" t="str">
        <x:v>FMIIP; مشروع البنية التحتية للأسواق المالية والشمول المالي; مشروع البنية التحتية للأسواق والشمول المالي</x:v>
      </x:c>
      <x:c r="D668" s="24" t="str">
        <x:v>route:/reforms/ | route:/payments/</x:v>
      </x:c>
    </x:row>
    <x:row r="669">
      <x:c r="A669" s="24" t="str">
        <x:v>SEARCH-ALIAS-025</x:v>
      </x:c>
      <x:c r="B669" s="24" t="str">
        <x:v>women; woman; female; gender; gender gap</x:v>
      </x:c>
      <x:c r="C669" s="24" t="str">
        <x:v>المرأة; امرأة; النساء; نساء; الإناث; النوع الاجتماعي; فجوة النوع الاجتماعي; الفجوة بين الجنسين</x:v>
      </x:c>
      <x:c r="D669" s="24" t="str">
        <x:v>route:/people/</x:v>
      </x:c>
      <x:c r="E669" s="24" t="str">
        <x:v>Discovery aid only: the measured gap comes from one survey wave (the 2021 Findex wave; Yemen fieldwork 2022–23); it is not a 2026 figure and does not establish causes.</x:v>
      </x:c>
      <x:c r="F669"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70">
      <x:c r="A670" s="24" t="str">
        <x:v>SEARCH-ALIAS-026</x:v>
      </x:c>
      <x:c r="B670" s="24" t="str">
        <x:v>humanitarian; cash transfer; cash transfers; social protection; G2P; cash assistance</x:v>
      </x:c>
      <x:c r="C670" s="24" t="str">
        <x:v>إنساني; المساعدات الإنسانية; التحويلات النقدية; الحماية الاجتماعية; مدفوعات الحكومة للأفراد; المساعدات النقدية</x:v>
      </x:c>
      <x:c r="D670" s="24" t="str">
        <x:v>route:/readings/after-transfer-persistence/ | route:/payments/</x:v>
      </x:c>
    </x:row>
    <x:row r="671">
      <x:c r="A671" s="24" t="str">
        <x:v>SEARCH-ALIAS-027</x:v>
      </x:c>
      <x:c r="B671" s="24" t="str">
        <x:v>licence; license; licensing; suspension; closure</x:v>
      </x:c>
      <x:c r="C671" s="24" t="str">
        <x:v>ترخيص; تراخيص; إيقاف; تعليق; إغلاق</x:v>
      </x:c>
      <x:c r="D671" s="24" t="str">
        <x:v>route:/providers/ | document_type:decision/enforcement</x:v>
      </x:c>
    </x:row>
    <x:row r="672">
      <x:c r="A672" s="24" t="str">
        <x:v>SEARCH-ALIAS-028</x:v>
      </x:c>
      <x:c r="B672" s="24" t="str">
        <x:v>internet; connectivity</x:v>
      </x:c>
      <x:c r="C672" s="24" t="str">
        <x:v>الإنترنت; الانترنت; الاتصال; الاتصال بالإنترنت</x:v>
      </x:c>
      <x:c r="D672" s="24" t="str">
        <x:v>route:/measurement/ | route:/people/</x:v>
      </x:c>
    </x:row>
    <x:row r="673">
      <x:c r="A673" s="24" t="str">
        <x:v>SEARCH-ALIAS-029</x:v>
      </x:c>
      <x:c r="B673" s="24" t="str">
        <x:v>Findex; Global Findex</x:v>
      </x:c>
      <x:c r="C673" s="24" t="str">
        <x:v>فيندكس; فندكس; Findex; المؤشر العالمي للشمول المالي</x:v>
      </x:c>
      <x:c r="D673" s="24" t="str">
        <x:v>route:/people/</x:v>
      </x:c>
    </x:row>
    <x:row r="674">
      <x:c r="A674" s="24" t="str">
        <x:v>SEARCH-ALIAS-030</x:v>
      </x:c>
      <x:c r="B674" s="24" t="str">
        <x:v>PSP; PSPs; payment service provider; payment service providers</x:v>
      </x:c>
      <x:c r="C674" s="24" t="str">
        <x:v>مزود خدمات الدفع; مزودو خدمات الدفع; مزودي خدمات الدفع; مقدم خدمات الدفع; مقدمو خدمات الدفع; مقدمي خدمات الدفع</x:v>
      </x:c>
      <x:c r="D674" s="24" t="str">
        <x:v>document_type:regulation | route:/payments/</x:v>
      </x:c>
    </x:row>
    <x:row r="675">
      <x:c r="A675" s="24" t="str">
        <x:v>SEARCH-ALIAS-031</x:v>
      </x:c>
      <x:c r="B675" s="24" t="str">
        <x:v>loan; loans; borrowing; borrow</x:v>
      </x:c>
      <x:c r="C675" s="24" t="str">
        <x:v>قرض; قروض; اقتراض; الاقتراض; سلفة</x:v>
      </x:c>
      <x:c r="D675" s="24" t="str">
        <x:v>route:/finance/ | route:/people/</x:v>
      </x:c>
    </x:row>
    <x:row r="676">
      <x:c r="A676" s="24" t="str">
        <x:v>SEARCH-ALIAS-032</x:v>
      </x:c>
      <x:c r="B676" s="24" t="str">
        <x:v>transfer abroad; send money abroad; international transfer</x:v>
      </x:c>
      <x:c r="C676"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76" s="24" t="str">
        <x:v>route:/remittances/</x:v>
      </x:c>
      <x:c r="E676" s="24" t="str">
        <x:v>Discovery aid only: the remittance evidence here is about money sent to Yemen and transfers within Yemen. It does not cover money sent from Yemen to other countries.</x:v>
      </x:c>
      <x:c r="F676"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677">
      <x:c r="A677" s="24" t="str">
        <x:v>SEARCH-ALIAS-033</x:v>
      </x:c>
      <x:c r="B677" s="24" t="str">
        <x:v>cash-out; cash out; cashout; cash withdrawal</x:v>
      </x:c>
      <x:c r="C677" s="24" t="str">
        <x:v>كاش; كاش آوت; سحب كاش; سحب نقدي</x:v>
      </x:c>
      <x:c r="D677" s="24" t="str">
        <x:v>route:/payments/</x:v>
      </x:c>
    </x:row>
    <x:row r="678">
      <x:c r="A678" s="24" t="str">
        <x:v>SEARCH-ALIAS-034</x:v>
      </x:c>
      <x:c r="B678" s="24" t="str">
        <x:v>explore; explore questions</x:v>
      </x:c>
      <x:c r="C678" s="24" t="str">
        <x:v>استكشف; استكشف الأسئلة</x:v>
      </x:c>
      <x:c r="D678" s="24" t="str">
        <x:v>route:/explore/</x:v>
      </x:c>
      <x:c r="E678" s="24"/>
      <x:c r="F678" s="38"/>
    </x:row>
    <x:row r="679">
      <x:c r="A679" s="24" t="str">
        <x:v>SEARCH-ALIAS-035</x:v>
      </x:c>
      <x:c r="B679" s="24" t="str">
        <x:v>evidence readings; evidence reading; readings; reading; analysis</x:v>
      </x:c>
      <x:c r="C679" s="24" t="str">
        <x:v>قراءات الأدلة; قراءة أدلة; القراءات; قراءة تحليلية; التحليلات</x:v>
      </x:c>
      <x:c r="D679" s="24" t="str">
        <x:v>route:/readings/</x:v>
      </x:c>
      <x:c r="E679" s="24"/>
      <x:c r="F679" s="38"/>
    </x:row>
    <x:row r="680">
      <x:c r="A680" s="24" t="str">
        <x:v>SEARCH-ALIAS-036</x:v>
      </x:c>
      <x:c r="B680" s="24" t="str">
        <x:v>data; data and sources; data &amp; sources; dataset; datasets; download</x:v>
      </x:c>
      <x:c r="C680" s="24" t="str">
        <x:v>البيانات; البيانات والمصادر; بيانات; مجموعة بيانات; تنزيل</x:v>
      </x:c>
      <x:c r="D680" s="24" t="str">
        <x:v>route:/data/</x:v>
      </x:c>
      <x:c r="E680" s="24" t="str">
        <x:v>Discovery aid only: this resource is a directory of sources that links to their publishers; it offers no dataset for download.</x:v>
      </x:c>
      <x:c r="F680" s="38" t="str">
        <x:v>أداة اكتشاف فقط: هذا المورد فهرس للمصادر يحيل إلى ناشريها، ولا يتيح أي مجموعة بيانات للتنزيل.</x:v>
      </x:c>
    </x:row>
    <x:row r="681">
      <x:c r="A681" s="24" t="str">
        <x:v>SEARCH-ALIAS-037</x:v>
      </x:c>
      <x:c r="B681" s="24" t="str">
        <x:v>method and measurement; method &amp; measurement</x:v>
      </x:c>
      <x:c r="C681" s="24" t="str">
        <x:v>المنهج والقياس</x:v>
      </x:c>
      <x:c r="D681" s="24" t="str">
        <x:v>route:/methodology/ | route:/measurement/</x:v>
      </x:c>
      <x:c r="E681" s="24"/>
      <x:c r="F681" s="38"/>
    </x:row>
    <x:row r="682">
      <x:c r="A682" s="24" t="str">
        <x:v>SEARCH-ALIAS-038</x:v>
      </x:c>
      <x:c r="B682" s="24" t="str">
        <x:v>report an issue; report an error; error</x:v>
      </x:c>
      <x:c r="C682" s="24" t="str">
        <x:v>أبلغ عن مشكلة; أبلغ عن خطأ; خطأ</x:v>
      </x:c>
      <x:c r="D682" s="24" t="str">
        <x:v>route:/contact/ | route:/corrections/</x:v>
      </x:c>
      <x:c r="E682" s="24"/>
      <x:c r="F682" s="38"/>
    </x:row>
    <x:row r="683">
      <x:c r="A683" s="24" t="str">
        <x:v>SEARCH-ALIAS-039</x:v>
      </x:c>
      <x:c r="B683" s="24" t="str">
        <x:v>trust; about this resource</x:v>
      </x:c>
      <x:c r="C683" s="24" t="str">
        <x:v>الثقة; عن الموقع; عن المورد; التعريف بالمورد</x:v>
      </x:c>
      <x:c r="D683" s="24" t="str">
        <x:v>route:/about/</x:v>
      </x:c>
      <x:c r="E683" s="24"/>
      <x:c r="F683" s="38"/>
    </x:row>
    <x:row r="684">
      <x:c r="A684" s="24" t="str">
        <x:v>SEARCH-ALIAS-040</x:v>
      </x:c>
      <x:c r="B684" s="24" t="str">
        <x:v>finance; banks; banking</x:v>
      </x:c>
      <x:c r="C684" s="24" t="str">
        <x:v>التمويل; البنوك; المصارف</x:v>
      </x:c>
      <x:c r="D684" s="24" t="str">
        <x:v>route:/finance/</x:v>
      </x:c>
      <x:c r="E684" s="24"/>
      <x:c r="F684" s="38"/>
    </x:row>
    <x:row r="685">
      <x:c r="A685" s="24" t="str">
        <x:v>SEARCH-ALIAS-041</x:v>
      </x:c>
      <x:c r="B685" s="24" t="str">
        <x:v>accessibility; accessibility statement</x:v>
      </x:c>
      <x:c r="C685" s="24" t="str">
        <x:v>إتاحة الوصول; إمكانية الوصول; بيان إمكانية الوصول</x:v>
      </x:c>
      <x:c r="D685" s="24" t="str">
        <x:v>route:/accessibility/</x:v>
      </x:c>
      <x:c r="E685" s="24"/>
      <x:c r="F685" s="38"/>
    </x:row>
    <x:row r="686">
      <x:c r="A686" s="24" t="str">
        <x:v>SEARCH-ALIAS-042</x:v>
      </x:c>
      <x:c r="B686" s="24" t="str">
        <x:v>access; access to services; access points</x:v>
      </x:c>
      <x:c r="C686" s="24" t="str">
        <x:v>الوصول; الوصول إلى الخدمات; نقاط الوصول</x:v>
      </x:c>
      <x:c r="D686" s="24" t="str">
        <x:v>route:/access/</x:v>
      </x:c>
      <x:c r="E686" s="24"/>
      <x:c r="F686" s="38"/>
    </x:row>
    <x:row r="687">
      <x:c r="A687" s="24" t="str">
        <x:v>SEARCH-ALIAS-043</x:v>
      </x:c>
      <x:c r="B687" s="24" t="str">
        <x:v>providers; service providers; financial service providers</x:v>
      </x:c>
      <x:c r="C687" s="24" t="str">
        <x:v>مقدمو الخدمات; مقدمي الخدمات; مقدمو الخدمات المالية</x:v>
      </x:c>
      <x:c r="D687" s="24" t="str">
        <x:v>route:/providers/</x:v>
      </x:c>
      <x:c r="E687" s="24"/>
      <x:c r="F687" s="38"/>
    </x:row>
    <x:row r="688">
      <x:c r="A688" s="24" t="str">
        <x:v>SEARCH-ALIAS-044</x:v>
      </x:c>
      <x:c r="B688" s="24" t="str">
        <x:v>personal remittances; workers' remittances; migrant remittances; remittance fees</x:v>
      </x:c>
      <x:c r="C688" s="24" t="str">
        <x:v>الحوالات; التحويلات الشخصية; تحويلات العاملين; رسوم الحوالات</x:v>
      </x:c>
      <x:c r="D688" s="24" t="str">
        <x:v>route:/remittances/</x:v>
      </x:c>
      <x:c r="E688" s="24"/>
      <x:c r="F688" s="38"/>
    </x:row>
    <x:row r="689">
      <x:c r="A689" s="24" t="str">
        <x:v>SEARCH-ALIAS-045</x:v>
      </x:c>
      <x:c r="B689" s="24" t="str">
        <x:v>licensed; unlicensed; licence withdrawal</x:v>
      </x:c>
      <x:c r="C689" s="24" t="str">
        <x:v>مرخص; غير مرخص; سحب الترخيص</x:v>
      </x:c>
      <x:c r="D689" s="24" t="str">
        <x:v>route:/providers/ | document_type:decision/enforcement</x:v>
      </x:c>
      <x:c r="E689" s="24"/>
      <x:c r="F689" s="38"/>
    </x:row>
    <x:row r="691">
      <x:c r="A691" s="24" t="str">
        <x:v>Terminology register</x:v>
      </x:c>
    </x:row>
    <x:row r="692">
      <x:c r="A692" s="24" t="str">
        <x:v>term_id</x:v>
      </x:c>
      <x:c r="B692" s="24" t="str">
        <x:v>term_en</x:v>
      </x:c>
      <x:c r="C692" s="24" t="str">
        <x:v>term_ar</x:v>
      </x:c>
      <x:c r="D692" s="24" t="str">
        <x:v>definition_en</x:v>
      </x:c>
      <x:c r="E692" s="24" t="str">
        <x:v>definition_ar</x:v>
      </x:c>
      <x:c r="F692" s="38" t="str">
        <x:v>do_not_use</x:v>
      </x:c>
      <x:c r="G692" s="24" t="str">
        <x:v>rule_en</x:v>
      </x:c>
      <x:c r="H692" s="24" t="str">
        <x:v>rule_ar</x:v>
      </x:c>
    </x:row>
    <x:row r="693">
      <x:c r="A693" s="24" t="str">
        <x:v>TERM-001</x:v>
      </x:c>
      <x:c r="B693" s="24" t="str">
        <x:v>remittances</x:v>
      </x:c>
      <x:c r="C693" s="24" t="str">
        <x:v>الحوالات</x:v>
      </x:c>
      <x:c r="D693" s="24" t="str">
        <x:v>Money sent by a person or household to a person or household, from abroad or within Yemen, and aggregates of such flows.</x:v>
      </x:c>
      <x:c r="E693" s="24" t="str">
        <x:v>أموال يرسلها فرد أو أسرة إلى فرد أو أسرة، من الخارج أو داخل اليمن، ومجاميع هذه التدفقات.</x:v>
      </x:c>
      <x:c r="F693" s="38" t="str">
        <x:v>bare «التحويلات» for remittances</x:v>
      </x:c>
      <x:c r="G693" s="24" t="str">
        <x:v>When naming a source's own balance-of-payments line or indicator, quote its label (for example CBY-Aden «التحويلات»; World Bank 'Personal remittances, received', «التحويلات الشخصية الواردة»); in running text, remittances = الحوالات.</x:v>
      </x:c>
      <x:c r="H693"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694">
      <x:c r="A694" s="24" t="str">
        <x:v>TERM-002</x:v>
      </x:c>
      <x:c r="B694" s="24" t="str">
        <x:v>cash transfers</x:v>
      </x:c>
      <x:c r="C694" s="24" t="str">
        <x:v>التحويلات النقدية</x:v>
      </x:c>
      <x:c r="D694" s="24" t="str">
        <x:v>Payments to people from a government, programme, donor or humanitarian agency.</x:v>
      </x:c>
      <x:c r="E694" s="24" t="str">
        <x:v>مدفوعات للأفراد من حكومة أو برنامج أو جهة مانحة أو إنسانية.</x:v>
      </x:c>
      <x:c r="F694" s="38" t="str">
        <x:v>«الحوالات النقدية»; 'remittances' for programme payments</x:v>
      </x:c>
      <x:c r="G694" s="24" t="str">
        <x:v>Always qualified; a cash transfer is not a remittance.</x:v>
      </x:c>
      <x:c r="H694" s="24" t="str">
        <x:v>تُقيَّد دائمًا بالوصف؛ والتحويل النقدي ليس حوالة.</x:v>
      </x:c>
    </x:row>
    <x:row r="695">
      <x:c r="A695" s="24" t="str">
        <x:v>TERM-003</x:v>
      </x:c>
      <x:c r="B695" s="24" t="str">
        <x:v>funds transfer</x:v>
      </x:c>
      <x:c r="C695" s="24" t="str">
        <x:v>التحويل / تحويل الأموال</x:v>
      </x:c>
      <x:c r="D695" s="24" t="str">
        <x:v>The act or regulated activity of moving funds between accounts or providers.</x:v>
      </x:c>
      <x:c r="E695" s="24" t="str">
        <x:v>عملية نقل الأموال بين الحسابات أو مقدمي الخدمات، أو النشاط المنظَّم الذي يؤديها.</x:v>
      </x:c>
      <x:c r="F695" s="38" t="str">
        <x:v>«حوالة» for the act of transfer</x:v>
      </x:c>
      <x:c r="G695" s="24" t="str">
        <x:v>Quote the names of regulated activities and decisions as published.</x:v>
      </x:c>
      <x:c r="H695" s="24" t="str">
        <x:v>تُنقل أسماء الأنشطة المنظمة والقرارات كما نُشرت.</x:v>
      </x:c>
    </x:row>
    <x:row r="696">
      <x:c r="A696" s="24" t="str">
        <x:v>TERM-004</x:v>
      </x:c>
      <x:c r="B696" s="24" t="str">
        <x:v>reuse licence (CC BY 4.0)</x:v>
      </x:c>
      <x:c r="C696" s="24" t="str">
        <x:v>الرخصة (رخصة CC BY 4.0)</x:v>
      </x:c>
      <x:c r="D696" s="24" t="str">
        <x:v>The copyright licence under which CauseWay publishes its own content.</x:v>
      </x:c>
      <x:c r="E696" s="24" t="str">
        <x:v>رخصة حق المؤلف التي تتيح CauseWay بموجبها محتواها الخاص.</x:v>
      </x:c>
      <x:c r="F696" s="38" t="str">
        <x:v>«الترخيص» for the reuse licence; 'license' as a noun</x:v>
      </x:c>
      <x:c r="G696" s="24" t="str">
        <x:v>'licence' is the noun and 'license' the verb; write 'licensed under CC BY 4.0'.</x:v>
      </x:c>
      <x:c r="H696" s="24" t="str">
        <x:v>تُكتب «متاح بموجب رخصة CC BY 4.0».</x:v>
      </x:c>
    </x:row>
    <x:row r="697">
      <x:c r="A697" s="24" t="str">
        <x:v>TERM-005</x:v>
      </x:c>
      <x:c r="B697" s="24" t="str">
        <x:v>regulatory licensing</x:v>
      </x:c>
      <x:c r="C697" s="24" t="str">
        <x:v>الترخيص</x:v>
      </x:c>
      <x:c r="D697" s="24" t="str">
        <x:v>Authorisation by a regulator for an institution to carry out an activity.</x:v>
      </x:c>
      <x:c r="E697" s="24" t="str">
        <x:v>إذن تمنحه جهة رقابية لمؤسسة كي تزاول نشاطًا.</x:v>
      </x:c>
      <x:c r="F697" s="38" t="str">
        <x:v>«الرخصة» in the regulatory sense</x:v>
      </x:c>
      <x:c r="G697" s="24" t="str">
        <x:v>Name the issuer and the date. A licence is not operation. CauseWay holds no regulatory licence and claims none.</x:v>
      </x:c>
      <x:c r="H697" s="24" t="str">
        <x:v>يُذكر مُصدر الترخيص وتاريخه. والترخيص لا يعني التشغيل. ولا تملك CauseWay ترخيصًا رقابيًا ولا تدّعيه.</x:v>
      </x:c>
    </x:row>
    <x:row r="698">
      <x:c r="A698" s="24" t="str">
        <x:v>TERM-006</x:v>
      </x:c>
      <x:c r="B698" s="24" t="str">
        <x:v>licensed (regulatory)</x:v>
      </x:c>
      <x:c r="C698" s="24" t="str">
        <x:v>مرخَّص</x:v>
      </x:c>
      <x:c r="D698" s="24" t="str">
        <x:v>Holding a regulatory licence on a stated date.</x:v>
      </x:c>
      <x:c r="E698" s="24" t="str">
        <x:v>حاصل على ترخيص رقابي في تاريخ محدد.</x:v>
      </x:c>
      <x:c r="F698" s="38" t="str">
        <x:v>«معتمد»; «مسجَّل»</x:v>
      </x:c>
      <x:c r="G698" s="24" t="str">
        <x:v>Unlicensed = غير مرخَّص.</x:v>
      </x:c>
      <x:c r="H698" s="24" t="str">
        <x:v>غير الحاصل على ترخيص = غير مرخَّص.</x:v>
      </x:c>
    </x:row>
    <x:row r="699">
      <x:c r="A699" s="24" t="str">
        <x:v>TERM-007</x:v>
      </x:c>
      <x:c r="B699" s="24" t="str">
        <x:v>listing</x:v>
      </x:c>
      <x:c r="C699" s="24" t="str">
        <x:v>الإدراج في قائمة / مُدرَج</x:v>
      </x:c>
      <x:c r="D699" s="24" t="str">
        <x:v>Appearance on an official list on a date.</x:v>
      </x:c>
      <x:c r="E699" s="24" t="str">
        <x:v>الظهور في قائمة رسمية في تاريخ محدد.</x:v>
      </x:c>
      <x:c r="F699" s="38" t="str">
        <x:v>«التسجيل»; 'listing or licensing' as one concept</x:v>
      </x:c>
      <x:c r="G699" s="24" t="str">
        <x:v>Listing is not licensing, and neither is operation.</x:v>
      </x:c>
      <x:c r="H699" s="24" t="str">
        <x:v>الإدراج ليس ترخيصًا، ولا أيٌّ منهما يعني التشغيل.</x:v>
      </x:c>
    </x:row>
    <x:row r="700">
      <x:c r="A700" s="24" t="str">
        <x:v>TERM-008</x:v>
      </x:c>
      <x:c r="B700" s="24" t="str">
        <x:v>account</x:v>
      </x:c>
      <x:c r="C700" s="24" t="str">
        <x:v>الحساب</x:v>
      </x:c>
      <x:c r="D700" s="24" t="str">
        <x:v>An account held at a bank or another provider.</x:v>
      </x:c>
      <x:c r="E700" s="24" t="str">
        <x:v>حساب لدى بنك أو مقدم خدمة آخر.</x:v>
      </x:c>
      <x:c r="F700" s="38" t="str">
        <x:v>'people' or «الأشخاص» for accounts</x:v>
      </x:c>
      <x:c r="G700" s="24" t="str">
        <x:v>Accounts are not people.</x:v>
      </x:c>
      <x:c r="H700" s="24" t="str">
        <x:v>الحسابات ليست أشخاصًا.</x:v>
      </x:c>
    </x:row>
    <x:row r="701">
      <x:c r="A701" s="24" t="str">
        <x:v>TERM-009</x:v>
      </x:c>
      <x:c r="B701" s="24" t="str">
        <x:v>active (account, wallet, user)</x:v>
      </x:c>
      <x:c r="C701" s="24" t="str">
        <x:v>نشط / نشطة</x:v>
      </x:c>
      <x:c r="D701" s="24" t="str">
        <x:v>Used within the activity window the source defines.</x:v>
      </x:c>
      <x:c r="E701" s="24" t="str">
        <x:v>مستخدَم خلال نافذة النشاط التي يحددها المصدر.</x:v>
      </x:c>
      <x:c r="F701" s="38" t="str">
        <x:v>«فعّال»; «مفعَّل»; «قائم»</x:v>
      </x:c>
      <x:c r="G701" s="24" t="str">
        <x:v>State the source's activity window once. Inactive = غير نشط; dormant = خامل. A branch or point is 'operating' (عامل) only when operation is evidenced.</x:v>
      </x:c>
      <x:c r="H701" s="24" t="str">
        <x:v>تُذكر نافذة النشاط التي يحددها المصدر مرة واحدة. غير النشط = غير نشط؛ والخامل = خامل. ولا يوصف الفرع أو النقطة بأنه عامل إلا إذا ثبت التشغيل.</x:v>
      </x:c>
    </x:row>
    <x:row r="702">
      <x:c r="A702" s="24" t="str">
        <x:v>TERM-010</x:v>
      </x:c>
      <x:c r="B702" s="24" t="str">
        <x:v>subscriber</x:v>
      </x:c>
      <x:c r="C702" s="24" t="str">
        <x:v>المشترك</x:v>
      </x:c>
      <x:c r="D702" s="24" t="str">
        <x:v>A count as labelled by its publisher.</x:v>
      </x:c>
      <x:c r="E702" s="24" t="str">
        <x:v>عدد كما يسميه ناشره.</x:v>
      </x:c>
      <x:c r="F702" s="38" t="str">
        <x:v>«المستخدم»; «العميل» for subscribers</x:v>
      </x:c>
      <x:c r="G702" s="24" t="str">
        <x:v>Subscribers are not users, accounts or people, and are never summed with them.</x:v>
      </x:c>
      <x:c r="H702" s="24" t="str">
        <x:v>المشتركون ليسوا مستخدمين ولا حسابات ولا أشخاصًا، ولا يُجمعون معها.</x:v>
      </x:c>
    </x:row>
    <x:row r="703">
      <x:c r="A703" s="24" t="str">
        <x:v>TERM-011</x:v>
      </x:c>
      <x:c r="B703" s="24" t="str">
        <x:v>evidence record</x:v>
      </x:c>
      <x:c r="C703" s="24" t="str">
        <x:v>سجل الدليل / سجلات الأدلة</x:v>
      </x:c>
      <x:c r="D703" s="24" t="str">
        <x:v>The governed public record of one piece of evidence.</x:v>
      </x:c>
      <x:c r="E703" s="24" t="str">
        <x:v>السجل العام الخاضع للحوكمة لدليل واحد.</x:v>
      </x:c>
      <x:c r="F703" s="38" t="str">
        <x:v>'Evidence Record' in running text; «السجل الدليلي»</x:v>
      </x:c>
      <x:c r="G703" s="24" t="str">
        <x:v>Capital only at the start of a label.</x:v>
      </x:c>
      <x:c r="H703" s="24" t="str">
        <x:v>تبدأ التسمية بها دون تغيير.</x:v>
      </x:c>
    </x:row>
    <x:row r="704">
      <x:c r="A704" s="24" t="str">
        <x:v>TERM-012</x:v>
      </x:c>
      <x:c r="B704" s="24" t="str">
        <x:v>reading</x:v>
      </x:c>
      <x:c r="C704" s="24" t="str">
        <x:v>قراءة تحليلية / القراءات التحليلية</x:v>
      </x:c>
      <x:c r="D704" s="24" t="str">
        <x:v>A bounded argument built across several evidence records.</x:v>
      </x:c>
      <x:c r="E704" s="24" t="str">
        <x:v>حجة محددة النطاق مبنية على عدة سجلات أدلة.</x:v>
      </x:c>
      <x:c r="F704" s="38" t="str">
        <x:v>'Evidence Reading'; «قراءة أدلة»; «التحليلات»</x:v>
      </x:c>
      <x:c r="G704" s="24" t="str">
        <x:v>The section is 'Readings' (القراءات التحليلية); each item is 'Reading' (قراءة تحليلية).</x:v>
      </x:c>
      <x:c r="H704" s="24" t="str">
        <x:v>القسم «القراءات التحليلية»، وكل بند «قراءة تحليلية».</x:v>
      </x:c>
    </x:row>
    <x:row r="705">
      <x:c r="A705" s="24" t="str">
        <x:v>TERM-013</x:v>
      </x:c>
      <x:c r="B705" s="24" t="str">
        <x:v>measurement priority</x:v>
      </x:c>
      <x:c r="C705" s="24" t="str">
        <x:v>أولوية القياس / أولويات القياس</x:v>
      </x:c>
      <x:c r="D705" s="24" t="str">
        <x:v>A decision-valued unknown with the evidence needed to resolve it.</x:v>
      </x:c>
      <x:c r="E705" s="24" t="str">
        <x:v>مجهول مؤثر في القرار مع الدليل اللازم لحسمه.</x:v>
      </x:c>
      <x:c r="F705" s="38" t="str">
        <x:v>'Measurement Agenda'; «أجندة القياس» (search alias only)</x:v>
      </x:c>
      <x:c r="G705" s="24" t="str">
        <x:v>The section is 'Measurement priorities'.</x:v>
      </x:c>
      <x:c r="H705" s="24" t="str">
        <x:v>القسم «أولويات القياس».</x:v>
      </x:c>
    </x:row>
    <x:row r="706">
      <x:c r="A706" s="24" t="str">
        <x:v>TERM-014</x:v>
      </x:c>
      <x:c r="B706" s="24" t="str">
        <x:v>source record</x:v>
      </x:c>
      <x:c r="C706" s="24" t="str">
        <x:v>سجل المصدر</x:v>
      </x:c>
      <x:c r="D706" s="24" t="str">
        <x:v>The directory entry for one source.</x:v>
      </x:c>
      <x:c r="E706" s="24" t="str">
        <x:v>مُدخل الفهرس لمصدر واحد.</x:v>
      </x:c>
      <x:c r="F706" s="38"/>
      <x:c r="G706" s="24" t="str">
        <x:v>The copyable identifier is the source reference (مرجع المصدر).</x:v>
      </x:c>
      <x:c r="H706" s="24" t="str">
        <x:v>المعرّف القابل للنسخ هو «مرجع المصدر».</x:v>
      </x:c>
    </x:row>
    <x:row r="707">
      <x:c r="A707" s="24" t="str">
        <x:v>TERM-015</x:v>
      </x:c>
      <x:c r="B707" s="24" t="str">
        <x:v>this resource</x:v>
      </x:c>
      <x:c r="C707" s="24" t="str">
        <x:v>هذا المورد</x:v>
      </x:c>
      <x:c r="D707" s="24" t="str">
        <x:v>The product's self-reference.</x:v>
      </x:c>
      <x:c r="E707" s="24" t="str">
        <x:v>الإشارة التي يستعملها المنتج إلى نفسه.</x:v>
      </x:c>
      <x:c r="F707" s="38" t="str">
        <x:v>'this site'; «هذا الموقع»; «المنصة»</x:v>
      </x:c>
      <x:c r="G707" s="24" t="str">
        <x:v>'Evidence base' (قاعدة الأدلة) is the governed evidence, written in full.</x:v>
      </x:c>
      <x:c r="H707" s="24" t="str">
        <x:v>«قاعدة الأدلة» هي الأدلة الخاضعة للحوكمة، وتُكتب كاملة.</x:v>
      </x:c>
    </x:row>
    <x:row r="708">
      <x:c r="A708" s="24" t="str">
        <x:v>TERM-016</x:v>
      </x:c>
      <x:c r="B708" s="24" t="str">
        <x:v>people (domain)</x:v>
      </x:c>
      <x:c r="C708" s="24" t="str">
        <x:v>الأفراد</x:v>
      </x:c>
      <x:c r="D708" s="24" t="str">
        <x:v>The people-side domain.</x:v>
      </x:c>
      <x:c r="E708" s="24" t="str">
        <x:v>مجال جانب الأفراد.</x:v>
      </x:c>
      <x:c r="F708" s="38" t="str">
        <x:v>«الناس» in labels</x:v>
      </x:c>
      <x:c r="G708" s="24" t="str">
        <x:v>Use 'adults' (البالغون) when the source counts adults; 'population' (السكان) for the whole population.</x:v>
      </x:c>
      <x:c r="H708" s="24" t="str">
        <x:v>تُستعمل «البالغون» حين يعدّ المصدر البالغين، و«السكان» لمجموع السكان.</x:v>
      </x:c>
    </x:row>
    <x:row r="709">
      <x:c r="A709" s="24" t="str">
        <x:v>TERM-017</x:v>
      </x:c>
      <x:c r="B709" s="24" t="str">
        <x:v>providers</x:v>
      </x:c>
      <x:c r="C709" s="24" t="str">
        <x:v>مقدمو الخدمات المالية</x:v>
      </x:c>
      <x:c r="D709" s="24" t="str">
        <x:v>Institutions that provide financial services.</x:v>
      </x:c>
      <x:c r="E709" s="24" t="str">
        <x:v>المؤسسات التي تقدم الخدمات المالية.</x:v>
      </x:c>
      <x:c r="F709" s="38" t="str">
        <x:v>«مزودو» / «مزودي» (except in quoted regulatory names)</x:v>
      </x:c>
      <x:c r="G709" s="24" t="str">
        <x:v>Case forms (مقدمو / مقدمي) follow grammar.</x:v>
      </x:c>
      <x:c r="H709" s="24" t="str">
        <x:v>تتبع صيغتا «مقدمو» و«مقدمي» قواعد الإعراب.</x:v>
      </x:c>
    </x:row>
    <x:row r="710">
      <x:c r="A710" s="24" t="str">
        <x:v>TERM-018</x:v>
      </x:c>
      <x:c r="B710" s="24" t="str">
        <x:v>access point</x:v>
      </x:c>
      <x:c r="C710" s="24" t="str">
        <x:v>نقطة الوصول المالي</x:v>
      </x:c>
      <x:c r="D710" s="24" t="str">
        <x:v>A location or device where a financial service can be reached.</x:v>
      </x:c>
      <x:c r="E710" s="24" t="str">
        <x:v>موقع أو جهاز يمكن الوصول منه إلى خدمة مالية.</x:v>
      </x:c>
      <x:c r="F710" s="38" t="str">
        <x:v>«نقطة خدمة»; «منفذ»</x:v>
      </x:c>
      <x:c r="G710" s="24" t="str">
        <x:v>A count of access points is not use.</x:v>
      </x:c>
      <x:c r="H710" s="24" t="str">
        <x:v>عدد نقاط الوصول لا يعني الاستخدام.</x:v>
      </x:c>
    </x:row>
    <x:row r="711">
      <x:c r="A711" s="24" t="str">
        <x:v>TERM-019</x:v>
      </x:c>
      <x:c r="B711" s="24" t="str">
        <x:v>web accessibility</x:v>
      </x:c>
      <x:c r="C711" s="24" t="str">
        <x:v>إمكانية الوصول</x:v>
      </x:c>
      <x:c r="D711" s="24" t="str">
        <x:v>Whether people with disabilities can use the pages.</x:v>
      </x:c>
      <x:c r="E711" s="24" t="str">
        <x:v>قدرة الأشخاص ذوي الإعاقة على استخدام الصفحات.</x:v>
      </x:c>
      <x:c r="F711" s="38" t="str">
        <x:v>«إتاحة الوصول» for accessibility</x:v>
      </x:c>
      <x:c r="G711" s="24" t="str">
        <x:v>Keeps accessibility apart from the Access domain (الوصول إلى الخدمات).</x:v>
      </x:c>
      <x:c r="H711" s="24" t="str">
        <x:v>يفصل بين إمكانية الوصول ومجال «الوصول إلى الخدمات».</x:v>
      </x:c>
    </x:row>
    <x:row r="712">
      <x:c r="A712" s="24" t="str">
        <x:v>TERM-020</x:v>
      </x:c>
      <x:c r="B712" s="24" t="str">
        <x:v>sources (section)</x:v>
      </x:c>
      <x:c r="C712" s="24" t="str">
        <x:v>المصادر</x:v>
      </x:c>
      <x:c r="D712" s="24" t="str">
        <x:v>The directory of sources and their original locators.</x:v>
      </x:c>
      <x:c r="E712" s="24" t="str">
        <x:v>فهرس المصادر وروابطها الأصلية.</x:v>
      </x:c>
      <x:c r="F712" s="38" t="str">
        <x:v>'Data &amp; sources' while nothing is downloadable</x:v>
      </x:c>
      <x:c r="G712" s="24" t="str">
        <x:v>Becomes 'Sources and data' (المصادر والبيانات) on the day public_downloads is true.</x:v>
      </x:c>
      <x:c r="H712" s="24" t="str">
        <x:v>تصبح «المصادر والبيانات» يوم يصبح public_downloads صحيحًا.</x:v>
      </x:c>
    </x:row>
    <x:row r="713">
      <x:c r="A713" s="24" t="str">
        <x:v>TERM-021</x:v>
      </x:c>
      <x:c r="B713" s="24" t="str">
        <x:v>missing value</x:v>
      </x:c>
      <x:c r="C713" s="24" t="str">
        <x:v>غير معروف — لا يعني صفرًا</x:v>
      </x:c>
      <x:c r="D713" s="24" t="str">
        <x:v>A value the evidence base does not hold.</x:v>
      </x:c>
      <x:c r="E713" s="24" t="str">
        <x:v>قيمة لا تتضمنها قاعدة الأدلة.</x:v>
      </x:c>
      <x:c r="F713" s="38" t="str">
        <x:v>«ليس صفرًا» (reads as a stated value)</x:v>
      </x:c>
      <x:c r="G713" s="24" t="str">
        <x:v>Missing is not zero.</x:v>
      </x:c>
      <x:c r="H713"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it reflects accounts at financial institutions, because the mobile-money questions were not asked in this survey.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بحسب أحدث تقدير مسحي ينشره البنك الدولي، بلغت نسبة امتلاك الحساب 11.9% بين البالغين في المناطق التي شملها مسح اليمن، وهي تعكس الحسابات لدى المؤسسات المالية، لأن أسئلة خدمات الأموال عبر الهاتف لم تُطرح في هذا المسح.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 In Yemen's survey the mobile-money questions were not asked, so the figure reflects accounts at banks and other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 ولم تُطرح أسئلة خدمات الأموال عبر الهاتف في مسح اليمن، لذلك تعكس النسبة الحسابات لدى البنوك والمؤسسات المالية الأخرى.</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 ولم تُطرح أسئلة خدمات الأموال عبر الهاتف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was not measured in Yemen's survey.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فلم يُقس في مسح اليمن.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that asks the mobile-money questions may show a rise caused by the change of questionnaire,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يطرح أسئلة خدمات الأموال عبر الهاتف ارتفاعًا سببه تغيّر الاستبيان،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The 2024 estimate is higher than the 2018 estimate (both from the same document). The 2025 estimate and the 2026–2030 projections come from a later supplement. The IMF series covers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وتقدير 2024 أعلى من تقدير 2018 (والقيمتان من الوثيقة نفسها). أما تقدير 2025 وتوقعات 2026–2030 فمصدرها ملحق لاحق. وتغطي سلسلة الصندوق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were not asked in Yemen's survey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/people/)؛ وإرسال حوالات محلية (17.7%) وتلقيها (31.9%) أو أيٍّ من الأمرين (37.8%)؛ وتلقي أجور (12.4%) أو تحويل حكومي (3.8%) أو مدفوعات عن مبيعات زراعية (28.9%)؛ وإجراء مدفوعة رقمية أو تلقيها (9.3%)؛ وإجراء مدفوعة رقمية لتاجر (0.6%). أما المقاييس الـ16 الأخرى، فلم يُطرح اثنان منها في مسح اليمن،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/people/.</x:v>
      </x:c>
      <x:c r="J40" s="24" t="str">
        <x:v>World Bank reporting year 2022; Global Findex 2021 study; Yemen fieldwork 2022-11-07 to 2023-01-09</x:v>
      </x:c>
      <x:c r="K40" s="28" t="str">
        <x:v>سنة الإبلاغ في بيانات البنك الدولي: 2022؛ دراسة Global Findex 2021؛ العمل الميداني في اليمن من 2022-11-07 إلى 2023-01-09</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that Yemen's survey did not ask.</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لخدمات الأموال عبر الهاتف لم يطرحهما مسح اليمن.</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were not asked in Yemen's survey,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ولم يُطرح سؤالا مقياسين منها (استخدام حساب لخدمات الأموال عبر الهاتف والادخار به) في مسح اليمن، لذلك لا توجد لهما قيمة في هذه الموجة. | وفي هذا السجل، تحمل قيم ادخار أي مبلغ واقتراض أي مبلغ وإجراء مدفوعة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ليس مقياسًا لامتلاك الحساب.</x:v>
      </x:c>
      <x:c r="R40" s="24" t="str">
        <x:v>The panel and its published values apply to the Yemen Findex 2021 study, whose fieldwork ran from 7 November 2022 to 9 January 2023 and which World Bank Data labels 2022. The other measures stay unpublished unless the World Bank publishes a value for them; the two that Yemen's survey did not ask have none for this wave. A newer wave would require an updated panel.</x:v>
      </x:c>
      <x:c r="S40" s="28" t="str">
        <x:v>تنطبق مجموعة المقاييس وقيمها المنشورة على دراسة اليمن ضمن Findex 2021، التي نُفذ عملها الميداني من 7 نوفمبر 2022 إلى 9 يناير 2023 ويعرضها موقع بيانات البنك الدولي لسنة 2022. وتبقى المقاييس الأخرى غير منشورة ما لم ينشر البنك الدولي قيمة لها؛ ولا قيمة في هذه الموجة للمقياسين اللذين لم يطرحهما مسح اليمن.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/people/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7 November 2022 to 9 January 2023, the latest wave available for Yemen.</x:v>
      </x:c>
      <x:c r="S41" s="28" t="str">
        <x:v>لا تُعرض أي أعداد بعد. وستعود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مدفوعة رقمية أو تلقيها، لجميع البالغين.</x:v>
      </x:c>
      <x:c r="J42" s="24" t="str">
        <x:v>World Bank reporting year 2022; Global Findex 2021 study; Yemen fieldwork 2022-11-07 to 2023-01-09</x:v>
      </x:c>
      <x:c r="K42" s="28" t="str">
        <x:v>سنة الإبلاغ في بيانات البنك الدولي: 2022؛ دراسة Global Findex 2021؛ العمل الميداني في اليمن من 2022-11-07 إلى 2023-01-09</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7 November 2022 to 9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7 نوفمبر 2022 إلى 9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2022-11-07 to 2023-01-09</x:v>
      </x:c>
      <x:c r="K43" s="28" t="str">
        <x:v>سنة الإبلاغ في بيانات البنك الدولي: 2022؛ دراسة Global Findex 2021؛ العمل الميداني في اليمن من 2022-11-07 إلى 2023-01-09</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7 November 2022 to 9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7 نوفمبر 2022 إلى 9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2022-11-07 to 2023-01-09</x:v>
      </x:c>
      <x:c r="K44" s="28" t="str">
        <x:v>سنة الإبلاغ في بيانات البنك الدولي: 2022؛ دراسة Global Findex 2021؛ العمل الميداني في اليمن من 2022-11-07 إلى 2023-01-09</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7 November 2022 to 9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7 نوفمبر 2022 إلى 9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2022-11-07 to 2023-01-09</x:v>
      </x:c>
      <x:c r="K45" s="28" t="str">
        <x:v>سنة الإبلاغ في بيانات البنك الدولي: 2022؛ دراسة Global Findex 2021؛ العمل الميداني في اليمن من 2022-11-07 إلى 2023-01-09</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the World Bank publishes most channel values for all adults only, and Yemen's survey did not ask the mobile-money questions.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تُعرض القنوات التي دُفعت أو أُرسلت أو استُلمت عبرها الأموال: فالبنك الدولي ينشر معظم قيم القنوات لجميع البالغين فقط، ولم يطرح مسح اليمن أسئلة خدمات الأموال عبر الهاتف. والفرق بين الفئات لا يثبت سببه.</x:v>
      </x:c>
      <x:c r="R45" s="24" t="str">
        <x:v>The values refer to the Global Findex 2021 wave, which World Bank Data labels 2022, with Yemen fieldwork from 7 November 2022 to 9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7 نوفمبر 2022 إلى 9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Yemen's 2021 study did not ask the mobile-money questions, so its 11.9% also reflects accounts at financial institutions; the 2014 values are rounded; the 2022 value comes from fieldwork conducted from 7 November 2022 to 9 January 2023 that excluded areas holding about 23% of the population. For women, the 2014 wave records 1.7%; the waves are not joined into a trend. The FMIIP appraisal document (May 2025) says that “two percent” of women hold a bank account, with no date and no source; that is a statement, not a measurement.</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دراسة اليمن لعام 2021 لم تطرح أسئلة هذه الخدمات، فتعكس نسبة 11.9% فيها كذلك الحسابات لدى المؤسسات المالية؛ وقيم 2014 مقرّبة؛ وتأتي قيمة 2022 من عمل ميداني نُفذ من 7 نوفمبر 2022 إلى 9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من دون تاريخ ولا مصدر؛ وهذا تصريح لا قياس.</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7 November 2022 to 9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7 نوفمبر 2022 إلى 9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مدفوعة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7 November 2022 to 9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7 نوفمبر 2022 إلى 9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7 November 2022 to 9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7 نوفمبر 2022 إلى 9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 In Yemen's survey the mobile-money questions were not asked, so the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 ولم تُطرح أسئلة خدمات الأموال عبر الهاتف في مسح اليمن، لذلك تعكس القيم الحسابات لدى المؤسسات المالية.</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x:v>
      </x:c>
      <x:c r="Y109" s="24" t="str">
        <x:v>[]</x:v>
      </x:c>
      <x:c r="Z109" t="str">
        <x:v>BOUND_EXACT</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and an unstated reporting perimeter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كلها تنسجم مع الأرقام نفسها.</x:v>
      </x:c>
      <x:c r="J15" s="24" t="str">
        <x:v>["CBY-BANKS-2026-05","CLM-033"]</x:v>
      </x:c>
      <x:c r="K15" s="24" t="str">
        <x:v>["CBY-BANKS-2026-05","CLM-033"]</x:v>
      </x:c>
      <x:c r="L15" s="24" t="str">
        <x:v>["SRC-CBY-001", "SRC-WB-FMIIP-P180708"]</x:v>
      </x:c>
      <x:c r="M15" s="24" t="str">
        <x:v>[]</x:v>
      </x:c>
      <x:c r="N15" s="24" t="str">
        <x:v>["CBY","banks/PSPs","Government","WB/UN"]</x:v>
      </x:c>
      <x:c r="O15" s="24" t="str">
        <x:v>One month of one balance sheet does not show why banks hold these assets, does not show that firms are refused credit and is not a trend; a fall in the government's share across the 2022 revaluation is consistent with valuation, not new lending.</x:v>
      </x:c>
      <x:c r="P15" s="28" t="str">
        <x:v>لا يُظهر شهر واحد من ميزانية واحدة لماذا تحتفظ البنوك بهذه الأصول، ولا يثبت أن المنشآت تُحرم من الائتمان، وليس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x:v>
      </x:c>
      <x:c r="U15" t="str">
        <x:v>CBY-Aden monthly bulletin, end of May 2026 (Issue No. 54) · December 2022 for the revaluation comparison</x:v>
      </x:c>
      <x:c r="V15" t="str">
        <x:v>النشرة الشهرية للبنك المركزي اليمني – عدن، نهاية مايو 2026 (العدد رقم 54) · ديسمبر 2022 لمقارنة إعادة التقييم</x:v>
      </x:c>
      <x:c r="W15" t="str">
        <x:v>2026-10-10</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row r="73">
      <x:c r="A73" s="24" t="str">
        <x:v>CWR-011</x:v>
      </x:c>
      <x:c r="B73" s="24" t="n">
        <x:v>1</x:v>
      </x:c>
      <x:c r="C73" s="24" t="str">
        <x:v>strongest_reading</x:v>
      </x:c>
      <x:c r="D73" s="24" t="str">
        <x:v>What the evidence supports</x:v>
      </x:c>
      <x:c r="E73" s="28" t="str">
        <x:v>ما الذي تسنده الأدلة</x:v>
      </x:c>
    </x:row>
    <x:row r="74">
      <x:c r="A74" s="24" t="str">
        <x:v>CWR-011</x:v>
      </x:c>
      <x:c r="B74" s="24" t="n">
        <x:v>2</x:v>
      </x:c>
      <x:c r="C74" s="24" t="str">
        <x:v>opening</x:v>
      </x:c>
    </x:row>
    <x:row r="75">
      <x:c r="A75" s="24" t="str">
        <x:v>CWR-011</x:v>
      </x:c>
      <x:c r="B75" s="24" t="n">
        <x:v>3</x:v>
      </x:c>
      <x:c r="C75" s="24" t="str">
        <x:v>hypothesis</x:v>
      </x:c>
    </x:row>
    <x:row r="76">
      <x:c r="A76" s="24" t="str">
        <x:v>CWR-011</x:v>
      </x:c>
      <x:c r="B76" s="24" t="n">
        <x:v>4</x:v>
      </x:c>
      <x:c r="C76" s="24" t="str">
        <x:v>alternatives</x:v>
      </x:c>
    </x:row>
    <x:row r="77">
      <x:c r="A77" s="24" t="str">
        <x:v>CWR-011</x:v>
      </x:c>
      <x:c r="B77" s="24" t="n">
        <x:v>5</x:v>
      </x:c>
      <x:c r="C77" s="24" t="str">
        <x:v>boundary</x:v>
      </x:c>
    </x:row>
    <x:row r="78">
      <x:c r="A78" s="24" t="str">
        <x:v>CWR-011</x:v>
      </x:c>
      <x:c r="B78" s="24" t="n">
        <x:v>6</x:v>
      </x:c>
      <x:c r="C78"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/people/); the channels through which the money moved are not shown.</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/people/)؛ ولا تُعرض القنوات التي انتقلت عبرها الأموال.</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Yemen's 2021 study did not ask the mobile-money questions: if a new survey asks them, part of any rise in account ownership may come from the wider questionnaire,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ولم تطرح دراسة اليمن لعام 2021 أسئلة خدمات الأموال عبر الهاتف: فإذا طرحها مسح جديد فقد يأتي جزء من أي ارتفاع في امتلاك الحساب من اتساع الاستبيان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2022-11-07 to 2023-01-09</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2022-11-07 إلى 2023-01-09</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2022-11-07 to 2023-01-09</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2022-11-07 إلى 2023-01-09</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2022-11-07 to 2023-01-09</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the World Bank publishes most channel values for all adults only, and Yemen's survey did not ask the mobile-money questions.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تُعرض القنوات التي دُفعت أو أُرسلت أو استُلمت عبرها الأموال: فالبنك الدولي ينشر معظم قيم القنوات لجميع البالغين فقط، ولم يطرح مسح اليمن أسئلة خدمات الأموال عبر الهاتف.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x:v>
      </x:c>
      <x:c r="W43" s="24" t="str">
        <x:v>["/people", "/remittances"]</x:v>
      </x:c>
      <x:c r="X43" t="str">
        <x:v>سنة الإبلاغ في بيانات البنك الدولي: 2022؛ دراسة Global Findex 2021؛ العمل الميداني في اليمن من 2022-11-07 إلى 2023-01-09</x:v>
      </x:c>
      <x:c r="Y43" t="str">
        <x:v>البالغون بعمر 15 سنة فأكثر في المناطق التي شملها المسح؛ وكل فئة كما يعرّفها البنك الدولي</x:v>
      </x:c>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row r="46">
      <x:c r="A46"/>
      <x:c r="B46"/>
      <x:c r="C46"/>
      <x:c r="D46"/>
      <x:c r="E46"/>
      <x:c r="F46"/>
      <x:c r="G46"/>
      <x:c r="H46"/>
      <x:c r="I46"/>
      <x:c r="J46"/>
      <x:c r="K46"/>
      <x:c r="L46"/>
      <x:c r="M46"/>
      <x:c r="N46"/>
      <x:c r="O46"/>
      <x:c r="P46"/>
      <x:c r="Q46"/>
      <x:c r="R46"/>
      <x:c r="S46"/>
      <x:c r="T46"/>
      <x:c r="U46"/>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الحوالات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الحوالات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الحوالات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x:c r="S27"/>
      <x:c r="T27"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with Crisis Analysis MENA/Europe (cover)</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In Yemen's survey the mobile-money questions were not asked: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7 November 2022 to 9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7 November 2022 to 9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7 November 2022 to 9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7 November 2022 to 9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7 November 2022 to 9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7 November 2022 to 9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7 November 2022 to 9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7 November 2022 to 9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7 November 2022 to 9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7 November 2022 to 9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7 November 2022 to 9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7 November 2022 to 9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7 November 2022 to 9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7 November 2022 to 9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7 November 2022 to 9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7 November 2022 to 9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7 November 2022 to 9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7 November 2022 to 9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7 November 2022 to 9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7 November 2022 to 9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7 November 2022 to 9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7 November 2022 to 9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7 November 2022 to 9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7 November 2022 to 9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7 November 2022 to 9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7 November 2022 to 9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7 November 2022 to 9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7 November 2022 to 9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7 November 2022 to 9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7 November 2022 to 9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7 November 2022 to 9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7 November 2022 to 9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7 November 2022 to 9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7 November 2022 to 9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7 November 2022 to 9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7 November 2022 to 9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7 November 2022 to 9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7 November 2022 to 9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7 November 2022 to 9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7 November 2022 to 9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7 November 2022 to 9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7 November 2022 to 9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7 November 2022 to 9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7 November 2022 to 9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7 November 2022 to 9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7 November 2022 to 9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7 November 2022 to 9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7 November 2022 to 9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7 November 2022 to 9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7 November 2022 to 9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7 November 2022 to 9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7 November 2022 to 9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7 November 2022 to 9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7 November 2022 to 9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7 November 2022 to 9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7 November 2022 to 9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7 November 2022 to 9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7 November 2022 to 9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7 November 2022 to 9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7 November 2022 to 9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7 November 2022 to 9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7 November 2022 to 9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7 November 2022 to 9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7 November 2022 to 9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7 November 2022 to 9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7 November 2022 to 9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7 November 2022 to 9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7 November 2022 to 9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7 November 2022 to 9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7 November 2022 to 9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7 November 2022 to 9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7 November 2022 to 9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7 November 2022 to 9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7 November 2022 to 9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7 November 2022 to 9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7 November 2022 to 9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7 November 2022 to 9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7 November 2022 to 9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7 November 2022 to 9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7 November 2022 to 9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7 November 2022 to 9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7 November 2022 to 9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7 November 2022 to 9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7 November 2022 to 9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7 November 2022 to 9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7 November 2022 to 9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7 November 2022 to 9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7 November 2022 to 9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7 November 2022 to 9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7 November 2022 to 9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7 November 2022 to 9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7 November 2022 to 9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7 November 2022 to 9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7 November 2022 to 9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7 November 2022 to 9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7 November 2022 to 9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7 November 2022 to 9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7 November 2022 to 9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7 November 2022 to 9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7 November 2022 to 9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7 November 2022 to 9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7 November 2022 to 9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7 November 2022 to 9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7 November 2022 to 9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7 November 2022 to 9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7 November 2022 to 9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7 November 2022 to 9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7 November 2022 to 9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7 November 2022 to 9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7 November 2022 to 9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7 November 2022 to 9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7 November 2022 to 9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7 November 2022 to 9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7 November 2022 to 9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7 November 2022 to 9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7 November 2022 to 9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7 November 2022 to 9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7 November 2022 to 9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7 November 2022 to 9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7 November 2022 to 9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7 November 2022 to 9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7 November 2022 to 9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7 November 2022 to 9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7 November 2022 to 9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7 November 2022 to 9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7 November 2022 to 9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7 November 2022 to 9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7 November 2022 to 9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7 November 2022 to 9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7 November 2022 to 9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7 November 2022 to 9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7 November 2022 to 9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7 November 2022 to 9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7 November 2022 to 9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7 November 2022 to 9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7 November 2022 to 9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7 November 2022 to 9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7 November 2022 to 9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7 November 2022 to 9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7 November 2022 to 9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7 November 2022 to 9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7 November 2022 to 9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7 November 2022 to 9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7 November 2022 to 9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7 November 2022 to 9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7 November 2022 to 9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7 November 2022 to 9 January 2023); unrounded value 0.610879263962454. No interval published here (EXT-07 held). Close-out U1, 10 October 2026. Panel measure FDP-032.</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144</x:v>
      </x:c>
      <x:c r="D5" s="24" t="n">
        <x:f>COUNTA('02_SITE_MAP'!A5:A300)</x:f>
        <x:v>144</x:v>
      </x:c>
      <x:c r="E5" s="24" t="str">
        <x:f>IF(D5=C5,"READY","REVIEW")</x:f>
        <x:v>READY</x:v>
      </x:c>
      <x:c r="F5" s="24" t="str">
        <x:v>02_SITE_MAP</x:v>
      </x:c>
      <x:c r="G5" s="24" t="str">
        <x:v>Every site page instance is represented.</x:v>
      </x:c>
    </x:row>
    <x:row r="6">
      <x:c r="A6" s="24" t="str">
        <x:v>Site</x:v>
      </x:c>
      <x:c r="B6" s="24" t="str">
        <x:v>Bilingual page sections</x:v>
      </x:c>
      <x:c r="C6" s="24" t="n">
        <x:v>237</x:v>
      </x:c>
      <x:c r="D6" s="24" t="n">
        <x:v>237</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11</x:v>
      </x:c>
      <x:c r="D10" s="24" t="n">
        <x:f>COUNTA('08_READINGS'!A5:A50)</x:f>
        <x:v>11</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39</x:v>
      </x:c>
      <x:c r="D12" s="24" t="n">
        <x:f>COUNTA('11_VISUAL_LIBRARY'!A5:A100)</x:f>
        <x:v>39</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168</x:v>
      </x:c>
      <x:c r="D15" s="24" t="n">
        <x:v>168</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