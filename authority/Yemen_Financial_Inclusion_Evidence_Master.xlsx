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141</x:v>
      </x:c>
      <x:c r="C14" s="23" t="n">
        <x:v>141</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572</x:v>
      </x:c>
      <x:c r="C15" s="23" t="n">
        <x:v>572</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108</x:v>
      </x:c>
      <x:c r="C17" s="23" t="n">
        <x:v>108</x:v>
      </x:c>
    </x:row>
    <x:row r="18">
      <x:c r="A18" s="23" t="str">
        <x:v>Public claims</x:v>
      </x:c>
      <x:c r="B18" s="23" t="n">
        <x:f>COUNTA('07_PUBLIC_CLAIMS'!A5:A200)</x:f>
        <x:v>59</x:v>
      </x:c>
      <x:c r="C18" s="23" t="n">
        <x:v>59</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24</x:v>
      </x:c>
      <x:c r="C23" s="23" t="n">
        <x:v>24</x:v>
      </x:c>
    </x:row>
    <x:row r="24">
      <x:c r="A24" s="23" t="str">
        <x:v>Sources</x:v>
      </x:c>
      <x:c r="B24" s="23" t="n">
        <x:v>159</x:v>
      </x:c>
      <x:c r="C24" s="23" t="n">
        <x:v>159</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1473</x:v>
      </x:c>
      <x:c r="C36" s="23" t="str">
        <x:v>count</x:v>
      </x:c>
      <x:c r="D36" s="23" t="str">
        <x:v>Jan-2026</x:v>
      </x:c>
      <x:c r="E36" s="23" t="str">
        <x:v>SRC-CBY-POS-2026-01</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98 exchange companies, 225 exchange establishments, 106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24-event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x:c r="B50" s="105"/>
      <x:c r="C50" s="105"/>
      <x:c r="E50" s="105"/>
      <x:c r="F50" s="105"/>
      <x:c r="G50" s="105"/>
      <x:c r="I50" s="105"/>
      <x:c r="J50" s="105"/>
      <x:c r="K50" s="105"/>
    </x:row>
  </x:sheetData>
  <x:mergeCells>
    <x:mergeCell ref="A1:D1"/>
    <x:mergeCell ref="A2:D2"/>
    <x:mergeCell ref="A1:N1"/>
    <x:mergeCell ref="A2:N4"/>
    <x:mergeCell ref="E14:N14"/>
    <x:mergeCell ref="A39:N39"/>
    <x:mergeCell ref="A41:C44"/>
    <x:mergeCell ref="E41:G44"/>
    <x:mergeCell ref="I41:K44"/>
    <x:mergeCell ref="A47:C50"/>
    <x:mergeCell ref="E47:G50"/>
    <x:mergeCell ref="I47:K50"/>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x:c r="H5" s="28"/>
    </x:row>
    <x:row r="6">
      <x:c r="A6" s="24" t="str">
        <x:v>/access/</x:v>
      </x:c>
      <x:c r="B6" s="24" t="str">
        <x:v>static</x:v>
      </x:c>
      <x:c r="C6" s="24" t="str">
        <x:v>/access</x:v>
      </x:c>
      <x:c r="D6" s="24"/>
      <x:c r="E6" s="24" t="str">
        <x:v>Access: where services can be reached is only partly mapped</x:v>
      </x:c>
      <x:c r="F6" s="28" t="str">
        <x:v>نعرف أجزاءً من شبكة الوصول إلى الخدمات المالية، لكننا لا نملك بعد خريطة وطنية موثوقة لما يعمل فعليًا على الأرض.</x:v>
      </x:c>
      <x:c r="G6" s="24"/>
      <x:c r="H6" s="28"/>
    </x:row>
    <x:row r="7">
      <x:c r="A7" s="24" t="str">
        <x:v>/accessibility/</x:v>
      </x:c>
      <x:c r="B7" s="24" t="str">
        <x:v>operational</x:v>
      </x:c>
      <x:c r="C7" s="24" t="str">
        <x:v>/accessibility</x:v>
      </x:c>
      <x:c r="D7" s="24"/>
      <x:c r="E7" s="24" t="str">
        <x:v>Accessibility statement</x:v>
      </x:c>
      <x:c r="F7" s="28" t="str">
        <x:v>بيان إتاحة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x:c r="H8" s="28"/>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x:c r="H10" s="28"/>
    </x:row>
    <x:row r="11">
      <x:c r="A11" s="24" t="str">
        <x:v>/evidence/CLM-001/</x:v>
      </x:c>
      <x:c r="B11" s="24" t="str">
        <x:v>evidence_detail</x:v>
      </x:c>
      <x:c r="C11" s="24" t="str">
        <x:v>/evidence/[id]</x:v>
      </x:c>
      <x:c r="D11" s="24" t="str">
        <x:v>CLM-001</x:v>
      </x:c>
      <x:c r="E11" s="24"/>
      <x:c r="F11" s="28"/>
      <x:c r="G11" s="24"/>
      <x:c r="H11" s="28"/>
    </x:row>
    <x:row r="12">
      <x:c r="A12" s="24" t="str">
        <x:v>/evidence/CLM-002/</x:v>
      </x:c>
      <x:c r="B12" s="24" t="str">
        <x:v>evidence_detail</x:v>
      </x:c>
      <x:c r="C12" s="24" t="str">
        <x:v>/evidence/[id]</x:v>
      </x:c>
      <x:c r="D12" s="24" t="str">
        <x:v>CLM-002</x:v>
      </x:c>
      <x:c r="E12" s="24"/>
      <x:c r="F12" s="28"/>
      <x:c r="G12" s="24"/>
      <x:c r="H12" s="28"/>
    </x:row>
    <x:row r="13">
      <x:c r="A13" s="24" t="str">
        <x:v>/evidence/CLM-003/</x:v>
      </x:c>
      <x:c r="B13" s="24" t="str">
        <x:v>evidence_detail</x:v>
      </x:c>
      <x:c r="C13" s="24" t="str">
        <x:v>/evidence/[id]</x:v>
      </x:c>
      <x:c r="D13" s="24" t="str">
        <x:v>CLM-003</x:v>
      </x:c>
      <x:c r="E13" s="24"/>
      <x:c r="F13" s="28"/>
      <x:c r="G13" s="24"/>
      <x:c r="H13" s="28"/>
    </x:row>
    <x:row r="14">
      <x:c r="A14" s="24" t="str">
        <x:v>/evidence/CLM-004/</x:v>
      </x:c>
      <x:c r="B14" s="24" t="str">
        <x:v>evidence_detail</x:v>
      </x:c>
      <x:c r="C14" s="24" t="str">
        <x:v>/evidence/[id]</x:v>
      </x:c>
      <x:c r="D14" s="24" t="str">
        <x:v>CLM-004</x:v>
      </x:c>
      <x:c r="E14" s="24"/>
      <x:c r="F14" s="28"/>
      <x:c r="G14" s="24"/>
      <x:c r="H14" s="28"/>
    </x:row>
    <x:row r="15">
      <x:c r="A15" s="24" t="str">
        <x:v>/evidence/CLM-005/</x:v>
      </x:c>
      <x:c r="B15" s="24" t="str">
        <x:v>evidence_detail</x:v>
      </x:c>
      <x:c r="C15" s="24" t="str">
        <x:v>/evidence/[id]</x:v>
      </x:c>
      <x:c r="D15" s="24" t="str">
        <x:v>CLM-005</x:v>
      </x:c>
      <x:c r="E15" s="24"/>
      <x:c r="F15" s="28"/>
      <x:c r="G15" s="24"/>
      <x:c r="H15" s="28"/>
    </x:row>
    <x:row r="16">
      <x:c r="A16" s="24" t="str">
        <x:v>/evidence/CLM-006/</x:v>
      </x:c>
      <x:c r="B16" s="24" t="str">
        <x:v>evidence_detail</x:v>
      </x:c>
      <x:c r="C16" s="24" t="str">
        <x:v>/evidence/[id]</x:v>
      </x:c>
      <x:c r="D16" s="24" t="str">
        <x:v>CLM-006</x:v>
      </x:c>
      <x:c r="E16" s="24"/>
      <x:c r="F16" s="28"/>
      <x:c r="G16" s="24"/>
      <x:c r="H16" s="28"/>
    </x:row>
    <x:row r="17">
      <x:c r="A17" s="24" t="str">
        <x:v>/evidence/CLM-007/</x:v>
      </x:c>
      <x:c r="B17" s="24" t="str">
        <x:v>evidence_detail</x:v>
      </x:c>
      <x:c r="C17" s="24" t="str">
        <x:v>/evidence/[id]</x:v>
      </x:c>
      <x:c r="D17" s="24" t="str">
        <x:v>CLM-007</x:v>
      </x:c>
      <x:c r="E17" s="24"/>
      <x:c r="F17" s="28"/>
      <x:c r="G17" s="24"/>
      <x:c r="H17" s="28"/>
    </x:row>
    <x:row r="18">
      <x:c r="A18" s="24" t="str">
        <x:v>/evidence/CLM-008/</x:v>
      </x:c>
      <x:c r="B18" s="24" t="str">
        <x:v>evidence_detail</x:v>
      </x:c>
      <x:c r="C18" s="24" t="str">
        <x:v>/evidence/[id]</x:v>
      </x:c>
      <x:c r="D18" s="24" t="str">
        <x:v>CLM-008</x:v>
      </x:c>
      <x:c r="E18" s="24"/>
      <x:c r="F18" s="28"/>
      <x:c r="G18" s="24"/>
      <x:c r="H18" s="28"/>
    </x:row>
    <x:row r="19">
      <x:c r="A19" s="24" t="str">
        <x:v>/evidence/CLM-009/</x:v>
      </x:c>
      <x:c r="B19" s="24" t="str">
        <x:v>evidence_detail</x:v>
      </x:c>
      <x:c r="C19" s="24" t="str">
        <x:v>/evidence/[id]</x:v>
      </x:c>
      <x:c r="D19" s="24" t="str">
        <x:v>CLM-009</x:v>
      </x:c>
      <x:c r="E19" s="24"/>
      <x:c r="F19" s="28"/>
      <x:c r="G19" s="24"/>
      <x:c r="H19" s="28"/>
    </x:row>
    <x:row r="20">
      <x:c r="A20" s="24" t="str">
        <x:v>/evidence/CLM-010/</x:v>
      </x:c>
      <x:c r="B20" s="24" t="str">
        <x:v>evidence_detail</x:v>
      </x:c>
      <x:c r="C20" s="24" t="str">
        <x:v>/evidence/[id]</x:v>
      </x:c>
      <x:c r="D20" s="24" t="str">
        <x:v>CLM-010</x:v>
      </x:c>
      <x:c r="E20" s="24"/>
      <x:c r="F20" s="28"/>
      <x:c r="G20" s="24"/>
      <x:c r="H20" s="28"/>
    </x:row>
    <x:row r="21">
      <x:c r="A21" s="24" t="str">
        <x:v>/evidence/CLM-011/</x:v>
      </x:c>
      <x:c r="B21" s="24" t="str">
        <x:v>evidence_detail</x:v>
      </x:c>
      <x:c r="C21" s="24" t="str">
        <x:v>/evidence/[id]</x:v>
      </x:c>
      <x:c r="D21" s="24" t="str">
        <x:v>CLM-011</x:v>
      </x:c>
      <x:c r="E21" s="24"/>
      <x:c r="F21" s="28"/>
      <x:c r="G21" s="24"/>
      <x:c r="H21" s="28"/>
    </x:row>
    <x:row r="22">
      <x:c r="A22" s="24" t="str">
        <x:v>/evidence/CLM-012/</x:v>
      </x:c>
      <x:c r="B22" s="24" t="str">
        <x:v>evidence_detail</x:v>
      </x:c>
      <x:c r="C22" s="24" t="str">
        <x:v>/evidence/[id]</x:v>
      </x:c>
      <x:c r="D22" s="24" t="str">
        <x:v>CLM-012</x:v>
      </x:c>
      <x:c r="E22" s="24"/>
      <x:c r="F22" s="28"/>
      <x:c r="G22" s="24"/>
      <x:c r="H22" s="28"/>
    </x:row>
    <x:row r="23">
      <x:c r="A23" s="24" t="str">
        <x:v>/evidence/CLM-013/</x:v>
      </x:c>
      <x:c r="B23" s="24" t="str">
        <x:v>evidence_detail</x:v>
      </x:c>
      <x:c r="C23" s="24" t="str">
        <x:v>/evidence/[id]</x:v>
      </x:c>
      <x:c r="D23" s="24" t="str">
        <x:v>CLM-013</x:v>
      </x:c>
      <x:c r="E23" s="24"/>
      <x:c r="F23" s="28"/>
      <x:c r="G23" s="24"/>
      <x:c r="H23" s="28"/>
    </x:row>
    <x:row r="24">
      <x:c r="A24" s="24" t="str">
        <x:v>/evidence/CLM-014/</x:v>
      </x:c>
      <x:c r="B24" s="24" t="str">
        <x:v>evidence_detail</x:v>
      </x:c>
      <x:c r="C24" s="24" t="str">
        <x:v>/evidence/[id]</x:v>
      </x:c>
      <x:c r="D24" s="24" t="str">
        <x:v>CLM-014</x:v>
      </x:c>
      <x:c r="E24" s="24"/>
      <x:c r="F24" s="28"/>
      <x:c r="G24" s="24"/>
      <x:c r="H24" s="28"/>
    </x:row>
    <x:row r="25">
      <x:c r="A25" s="24" t="str">
        <x:v>/evidence/CLM-015/</x:v>
      </x:c>
      <x:c r="B25" s="24" t="str">
        <x:v>evidence_detail</x:v>
      </x:c>
      <x:c r="C25" s="24" t="str">
        <x:v>/evidence/[id]</x:v>
      </x:c>
      <x:c r="D25" s="24" t="str">
        <x:v>CLM-015</x:v>
      </x:c>
      <x:c r="E25" s="24"/>
      <x:c r="F25" s="28"/>
      <x:c r="G25" s="24"/>
      <x:c r="H25" s="28"/>
    </x:row>
    <x:row r="26">
      <x:c r="A26" s="24" t="str">
        <x:v>/evidence/CLM-016/</x:v>
      </x:c>
      <x:c r="B26" s="24" t="str">
        <x:v>evidence_detail</x:v>
      </x:c>
      <x:c r="C26" s="24" t="str">
        <x:v>/evidence/[id]</x:v>
      </x:c>
      <x:c r="D26" s="24" t="str">
        <x:v>CLM-016</x:v>
      </x:c>
      <x:c r="E26" s="24"/>
      <x:c r="F26" s="28"/>
      <x:c r="G26" s="24"/>
      <x:c r="H26" s="28"/>
    </x:row>
    <x:row r="27">
      <x:c r="A27" s="24" t="str">
        <x:v>/evidence/CLM-017/</x:v>
      </x:c>
      <x:c r="B27" s="24" t="str">
        <x:v>evidence_detail</x:v>
      </x:c>
      <x:c r="C27" s="24" t="str">
        <x:v>/evidence/[id]</x:v>
      </x:c>
      <x:c r="D27" s="24" t="str">
        <x:v>CLM-017</x:v>
      </x:c>
      <x:c r="E27" s="24"/>
      <x:c r="F27" s="28"/>
      <x:c r="G27" s="24"/>
      <x:c r="H27" s="28"/>
    </x:row>
    <x:row r="28">
      <x:c r="A28" s="24" t="str">
        <x:v>/evidence/CLM-018/</x:v>
      </x:c>
      <x:c r="B28" s="24" t="str">
        <x:v>evidence_detail</x:v>
      </x:c>
      <x:c r="C28" s="24" t="str">
        <x:v>/evidence/[id]</x:v>
      </x:c>
      <x:c r="D28" s="24" t="str">
        <x:v>CLM-018</x:v>
      </x:c>
      <x:c r="E28" s="24"/>
      <x:c r="F28" s="28"/>
      <x:c r="G28" s="24"/>
      <x:c r="H28" s="28"/>
    </x:row>
    <x:row r="29">
      <x:c r="A29" s="24" t="str">
        <x:v>/evidence/CLM-019/</x:v>
      </x:c>
      <x:c r="B29" s="24" t="str">
        <x:v>evidence_detail</x:v>
      </x:c>
      <x:c r="C29" s="24" t="str">
        <x:v>/evidence/[id]</x:v>
      </x:c>
      <x:c r="D29" s="24" t="str">
        <x:v>CLM-019</x:v>
      </x:c>
      <x:c r="E29" s="24"/>
      <x:c r="F29" s="28"/>
      <x:c r="G29" s="24"/>
      <x:c r="H29" s="28"/>
    </x:row>
    <x:row r="30">
      <x:c r="A30" s="24" t="str">
        <x:v>/evidence/CLM-020/</x:v>
      </x:c>
      <x:c r="B30" s="24" t="str">
        <x:v>evidence_detail</x:v>
      </x:c>
      <x:c r="C30" s="24" t="str">
        <x:v>/evidence/[id]</x:v>
      </x:c>
      <x:c r="D30" s="24" t="str">
        <x:v>CLM-020</x:v>
      </x:c>
      <x:c r="E30" s="24"/>
      <x:c r="F30" s="28"/>
      <x:c r="G30" s="24"/>
      <x:c r="H30" s="28"/>
    </x:row>
    <x:row r="31">
      <x:c r="A31" s="24" t="str">
        <x:v>/evidence/CLM-021/</x:v>
      </x:c>
      <x:c r="B31" s="24" t="str">
        <x:v>evidence_detail</x:v>
      </x:c>
      <x:c r="C31" s="24" t="str">
        <x:v>/evidence/[id]</x:v>
      </x:c>
      <x:c r="D31" s="24" t="str">
        <x:v>CLM-021</x:v>
      </x:c>
      <x:c r="E31" s="24"/>
      <x:c r="F31" s="28"/>
      <x:c r="G31" s="24"/>
      <x:c r="H31" s="28"/>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x:c r="H33" s="28"/>
    </x:row>
    <x:row r="34">
      <x:c r="A34" s="24" t="str">
        <x:v>/evidence/CLM-024/</x:v>
      </x:c>
      <x:c r="B34" s="24" t="str">
        <x:v>evidence_detail</x:v>
      </x:c>
      <x:c r="C34" s="24" t="str">
        <x:v>/evidence/[id]</x:v>
      </x:c>
      <x:c r="D34" s="24" t="str">
        <x:v>CLM-024</x:v>
      </x:c>
      <x:c r="E34" s="24"/>
      <x:c r="F34" s="28"/>
      <x:c r="G34" s="24"/>
      <x:c r="H34" s="28"/>
    </x:row>
    <x:row r="35">
      <x:c r="A35" s="24" t="str">
        <x:v>/evidence/CLM-025/</x:v>
      </x:c>
      <x:c r="B35" s="24" t="str">
        <x:v>evidence_detail</x:v>
      </x:c>
      <x:c r="C35" s="24" t="str">
        <x:v>/evidence/[id]</x:v>
      </x:c>
      <x:c r="D35" s="24" t="str">
        <x:v>CLM-025</x:v>
      </x:c>
      <x:c r="E35" s="24"/>
      <x:c r="F35" s="28"/>
      <x:c r="G35" s="24"/>
      <x:c r="H35" s="28"/>
    </x:row>
    <x:row r="36">
      <x:c r="A36" s="24" t="str">
        <x:v>/evidence/CLM-026/</x:v>
      </x:c>
      <x:c r="B36" s="24" t="str">
        <x:v>evidence_detail</x:v>
      </x:c>
      <x:c r="C36" s="24" t="str">
        <x:v>/evidence/[id]</x:v>
      </x:c>
      <x:c r="D36" s="24" t="str">
        <x:v>CLM-026</x:v>
      </x:c>
      <x:c r="E36" s="24"/>
      <x:c r="F36" s="28"/>
      <x:c r="G36" s="24"/>
      <x:c r="H36" s="28"/>
    </x:row>
    <x:row r="37">
      <x:c r="A37" s="24" t="str">
        <x:v>/evidence/CLM-027/</x:v>
      </x:c>
      <x:c r="B37" s="24" t="str">
        <x:v>evidence_detail</x:v>
      </x:c>
      <x:c r="C37" s="24" t="str">
        <x:v>/evidence/[id]</x:v>
      </x:c>
      <x:c r="D37" s="24" t="str">
        <x:v>CLM-027</x:v>
      </x:c>
      <x:c r="E37" s="24"/>
      <x:c r="F37" s="28"/>
      <x:c r="G37" s="24"/>
      <x:c r="H37" s="28"/>
    </x:row>
    <x:row r="38">
      <x:c r="A38" s="24" t="str">
        <x:v>/evidence/CLM-028/</x:v>
      </x:c>
      <x:c r="B38" s="24" t="str">
        <x:v>evidence_detail</x:v>
      </x:c>
      <x:c r="C38" s="24" t="str">
        <x:v>/evidence/[id]</x:v>
      </x:c>
      <x:c r="D38" s="24" t="str">
        <x:v>CLM-028</x:v>
      </x:c>
      <x:c r="E38" s="24"/>
      <x:c r="F38" s="28"/>
      <x:c r="G38" s="24"/>
      <x:c r="H38" s="28"/>
    </x:row>
    <x:row r="39">
      <x:c r="A39" s="24" t="str">
        <x:v>/evidence/CLM-029/</x:v>
      </x:c>
      <x:c r="B39" s="24" t="str">
        <x:v>evidence_detail</x:v>
      </x:c>
      <x:c r="C39" s="24" t="str">
        <x:v>/evidence/[id]</x:v>
      </x:c>
      <x:c r="D39" s="24" t="str">
        <x:v>CLM-029</x:v>
      </x:c>
      <x:c r="E39" s="24"/>
      <x:c r="F39" s="28"/>
      <x:c r="G39" s="24"/>
      <x:c r="H39" s="28"/>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x:c r="H41" s="28"/>
    </x:row>
    <x:row r="42">
      <x:c r="A42" s="24" t="str">
        <x:v>/evidence/CLM-032/</x:v>
      </x:c>
      <x:c r="B42" s="24" t="str">
        <x:v>evidence_detail</x:v>
      </x:c>
      <x:c r="C42" s="24" t="str">
        <x:v>/evidence/[id]</x:v>
      </x:c>
      <x:c r="D42" s="24" t="str">
        <x:v>CLM-032</x:v>
      </x:c>
      <x:c r="E42" s="24"/>
      <x:c r="F42" s="28"/>
      <x:c r="G42" s="24"/>
      <x:c r="H42" s="28"/>
    </x:row>
    <x:row r="43">
      <x:c r="A43" s="24" t="str">
        <x:v>/evidence/CLM-033/</x:v>
      </x:c>
      <x:c r="B43" s="24" t="str">
        <x:v>evidence_detail</x:v>
      </x:c>
      <x:c r="C43" s="24" t="str">
        <x:v>/evidence/[id]</x:v>
      </x:c>
      <x:c r="D43" s="24" t="str">
        <x:v>CLM-033</x:v>
      </x:c>
      <x:c r="E43" s="24"/>
      <x:c r="F43" s="28"/>
      <x:c r="G43" s="24"/>
      <x:c r="H43" s="28"/>
    </x:row>
    <x:row r="44">
      <x:c r="A44" s="24" t="str">
        <x:v>/evidence/CLM-034/</x:v>
      </x:c>
      <x:c r="B44" s="24" t="str">
        <x:v>evidence_detail</x:v>
      </x:c>
      <x:c r="C44" s="24" t="str">
        <x:v>/evidence/[id]</x:v>
      </x:c>
      <x:c r="D44" s="24" t="str">
        <x:v>CLM-034</x:v>
      </x:c>
      <x:c r="E44" s="24"/>
      <x:c r="F44" s="28"/>
      <x:c r="G44" s="24"/>
      <x:c r="H44" s="28"/>
    </x:row>
    <x:row r="45">
      <x:c r="A45" s="24" t="str">
        <x:v>/evidence/CLM-035/</x:v>
      </x:c>
      <x:c r="B45" s="24" t="str">
        <x:v>evidence_detail</x:v>
      </x:c>
      <x:c r="C45" s="24" t="str">
        <x:v>/evidence/[id]</x:v>
      </x:c>
      <x:c r="D45" s="24" t="str">
        <x:v>CLM-035</x:v>
      </x:c>
      <x:c r="E45" s="24"/>
      <x:c r="F45" s="28"/>
      <x:c r="G45" s="24"/>
      <x:c r="H45" s="28"/>
    </x:row>
    <x:row r="46">
      <x:c r="A46" s="24" t="str">
        <x:v>/evidence/CLM-036/</x:v>
      </x:c>
      <x:c r="B46" s="24" t="str">
        <x:v>evidence_detail</x:v>
      </x:c>
      <x:c r="C46" s="24" t="str">
        <x:v>/evidence/[id]</x:v>
      </x:c>
      <x:c r="D46" s="24" t="str">
        <x:v>CLM-036</x:v>
      </x:c>
      <x:c r="E46" s="24"/>
      <x:c r="F46" s="28"/>
      <x:c r="G46" s="24"/>
      <x:c r="H46" s="28"/>
    </x:row>
    <x:row r="47">
      <x:c r="A47" s="24" t="str">
        <x:v>/evidence/CLM-037/</x:v>
      </x:c>
      <x:c r="B47" s="24" t="str">
        <x:v>evidence_detail</x:v>
      </x:c>
      <x:c r="C47" s="24" t="str">
        <x:v>/evidence/[id]</x:v>
      </x:c>
      <x:c r="D47" s="24" t="str">
        <x:v>CLM-037</x:v>
      </x:c>
      <x:c r="E47" s="24"/>
      <x:c r="F47" s="28"/>
      <x:c r="G47" s="24"/>
      <x:c r="H47" s="28"/>
    </x:row>
    <x:row r="48">
      <x:c r="A48" s="24" t="str">
        <x:v>/evidence/CLM-038/</x:v>
      </x:c>
      <x:c r="B48" s="24" t="str">
        <x:v>evidence_detail</x:v>
      </x:c>
      <x:c r="C48" s="24" t="str">
        <x:v>/evidence/[id]</x:v>
      </x:c>
      <x:c r="D48" s="24" t="str">
        <x:v>CLM-038</x:v>
      </x:c>
      <x:c r="E48" s="24"/>
      <x:c r="F48" s="28"/>
      <x:c r="G48" s="24"/>
      <x:c r="H48" s="28"/>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x:c r="H50" s="28"/>
    </x:row>
    <x:row r="51">
      <x:c r="A51" s="24" t="str">
        <x:v>/evidence/CLM-041/</x:v>
      </x:c>
      <x:c r="B51" s="24" t="str">
        <x:v>evidence_detail</x:v>
      </x:c>
      <x:c r="C51" s="24" t="str">
        <x:v>/evidence/[id]</x:v>
      </x:c>
      <x:c r="D51" s="24" t="str">
        <x:v>CLM-041</x:v>
      </x:c>
      <x:c r="E51" s="24"/>
      <x:c r="F51" s="28"/>
      <x:c r="G51" s="24"/>
      <x:c r="H51" s="28"/>
    </x:row>
    <x:row r="52">
      <x:c r="A52" s="24" t="str">
        <x:v>/evidence/CLM-042/</x:v>
      </x:c>
      <x:c r="B52" s="24" t="str">
        <x:v>evidence_detail</x:v>
      </x:c>
      <x:c r="C52" s="24" t="str">
        <x:v>/evidence/[id]</x:v>
      </x:c>
      <x:c r="D52" s="24" t="str">
        <x:v>CLM-042</x:v>
      </x:c>
      <x:c r="E52" s="24"/>
      <x:c r="F52" s="28"/>
      <x:c r="G52" s="24"/>
      <x:c r="H52" s="28"/>
    </x:row>
    <x:row r="53">
      <x:c r="A53" s="24" t="str">
        <x:v>/evidence/CLM-043/</x:v>
      </x:c>
      <x:c r="B53" s="24" t="str">
        <x:v>evidence_detail</x:v>
      </x:c>
      <x:c r="C53" s="24" t="str">
        <x:v>/evidence/[id]</x:v>
      </x:c>
      <x:c r="D53" s="24" t="str">
        <x:v>CLM-043</x:v>
      </x:c>
      <x:c r="E53" s="24"/>
      <x:c r="F53" s="28"/>
      <x:c r="G53" s="24"/>
      <x:c r="H53" s="28"/>
    </x:row>
    <x:row r="54">
      <x:c r="A54" s="24" t="str">
        <x:v>/evidence/CLM-044/</x:v>
      </x:c>
      <x:c r="B54" s="24" t="str">
        <x:v>evidence_detail</x:v>
      </x:c>
      <x:c r="C54" s="24" t="str">
        <x:v>/evidence/[id]</x:v>
      </x:c>
      <x:c r="D54" s="24" t="str">
        <x:v>CLM-044</x:v>
      </x:c>
      <x:c r="E54" s="24"/>
      <x:c r="F54" s="28"/>
      <x:c r="G54" s="24"/>
      <x:c r="H54" s="28"/>
    </x:row>
    <x:row r="55">
      <x:c r="A55" s="24" t="str">
        <x:v>/evidence/CLM-045/</x:v>
      </x:c>
      <x:c r="B55" s="24" t="str">
        <x:v>evidence_detail</x:v>
      </x:c>
      <x:c r="C55" s="24" t="str">
        <x:v>/evidence/[id]</x:v>
      </x:c>
      <x:c r="D55" s="24" t="str">
        <x:v>CLM-045</x:v>
      </x:c>
      <x:c r="E55" s="24"/>
      <x:c r="F55" s="28"/>
      <x:c r="G55" s="24"/>
      <x:c r="H55" s="28"/>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x:c r="H57" s="28"/>
    </x:row>
    <x:row r="58">
      <x:c r="A58" s="24" t="str">
        <x:v>/evidence/CLM-048/</x:v>
      </x:c>
      <x:c r="B58" s="24" t="str">
        <x:v>evidence_detail</x:v>
      </x:c>
      <x:c r="C58" s="24" t="str">
        <x:v>/evidence/[id]</x:v>
      </x:c>
      <x:c r="D58" s="24" t="str">
        <x:v>CLM-048</x:v>
      </x:c>
      <x:c r="E58" s="24"/>
      <x:c r="F58" s="28"/>
      <x:c r="G58" s="24"/>
      <x:c r="H58" s="28"/>
    </x:row>
    <x:row r="59">
      <x:c r="A59" s="24" t="str">
        <x:v>/evidence/CLM-049/</x:v>
      </x:c>
      <x:c r="B59" s="24" t="str">
        <x:v>evidence_detail</x:v>
      </x:c>
      <x:c r="C59" s="24" t="str">
        <x:v>/evidence/[id]</x:v>
      </x:c>
      <x:c r="D59" s="24" t="str">
        <x:v>CLM-049</x:v>
      </x:c>
      <x:c r="E59" s="24"/>
      <x:c r="F59" s="28"/>
      <x:c r="G59" s="24"/>
      <x:c r="H59" s="28"/>
    </x:row>
    <x:row r="60">
      <x:c r="A60" s="24" t="str">
        <x:v>/evidence/CLM-050/</x:v>
      </x:c>
      <x:c r="B60" s="24" t="str">
        <x:v>evidence_detail</x:v>
      </x:c>
      <x:c r="C60" s="24" t="str">
        <x:v>/evidence/[id]</x:v>
      </x:c>
      <x:c r="D60" s="24" t="str">
        <x:v>CLM-050</x:v>
      </x:c>
      <x:c r="E60" s="24"/>
      <x:c r="F60" s="28"/>
      <x:c r="G60" s="24"/>
      <x:c r="H60" s="28"/>
    </x:row>
    <x:row r="61">
      <x:c r="A61" s="24" t="str">
        <x:v>/evidence/CLM-051/</x:v>
      </x:c>
      <x:c r="B61" s="24" t="str">
        <x:v>evidence_detail</x:v>
      </x:c>
      <x:c r="C61" s="24" t="str">
        <x:v>/evidence/[id]</x:v>
      </x:c>
      <x:c r="D61" s="24" t="str">
        <x:v>CLM-051</x:v>
      </x:c>
      <x:c r="E61" s="24"/>
      <x:c r="F61" s="28"/>
      <x:c r="G61" s="24"/>
      <x:c r="H61" s="28"/>
    </x:row>
    <x:row r="62">
      <x:c r="A62" s="24" t="str">
        <x:v>/evidence/CLM-052/</x:v>
      </x:c>
      <x:c r="B62" s="24" t="str">
        <x:v>evidence_detail</x:v>
      </x:c>
      <x:c r="C62" s="24" t="str">
        <x:v>/evidence/[id]</x:v>
      </x:c>
      <x:c r="D62" s="24" t="str">
        <x:v>CLM-052</x:v>
      </x:c>
      <x:c r="E62" s="24"/>
      <x:c r="F62" s="28"/>
      <x:c r="G62" s="24"/>
      <x:c r="H62" s="28"/>
    </x:row>
    <x:row r="63">
      <x:c r="A63" s="24" t="str">
        <x:v>/evidence/CLM-053/</x:v>
      </x:c>
      <x:c r="B63" s="24" t="str">
        <x:v>evidence_detail</x:v>
      </x:c>
      <x:c r="C63" s="24" t="str">
        <x:v>/evidence/[id]</x:v>
      </x:c>
      <x:c r="D63" s="24" t="str">
        <x:v>CLM-053</x:v>
      </x:c>
      <x:c r="E63" s="24"/>
      <x:c r="F63" s="28"/>
      <x:c r="G63" s="24"/>
      <x:c r="H63" s="28"/>
    </x:row>
    <x:row r="64">
      <x:c r="A64" s="24" t="str">
        <x:v>/evidence/CLM-054/</x:v>
      </x:c>
      <x:c r="B64" s="24" t="str">
        <x:v>evidence_detail</x:v>
      </x:c>
      <x:c r="C64" s="24" t="str">
        <x:v>/evidence/[id]</x:v>
      </x:c>
      <x:c r="D64" s="24" t="str">
        <x:v>CLM-054</x:v>
      </x:c>
      <x:c r="E64" s="24"/>
      <x:c r="F64" s="28"/>
      <x:c r="G64" s="24"/>
      <x:c r="H64" s="28"/>
    </x:row>
    <x:row r="65">
      <x:c r="A65" s="24" t="str">
        <x:v>/evidence/CLM-055/</x:v>
      </x:c>
      <x:c r="B65" s="24" t="str">
        <x:v>evidence_detail</x:v>
      </x:c>
      <x:c r="C65" s="24" t="str">
        <x:v>/evidence/[id]</x:v>
      </x:c>
      <x:c r="D65" s="24" t="str">
        <x:v>CLM-055</x:v>
      </x:c>
      <x:c r="E65" s="24"/>
      <x:c r="F65" s="28"/>
      <x:c r="G65" s="24"/>
      <x:c r="H65" s="28"/>
    </x:row>
    <x:row r="66">
      <x:c r="A66" s="24" t="str">
        <x:v>/evidence/CLM-056/</x:v>
      </x:c>
      <x:c r="B66" s="24" t="str">
        <x:v>evidence_detail</x:v>
      </x:c>
      <x:c r="C66" s="24" t="str">
        <x:v>/evidence/[id]</x:v>
      </x:c>
      <x:c r="D66" s="24" t="str">
        <x:v>CLM-056</x:v>
      </x:c>
      <x:c r="E66" s="24"/>
      <x:c r="F66" s="28"/>
      <x:c r="G66" s="24"/>
      <x:c r="H66" s="28"/>
    </x:row>
    <x:row r="67">
      <x:c r="A67" s="24" t="str">
        <x:v>/evidence/CLM-057/</x:v>
      </x:c>
      <x:c r="B67" s="24" t="str">
        <x:v>evidence_detail</x:v>
      </x:c>
      <x:c r="C67" s="24" t="str">
        <x:v>/evidence/[id]</x:v>
      </x:c>
      <x:c r="D67" s="24" t="str">
        <x:v>CLM-057</x:v>
      </x:c>
      <x:c r="E67" s="24"/>
      <x:c r="F67" s="28"/>
      <x:c r="G67" s="24"/>
      <x:c r="H67" s="28"/>
    </x:row>
    <x:row r="68">
      <x:c r="A68" s="24" t="str">
        <x:v>/evidence/CLM-058/</x:v>
      </x:c>
      <x:c r="B68" s="24" t="str">
        <x:v>evidence_detail</x:v>
      </x:c>
      <x:c r="C68" s="24" t="str">
        <x:v>/evidence/[id]</x:v>
      </x:c>
      <x:c r="D68" s="24" t="str">
        <x:v>CLM-058</x:v>
      </x:c>
      <x:c r="E68" s="24"/>
      <x:c r="F68" s="28"/>
      <x:c r="G68" s="24"/>
      <x:c r="H68" s="28"/>
    </x:row>
    <x:row r="69">
      <x:c r="A69" s="24" t="str">
        <x:v>/evidence/CLM-059/</x:v>
      </x:c>
      <x:c r="B69" s="24" t="str">
        <x:v>evidence_detail</x:v>
      </x:c>
      <x:c r="C69" s="24" t="str">
        <x:v>/evidence/[id]</x:v>
      </x:c>
      <x:c r="D69" s="24" t="str">
        <x:v>CLM-059</x:v>
      </x:c>
      <x:c r="E69" s="24"/>
      <x:c r="F69" s="28"/>
      <x:c r="G69" s="24"/>
      <x:c r="H69" s="28"/>
    </x:row>
    <x:row r="70">
      <x:c r="A70" s="24" t="str">
        <x:v>/evidence/CLM-060/</x:v>
      </x:c>
      <x:c r="B70" s="24" t="str">
        <x:v>evidence_detail</x:v>
      </x:c>
      <x:c r="C70" s="24" t="str">
        <x:v>/evidence/[id]</x:v>
      </x:c>
      <x:c r="D70" s="24" t="str">
        <x:v>CLM-060</x:v>
      </x:c>
      <x:c r="E70" s="24"/>
      <x:c r="F70" s="28"/>
      <x:c r="G70" s="24"/>
      <x:c r="H70" s="28"/>
    </x:row>
    <x:row r="71">
      <x:c r="A71" s="24" t="str">
        <x:v>/evidence/DS-DEMAND-VINTAGE-LENS/</x:v>
      </x:c>
      <x:c r="B71" s="24" t="str">
        <x:v>evidence_detail</x:v>
      </x:c>
      <x:c r="C71" s="24" t="str">
        <x:v>/evidence/[id]</x:v>
      </x:c>
      <x:c r="D71" s="24" t="str">
        <x:v>DS-DEMAND-VINTAGE-LENS</x:v>
      </x:c>
      <x:c r="E71" s="24"/>
      <x:c r="F71" s="28"/>
      <x:c r="G71" s="24"/>
      <x:c r="H71" s="28"/>
    </x:row>
    <x:row r="72">
      <x:c r="A72" s="24" t="str">
        <x:v>/evidence/DS-FCP-ARCH/</x:v>
      </x:c>
      <x:c r="B72" s="24" t="str">
        <x:v>evidence_detail</x:v>
      </x:c>
      <x:c r="C72" s="24" t="str">
        <x:v>/evidence/[id]</x:v>
      </x:c>
      <x:c r="D72" s="24" t="str">
        <x:v>DS-FCP-ARCH</x:v>
      </x:c>
      <x:c r="E72" s="24"/>
      <x:c r="F72" s="28"/>
      <x:c r="G72" s="24"/>
      <x:c r="H72" s="28"/>
    </x:row>
    <x:row r="73">
      <x:c r="A73" s="24" t="str">
        <x:v>/evidence/DS-FINDEX-HISTORY-CROSSWALK/</x:v>
      </x:c>
      <x:c r="B73" s="24" t="str">
        <x:v>evidence_detail</x:v>
      </x:c>
      <x:c r="C73" s="24" t="str">
        <x:v>/evidence/[id]</x:v>
      </x:c>
      <x:c r="D73" s="24" t="str">
        <x:v>DS-FINDEX-HISTORY-CROSSWALK</x:v>
      </x:c>
      <x:c r="E73" s="24"/>
      <x:c r="F73" s="28"/>
      <x:c r="G73" s="24"/>
      <x:c r="H73" s="28"/>
    </x:row>
    <x:row r="74">
      <x:c r="A74" s="24" t="str">
        <x:v>/evidence/DS-FINDEX-PUBLIC-HISTORY/</x:v>
      </x:c>
      <x:c r="B74" s="24" t="str">
        <x:v>evidence_detail</x:v>
      </x:c>
      <x:c r="C74" s="24" t="str">
        <x:v>/evidence/[id]</x:v>
      </x:c>
      <x:c r="D74" s="24" t="str">
        <x:v>DS-FINDEX-PUBLIC-HISTORY</x:v>
      </x:c>
      <x:c r="E74" s="24"/>
      <x:c r="F74" s="28"/>
      <x:c r="G74" s="24"/>
      <x:c r="H74" s="28"/>
    </x:row>
    <x:row r="75">
      <x:c r="A75" s="24" t="str">
        <x:v>/evidence/DS-QUAL-EVIDENCE/</x:v>
      </x:c>
      <x:c r="B75" s="24" t="str">
        <x:v>evidence_detail</x:v>
      </x:c>
      <x:c r="C75" s="24" t="str">
        <x:v>/evidence/[id]</x:v>
      </x:c>
      <x:c r="D75" s="24" t="str">
        <x:v>DS-QUAL-EVIDENCE</x:v>
      </x:c>
      <x:c r="E75" s="24"/>
      <x:c r="F75" s="28"/>
      <x:c r="G75" s="24"/>
      <x:c r="H75" s="28"/>
    </x:row>
    <x:row r="76">
      <x:c r="A76" s="24" t="str">
        <x:v>/evidence/MF-ORIG-001+002/</x:v>
      </x:c>
      <x:c r="B76" s="24" t="str">
        <x:v>evidence_detail</x:v>
      </x:c>
      <x:c r="C76" s="24" t="str">
        <x:v>/evidence/[id]</x:v>
      </x:c>
      <x:c r="D76" s="24" t="str">
        <x:v>MF-ORIG-001+002</x:v>
      </x:c>
      <x:c r="E76" s="24"/>
      <x:c r="F76" s="28"/>
      <x:c r="G76" s="24"/>
      <x:c r="H76" s="28"/>
    </x:row>
    <x:row r="77">
      <x:c r="A77" s="24" t="str">
        <x:v>/evidence/MFI-SPINE-2015-Q4/</x:v>
      </x:c>
      <x:c r="B77" s="24" t="str">
        <x:v>evidence_detail</x:v>
      </x:c>
      <x:c r="C77" s="24" t="str">
        <x:v>/evidence/[id]</x:v>
      </x:c>
      <x:c r="D77" s="24" t="str">
        <x:v>MFI-SPINE-2015-Q4</x:v>
      </x:c>
      <x:c r="E77" s="24"/>
      <x:c r="F77" s="28"/>
      <x:c r="G77" s="24"/>
      <x:c r="H77" s="28"/>
    </x:row>
    <x:row r="78">
      <x:c r="A78" s="24" t="str">
        <x:v>/evidence/NEG-EW-011/</x:v>
      </x:c>
      <x:c r="B78" s="24" t="str">
        <x:v>evidence_detail</x:v>
      </x:c>
      <x:c r="C78" s="24" t="str">
        <x:v>/evidence/[id]</x:v>
      </x:c>
      <x:c r="D78" s="24" t="str">
        <x:v>NEG-EW-011</x:v>
      </x:c>
      <x:c r="E78" s="24"/>
      <x:c r="F78" s="28"/>
      <x:c r="G78" s="24"/>
      <x:c r="H78" s="28"/>
    </x:row>
    <x:row r="79">
      <x:c r="A79" s="24" t="str">
        <x:v>/evidence/PSE-011/</x:v>
      </x:c>
      <x:c r="B79" s="24" t="str">
        <x:v>evidence_detail</x:v>
      </x:c>
      <x:c r="C79" s="24" t="str">
        <x:v>/evidence/[id]</x:v>
      </x:c>
      <x:c r="D79" s="24" t="str">
        <x:v>PSE-011</x:v>
      </x:c>
      <x:c r="E79" s="24"/>
      <x:c r="F79" s="28"/>
      <x:c r="G79" s="24"/>
      <x:c r="H79" s="28"/>
    </x:row>
    <x:row r="80">
      <x:c r="A80" s="24" t="str">
        <x:v>/evidence/QUAL-001/</x:v>
      </x:c>
      <x:c r="B80" s="24" t="str">
        <x:v>evidence_detail</x:v>
      </x:c>
      <x:c r="C80" s="24" t="str">
        <x:v>/evidence/[id]</x:v>
      </x:c>
      <x:c r="D80" s="24" t="str">
        <x:v>QUAL-001</x:v>
      </x:c>
      <x:c r="E80" s="24"/>
      <x:c r="F80" s="28"/>
      <x:c r="G80" s="24"/>
      <x:c r="H80" s="28"/>
    </x:row>
    <x:row r="81">
      <x:c r="A81" s="24" t="str">
        <x:v>/evidence/VIS-BORROWING-SOURCES-2014/</x:v>
      </x:c>
      <x:c r="B81" s="24" t="str">
        <x:v>evidence_detail</x:v>
      </x:c>
      <x:c r="C81" s="24" t="str">
        <x:v>/evidence/[id]</x:v>
      </x:c>
      <x:c r="D81" s="24" t="str">
        <x:v>VIS-BORROWING-SOURCES-2014</x:v>
      </x:c>
      <x:c r="E81" s="24"/>
      <x:c r="F81" s="28"/>
      <x:c r="G81" s="24"/>
      <x:c r="H81" s="28"/>
    </x:row>
    <x:row r="82">
      <x:c r="A82" s="24" t="str">
        <x:v>/evidence/VIS-CAPITAL-CONTEXT/</x:v>
      </x:c>
      <x:c r="B82" s="24" t="str">
        <x:v>evidence_detail</x:v>
      </x:c>
      <x:c r="C82" s="24" t="str">
        <x:v>/evidence/[id]</x:v>
      </x:c>
      <x:c r="D82" s="24" t="str">
        <x:v>VIS-CAPITAL-CONTEXT</x:v>
      </x:c>
      <x:c r="E82" s="24"/>
      <x:c r="F82" s="28"/>
      <x:c r="G82" s="24"/>
      <x:c r="H82" s="28"/>
    </x:row>
    <x:row r="83">
      <x:c r="A83" s="24" t="str">
        <x:v>/evidence/VIS-DEMAND-VINTAGE-LADDER/</x:v>
      </x:c>
      <x:c r="B83" s="24" t="str">
        <x:v>evidence_detail</x:v>
      </x:c>
      <x:c r="C83" s="24" t="str">
        <x:v>/evidence/[id]</x:v>
      </x:c>
      <x:c r="D83" s="24" t="str">
        <x:v>VIS-DEMAND-VINTAGE-LADDER</x:v>
      </x:c>
      <x:c r="E83" s="24"/>
      <x:c r="F83" s="28"/>
      <x:c r="G83" s="24"/>
      <x:c r="H83" s="28"/>
    </x:row>
    <x:row r="84">
      <x:c r="A84" s="24" t="str">
        <x:v>/evidence/VIS-DOMESTIC-REMITTANCE-PATH-2014/</x:v>
      </x:c>
      <x:c r="B84" s="24" t="str">
        <x:v>evidence_detail</x:v>
      </x:c>
      <x:c r="C84" s="24" t="str">
        <x:v>/evidence/[id]</x:v>
      </x:c>
      <x:c r="D84" s="24" t="str">
        <x:v>VIS-DOMESTIC-REMITTANCE-PATH-2014</x:v>
      </x:c>
      <x:c r="E84" s="24"/>
      <x:c r="F84" s="28"/>
      <x:c r="G84" s="24"/>
      <x:c r="H84" s="28"/>
    </x:row>
    <x:row r="85">
      <x:c r="A85" s="24" t="str">
        <x:v>/evidence/VIS-E-MONEY-RULE-STACK/</x:v>
      </x:c>
      <x:c r="B85" s="24" t="str">
        <x:v>evidence_detail</x:v>
      </x:c>
      <x:c r="C85" s="24" t="str">
        <x:v>/evidence/[id]</x:v>
      </x:c>
      <x:c r="D85" s="24" t="str">
        <x:v>VIS-E-MONEY-RULE-STACK</x:v>
      </x:c>
      <x:c r="E85" s="24"/>
      <x:c r="F85" s="28"/>
      <x:c r="G85" s="24"/>
      <x:c r="H85" s="28"/>
    </x:row>
    <x:row r="86">
      <x:c r="A86" s="24" t="str">
        <x:v>/evidence/VIS-EVIDENCE-CLASS-LADDER/</x:v>
      </x:c>
      <x:c r="B86" s="24" t="str">
        <x:v>evidence_detail</x:v>
      </x:c>
      <x:c r="C86" s="24" t="str">
        <x:v>/evidence/[id]</x:v>
      </x:c>
      <x:c r="D86" s="24" t="str">
        <x:v>VIS-EVIDENCE-CLASS-LADDER</x:v>
      </x:c>
      <x:c r="E86" s="24"/>
      <x:c r="F86" s="28"/>
      <x:c r="G86" s="24"/>
      <x:c r="H86" s="28"/>
    </x:row>
    <x:row r="87">
      <x:c r="A87" s="24" t="str">
        <x:v>/evidence/VIS-EVIDENCE-FRESHNESS/</x:v>
      </x:c>
      <x:c r="B87" s="24" t="str">
        <x:v>evidence_detail</x:v>
      </x:c>
      <x:c r="C87" s="24" t="str">
        <x:v>/evidence/[id]</x:v>
      </x:c>
      <x:c r="D87" s="24" t="str">
        <x:v>VIS-EVIDENCE-FRESHNESS</x:v>
      </x:c>
      <x:c r="E87" s="24"/>
      <x:c r="F87" s="28"/>
      <x:c r="G87" s="24"/>
      <x:c r="H87" s="28"/>
    </x:row>
    <x:row r="88">
      <x:c r="A88" s="24" t="str">
        <x:v>/evidence/VIS-EVIDENCE-GAPS/</x:v>
      </x:c>
      <x:c r="B88" s="24" t="str">
        <x:v>evidence_detail</x:v>
      </x:c>
      <x:c r="C88" s="24" t="str">
        <x:v>/evidence/[id]</x:v>
      </x:c>
      <x:c r="D88" s="24" t="str">
        <x:v>VIS-EVIDENCE-GAPS</x:v>
      </x:c>
      <x:c r="E88" s="24"/>
      <x:c r="F88" s="28"/>
      <x:c r="G88" s="24"/>
      <x:c r="H88" s="28"/>
    </x:row>
    <x:row r="89">
      <x:c r="A89" s="24" t="str">
        <x:v>/evidence/VIS-FCP-REDRESS-PATH/</x:v>
      </x:c>
      <x:c r="B89" s="24" t="str">
        <x:v>evidence_detail</x:v>
      </x:c>
      <x:c r="C89" s="24" t="str">
        <x:v>/evidence/[id]</x:v>
      </x:c>
      <x:c r="D89" s="24" t="str">
        <x:v>VIS-FCP-REDRESS-PATH</x:v>
      </x:c>
      <x:c r="E89" s="24"/>
      <x:c r="F89" s="28"/>
      <x:c r="G89" s="24"/>
      <x:c r="H89" s="28"/>
    </x:row>
    <x:row r="90">
      <x:c r="A90" s="24" t="str">
        <x:v>/evidence/VIS-FINDEX-ACCESS-USE/</x:v>
      </x:c>
      <x:c r="B90" s="24" t="str">
        <x:v>evidence_detail</x:v>
      </x:c>
      <x:c r="C90" s="24" t="str">
        <x:v>/evidence/[id]</x:v>
      </x:c>
      <x:c r="D90" s="24" t="str">
        <x:v>VIS-FINDEX-ACCESS-USE</x:v>
      </x:c>
      <x:c r="E90" s="24"/>
      <x:c r="F90" s="28"/>
      <x:c r="G90" s="24"/>
      <x:c r="H90" s="28"/>
    </x:row>
    <x:row r="91">
      <x:c r="A91" s="24" t="str">
        <x:v>/evidence/VIS-FINDEX-BARRIERS/</x:v>
      </x:c>
      <x:c r="B91" s="24" t="str">
        <x:v>evidence_detail</x:v>
      </x:c>
      <x:c r="C91" s="24" t="str">
        <x:v>/evidence/[id]</x:v>
      </x:c>
      <x:c r="D91" s="24" t="str">
        <x:v>VIS-FINDEX-BARRIERS</x:v>
      </x:c>
      <x:c r="E91" s="24"/>
      <x:c r="F91" s="28"/>
      <x:c r="G91" s="24"/>
      <x:c r="H91" s="28"/>
    </x:row>
    <x:row r="92">
      <x:c r="A92" s="24" t="str">
        <x:v>/evidence/VIS-FINDEX-FLOW-CHANNELS/</x:v>
      </x:c>
      <x:c r="B92" s="24" t="str">
        <x:v>evidence_detail</x:v>
      </x:c>
      <x:c r="C92" s="24" t="str">
        <x:v>/evidence/[id]</x:v>
      </x:c>
      <x:c r="D92" s="24" t="str">
        <x:v>VIS-FINDEX-FLOW-CHANNELS</x:v>
      </x:c>
      <x:c r="E92" s="24"/>
      <x:c r="F92" s="28"/>
      <x:c r="G92" s="24"/>
      <x:c r="H92" s="28"/>
    </x:row>
    <x:row r="93">
      <x:c r="A93" s="24" t="str">
        <x:v>/evidence/VIS-FINDEX-GAPS/</x:v>
      </x:c>
      <x:c r="B93" s="24" t="str">
        <x:v>evidence_detail</x:v>
      </x:c>
      <x:c r="C93" s="24" t="str">
        <x:v>/evidence/[id]</x:v>
      </x:c>
      <x:c r="D93" s="24" t="str">
        <x:v>VIS-FINDEX-GAPS</x:v>
      </x:c>
      <x:c r="E93" s="24"/>
      <x:c r="F93" s="28"/>
      <x:c r="G93" s="24"/>
      <x:c r="H93" s="28"/>
    </x:row>
    <x:row r="94">
      <x:c r="A94" s="24" t="str">
        <x:v>/evidence/VIS-FINDEX-OBSERVED-WAVES/</x:v>
      </x:c>
      <x:c r="B94" s="24" t="str">
        <x:v>evidence_detail</x:v>
      </x:c>
      <x:c r="C94" s="24" t="str">
        <x:v>/evidence/[id]</x:v>
      </x:c>
      <x:c r="D94" s="24" t="str">
        <x:v>VIS-FINDEX-OBSERVED-WAVES</x:v>
      </x:c>
      <x:c r="E94" s="24"/>
      <x:c r="F94" s="28"/>
      <x:c r="G94" s="24"/>
      <x:c r="H94" s="28"/>
    </x:row>
    <x:row r="95">
      <x:c r="A95" s="24" t="str">
        <x:v>/evidence/VIS-FINDEX-RESILIENCE/</x:v>
      </x:c>
      <x:c r="B95" s="24" t="str">
        <x:v>evidence_detail</x:v>
      </x:c>
      <x:c r="C95" s="24" t="str">
        <x:v>/evidence/[id]</x:v>
      </x:c>
      <x:c r="D95" s="24" t="str">
        <x:v>VIS-FINDEX-RESILIENCE</x:v>
      </x:c>
      <x:c r="E95" s="24"/>
      <x:c r="F95" s="28"/>
      <x:c r="G95" s="24"/>
      <x:c r="H95" s="28"/>
    </x:row>
    <x:row r="96">
      <x:c r="A96" s="24" t="str">
        <x:v>/evidence/VIS-FINDEX-SAMPLE-SUPPORT/</x:v>
      </x:c>
      <x:c r="B96" s="24" t="str">
        <x:v>evidence_detail</x:v>
      </x:c>
      <x:c r="C96" s="24" t="str">
        <x:v>/evidence/[id]</x:v>
      </x:c>
      <x:c r="D96" s="24" t="str">
        <x:v>VIS-FINDEX-SAMPLE-SUPPORT</x:v>
      </x:c>
      <x:c r="E96" s="24"/>
      <x:c r="F96" s="28"/>
      <x:c r="G96" s="24"/>
      <x:c r="H96" s="28"/>
    </x:row>
    <x:row r="97">
      <x:c r="A97" s="24" t="str">
        <x:v>/evidence/VIS-FIRM-CONSTRAINTS/</x:v>
      </x:c>
      <x:c r="B97" s="24" t="str">
        <x:v>evidence_detail</x:v>
      </x:c>
      <x:c r="C97" s="24" t="str">
        <x:v>/evidence/[id]</x:v>
      </x:c>
      <x:c r="D97" s="24" t="str">
        <x:v>VIS-FIRM-CONSTRAINTS</x:v>
      </x:c>
      <x:c r="E97" s="24"/>
      <x:c r="F97" s="28"/>
      <x:c r="G97" s="24"/>
      <x:c r="H97" s="28"/>
    </x:row>
    <x:row r="98">
      <x:c r="A98" s="24" t="str">
        <x:v>/evidence/VIS-FIRM-FINANCE-PATH/</x:v>
      </x:c>
      <x:c r="B98" s="24" t="str">
        <x:v>evidence_detail</x:v>
      </x:c>
      <x:c r="C98" s="24" t="str">
        <x:v>/evidence/[id]</x:v>
      </x:c>
      <x:c r="D98" s="24" t="str">
        <x:v>VIS-FIRM-FINANCE-PATH</x:v>
      </x:c>
      <x:c r="E98" s="24"/>
      <x:c r="F98" s="28"/>
      <x:c r="G98" s="24"/>
      <x:c r="H98" s="28"/>
    </x:row>
    <x:row r="99">
      <x:c r="A99" s="24" t="str">
        <x:v>/evidence/VIS-FIRM-FINANCE-SEVERITY/</x:v>
      </x:c>
      <x:c r="B99" s="24" t="str">
        <x:v>evidence_detail</x:v>
      </x:c>
      <x:c r="C99" s="24" t="str">
        <x:v>/evidence/[id]</x:v>
      </x:c>
      <x:c r="D99" s="24" t="str">
        <x:v>VIS-FIRM-FINANCE-SEVERITY</x:v>
      </x:c>
      <x:c r="E99" s="24"/>
      <x:c r="F99" s="28"/>
      <x:c r="G99" s="24"/>
      <x:c r="H99" s="28"/>
    </x:row>
    <x:row r="100">
      <x:c r="A100" s="24" t="str">
        <x:v>/evidence/VIS-FL-EVIDENCE-LADDER/</x:v>
      </x:c>
      <x:c r="B100" s="24" t="str">
        <x:v>evidence_detail</x:v>
      </x:c>
      <x:c r="C100" s="24" t="str">
        <x:v>/evidence/[id]</x:v>
      </x:c>
      <x:c r="D100" s="24" t="str">
        <x:v>VIS-FL-EVIDENCE-LADDER</x:v>
      </x:c>
      <x:c r="E100" s="24"/>
      <x:c r="F100" s="28"/>
      <x:c r="G100" s="24"/>
      <x:c r="H100" s="28"/>
    </x:row>
    <x:row r="101">
      <x:c r="A101" s="24" t="str">
        <x:v>/evidence/VIS-INCLUSION-TRANSMISSION/</x:v>
      </x:c>
      <x:c r="B101" s="24" t="str">
        <x:v>evidence_detail</x:v>
      </x:c>
      <x:c r="C101" s="24" t="str">
        <x:v>/evidence/[id]</x:v>
      </x:c>
      <x:c r="D101" s="24" t="str">
        <x:v>VIS-INCLUSION-TRANSMISSION</x:v>
      </x:c>
      <x:c r="E101" s="24"/>
      <x:c r="F101" s="28"/>
      <x:c r="G101" s="24"/>
      <x:c r="H101" s="28"/>
    </x:row>
    <x:row r="102">
      <x:c r="A102" s="24" t="str">
        <x:v>/evidence/VIS-MECHANISM-METRIC-BRIDGE/</x:v>
      </x:c>
      <x:c r="B102" s="24" t="str">
        <x:v>evidence_detail</x:v>
      </x:c>
      <x:c r="C102" s="24" t="str">
        <x:v>/evidence/[id]</x:v>
      </x:c>
      <x:c r="D102" s="24" t="str">
        <x:v>VIS-MECHANISM-METRIC-BRIDGE</x:v>
      </x:c>
      <x:c r="E102" s="24"/>
      <x:c r="F102" s="28"/>
      <x:c r="G102" s="24"/>
      <x:c r="H102" s="28"/>
    </x:row>
    <x:row r="103">
      <x:c r="A103" s="24" t="str">
        <x:v>/evidence/VIS-MFI-2014-PANEL/</x:v>
      </x:c>
      <x:c r="B103" s="24" t="str">
        <x:v>evidence_detail</x:v>
      </x:c>
      <x:c r="C103" s="24" t="str">
        <x:v>/evidence/[id]</x:v>
      </x:c>
      <x:c r="D103" s="24" t="str">
        <x:v>VIS-MFI-2014-PANEL</x:v>
      </x:c>
      <x:c r="E103" s="24"/>
      <x:c r="F103" s="28"/>
      <x:c r="G103" s="24"/>
      <x:c r="H103" s="28"/>
    </x:row>
    <x:row r="104">
      <x:c r="A104" s="24" t="str">
        <x:v>/evidence/VIS-MFI-RUPTURE-LENS/</x:v>
      </x:c>
      <x:c r="B104" s="24" t="str">
        <x:v>evidence_detail</x:v>
      </x:c>
      <x:c r="C104" s="24" t="str">
        <x:v>/evidence/[id]</x:v>
      </x:c>
      <x:c r="D104" s="24" t="str">
        <x:v>VIS-MFI-RUPTURE-LENS</x:v>
      </x:c>
      <x:c r="E104" s="24"/>
      <x:c r="F104" s="28"/>
      <x:c r="G104" s="24"/>
      <x:c r="H104" s="28"/>
    </x:row>
    <x:row r="105">
      <x:c r="A105" s="24" t="str">
        <x:v>/evidence/VIS-MFI-SPINE/</x:v>
      </x:c>
      <x:c r="B105" s="24" t="str">
        <x:v>evidence_detail</x:v>
      </x:c>
      <x:c r="C105" s="24" t="str">
        <x:v>/evidence/[id]</x:v>
      </x:c>
      <x:c r="D105" s="24" t="str">
        <x:v>VIS-MFI-SPINE</x:v>
      </x:c>
      <x:c r="E105" s="24"/>
      <x:c r="F105" s="28"/>
      <x:c r="G105" s="24"/>
      <x:c r="H105" s="28"/>
    </x:row>
    <x:row r="106">
      <x:c r="A106" s="24" t="str">
        <x:v>/evidence/VIS-OECD-FCP-TIMELINE/</x:v>
      </x:c>
      <x:c r="B106" s="24" t="str">
        <x:v>evidence_detail</x:v>
      </x:c>
      <x:c r="C106" s="24" t="str">
        <x:v>/evidence/[id]</x:v>
      </x:c>
      <x:c r="D106" s="24" t="str">
        <x:v>VIS-OECD-FCP-TIMELINE</x:v>
      </x:c>
      <x:c r="E106" s="24"/>
      <x:c r="F106" s="28"/>
      <x:c r="G106" s="24"/>
      <x:c r="H106" s="28"/>
    </x:row>
    <x:row r="107">
      <x:c r="A107" s="24" t="str">
        <x:v>/evidence/VIS-PAYMENT-ANATOMY/</x:v>
      </x:c>
      <x:c r="B107" s="24" t="str">
        <x:v>evidence_detail</x:v>
      </x:c>
      <x:c r="C107" s="24" t="str">
        <x:v>/evidence/[id]</x:v>
      </x:c>
      <x:c r="D107" s="24" t="str">
        <x:v>VIS-PAYMENT-ANATOMY</x:v>
      </x:c>
      <x:c r="E107" s="24"/>
      <x:c r="F107" s="28"/>
      <x:c r="G107" s="24"/>
      <x:c r="H107" s="28"/>
    </x:row>
    <x:row r="108">
      <x:c r="A108" s="24" t="str">
        <x:v>/evidence/VIS-PAYMENT-RAILS/</x:v>
      </x:c>
      <x:c r="B108" s="24" t="str">
        <x:v>evidence_detail</x:v>
      </x:c>
      <x:c r="C108" s="24" t="str">
        <x:v>/evidence/[id]</x:v>
      </x:c>
      <x:c r="D108" s="24" t="str">
        <x:v>VIS-PAYMENT-RAILS</x:v>
      </x:c>
      <x:c r="E108" s="24"/>
      <x:c r="F108" s="28"/>
      <x:c r="G108" s="24"/>
      <x:c r="H108" s="28"/>
    </x:row>
    <x:row r="109">
      <x:c r="A109" s="24" t="str">
        <x:v>/evidence/VIS-POS-TERMINALS/</x:v>
      </x:c>
      <x:c r="B109" s="24" t="str">
        <x:v>evidence_detail</x:v>
      </x:c>
      <x:c r="C109" s="24" t="str">
        <x:v>/evidence/[id]</x:v>
      </x:c>
      <x:c r="D109" s="24" t="str">
        <x:v>VIS-POS-TERMINALS</x:v>
      </x:c>
      <x:c r="E109" s="24"/>
      <x:c r="F109" s="28"/>
      <x:c r="G109" s="24"/>
      <x:c r="H109" s="28"/>
    </x:row>
    <x:row r="110">
      <x:c r="A110" s="24" t="str">
        <x:v>/evidence/VIS-POS-TRANSACTIONS/</x:v>
      </x:c>
      <x:c r="B110" s="24" t="str">
        <x:v>evidence_detail</x:v>
      </x:c>
      <x:c r="C110" s="24" t="str">
        <x:v>/evidence/[id]</x:v>
      </x:c>
      <x:c r="D110" s="24" t="str">
        <x:v>VIS-POS-TRANSACTIONS</x:v>
      </x:c>
      <x:c r="E110" s="24"/>
      <x:c r="F110" s="28"/>
      <x:c r="G110" s="24"/>
      <x:c r="H110" s="28"/>
    </x:row>
    <x:row r="111">
      <x:c r="A111" s="24" t="str">
        <x:v>/evidence/VIS-POS-VALUE/</x:v>
      </x:c>
      <x:c r="B111" s="24" t="str">
        <x:v>evidence_detail</x:v>
      </x:c>
      <x:c r="C111" s="24" t="str">
        <x:v>/evidence/[id]</x:v>
      </x:c>
      <x:c r="D111" s="24" t="str">
        <x:v>VIS-POS-VALUE</x:v>
      </x:c>
      <x:c r="E111" s="24"/>
      <x:c r="F111" s="28"/>
      <x:c r="G111" s="24"/>
      <x:c r="H111" s="28"/>
    </x:row>
    <x:row r="112">
      <x:c r="A112" s="24" t="str">
        <x:v>/evidence/VIS-PROVIDER-OBSERVABILITY/</x:v>
      </x:c>
      <x:c r="B112" s="24" t="str">
        <x:v>evidence_detail</x:v>
      </x:c>
      <x:c r="C112" s="24" t="str">
        <x:v>/evidence/[id]</x:v>
      </x:c>
      <x:c r="D112" s="24" t="str">
        <x:v>VIS-PROVIDER-OBSERVABILITY</x:v>
      </x:c>
      <x:c r="E112" s="24"/>
      <x:c r="F112" s="28"/>
      <x:c r="G112" s="24"/>
      <x:c r="H112" s="28"/>
    </x:row>
    <x:row r="113">
      <x:c r="A113" s="24" t="str">
        <x:v>/evidence/VIS-PROVIDER-TIME/</x:v>
      </x:c>
      <x:c r="B113" s="24" t="str">
        <x:v>evidence_detail</x:v>
      </x:c>
      <x:c r="C113" s="24" t="str">
        <x:v>/evidence/[id]</x:v>
      </x:c>
      <x:c r="D113" s="24" t="str">
        <x:v>VIS-PROVIDER-TIME</x:v>
      </x:c>
      <x:c r="E113" s="24"/>
      <x:c r="F113" s="28"/>
      <x:c r="G113" s="24"/>
      <x:c r="H113" s="28"/>
    </x:row>
    <x:row r="114">
      <x:c r="A114" s="24" t="str">
        <x:v>/evidence/VIS-REMITTANCE-COST/</x:v>
      </x:c>
      <x:c r="B114" s="24" t="str">
        <x:v>evidence_detail</x:v>
      </x:c>
      <x:c r="C114" s="24" t="str">
        <x:v>/evidence/[id]</x:v>
      </x:c>
      <x:c r="D114" s="24" t="str">
        <x:v>VIS-REMITTANCE-COST</x:v>
      </x:c>
      <x:c r="E114" s="24"/>
      <x:c r="F114" s="28"/>
      <x:c r="G114" s="24"/>
      <x:c r="H114" s="28"/>
    </x:row>
    <x:row r="115">
      <x:c r="A115" s="24" t="str">
        <x:v>/evidence/VIS-REMITTANCE-MACRO/</x:v>
      </x:c>
      <x:c r="B115" s="24" t="str">
        <x:v>evidence_detail</x:v>
      </x:c>
      <x:c r="C115" s="24" t="str">
        <x:v>/evidence/[id]</x:v>
      </x:c>
      <x:c r="D115" s="24" t="str">
        <x:v>VIS-REMITTANCE-MACRO</x:v>
      </x:c>
      <x:c r="E115" s="24"/>
      <x:c r="F115" s="28"/>
      <x:c r="G115" s="24"/>
      <x:c r="H115" s="28"/>
    </x:row>
    <x:row r="116">
      <x:c r="A116" s="24" t="str">
        <x:v>/evidence/VIS-SOURCE-COMPARISON/</x:v>
      </x:c>
      <x:c r="B116" s="24" t="str">
        <x:v>evidence_detail</x:v>
      </x:c>
      <x:c r="C116" s="24" t="str">
        <x:v>/evidence/[id]</x:v>
      </x:c>
      <x:c r="D116" s="24" t="str">
        <x:v>VIS-SOURCE-COMPARISON</x:v>
      </x:c>
      <x:c r="E116" s="24"/>
      <x:c r="F116" s="28"/>
      <x:c r="G116" s="24"/>
      <x:c r="H116" s="28"/>
    </x:row>
    <x:row r="117">
      <x:c r="A117" s="24" t="str">
        <x:v>/evidence/VIS-TARGET-RESULT-STATE/</x:v>
      </x:c>
      <x:c r="B117" s="24" t="str">
        <x:v>evidence_detail</x:v>
      </x:c>
      <x:c r="C117" s="24" t="str">
        <x:v>/evidence/[id]</x:v>
      </x:c>
      <x:c r="D117" s="24" t="str">
        <x:v>VIS-TARGET-RESULT-STATE</x:v>
      </x:c>
      <x:c r="E117" s="24"/>
      <x:c r="F117" s="28"/>
      <x:c r="G117" s="24"/>
      <x:c r="H117" s="28"/>
    </x:row>
    <x:row r="118">
      <x:c r="A118" s="24" t="str">
        <x:v>/evidence/XW-FMIIP-005/</x:v>
      </x:c>
      <x:c r="B118" s="24" t="str">
        <x:v>evidence_detail</x:v>
      </x:c>
      <x:c r="C118" s="24" t="str">
        <x:v>/evidence/[id]</x:v>
      </x:c>
      <x:c r="D118" s="24" t="str">
        <x:v>XW-FMIIP-005</x:v>
      </x:c>
      <x:c r="E118" s="24"/>
      <x:c r="F118" s="28"/>
      <x:c r="G118" s="24"/>
      <x:c r="H118" s="28"/>
    </x:row>
    <x:row r="119">
      <x:c r="A119" s="24" t="str">
        <x:v>/evidence/compare/</x:v>
      </x:c>
      <x:c r="B119" s="24" t="str">
        <x:v>static</x:v>
      </x:c>
      <x:c r="C119" s="24" t="str">
        <x:v>/evidence/compare</x:v>
      </x:c>
      <x:c r="D119" s="24"/>
      <x:c r="E119" s="24" t="str">
        <x:v>Compare evidence without forcing unlike objects onto one scale</x:v>
      </x:c>
      <x:c r="F119" s="28" t="str">
        <x:v>قارن الأدلة من دون فرض مقاييس غير متكافئة على مقياس واحد</x:v>
      </x:c>
      <x:c r="G119" s="24"/>
      <x:c r="H119" s="28"/>
    </x:row>
    <x:row r="120">
      <x:c r="A120" s="24" t="str">
        <x:v>/evidence/</x:v>
      </x:c>
      <x:c r="B120" s="24" t="str">
        <x:v>static</x:v>
      </x:c>
      <x:c r="C120" s="24" t="str">
        <x:v>/evidence</x:v>
      </x:c>
      <x:c r="D120" s="24"/>
      <x:c r="E120" s="24" t="str">
        <x:v>Inspect the evidence behind the answer</x:v>
      </x:c>
      <x:c r="F120" s="28" t="str">
        <x:v>افحص الدليل خلف الإجابة</x:v>
      </x:c>
      <x:c r="G120" s="24"/>
      <x:c r="H120" s="28"/>
    </x:row>
    <x:row r="121">
      <x:c r="A121" s="24" t="str">
        <x:v>/explore/</x:v>
      </x:c>
      <x:c r="B121" s="24" t="str">
        <x:v>static</x:v>
      </x:c>
      <x:c r="C121" s="24" t="str">
        <x:v>/explore</x:v>
      </x:c>
      <x:c r="D121" s="24"/>
      <x:c r="E121" s="24" t="str">
        <x:v>Start with the question, not the dataset.</x:v>
      </x:c>
      <x:c r="F121" s="28" t="str">
        <x:v>ابدأ بالسؤال، لا بالبيانات.</x:v>
      </x:c>
      <x:c r="G121" s="24"/>
      <x:c r="H121" s="28"/>
    </x:row>
    <x:row r="122">
      <x:c r="A122" s="24" t="str">
        <x:v>/finance/</x:v>
      </x:c>
      <x:c r="B122" s="24" t="str">
        <x:v>static</x:v>
      </x:c>
      <x:c r="C122" s="24" t="str">
        <x:v>/finance</x:v>
      </x:c>
      <x:c r="D122" s="24"/>
      <x:c r="E122" s="24" t="str">
        <x:v>Finance: borrower, saver and balance figures measure different things</x:v>
      </x:c>
      <x:c r="F122" s="28" t="str">
        <x:v>نمو الأرصدة ونمو الحسابات ونمو أعداد المدخرين ثلاثة أمور مختلفة، ولا يعني أيٌّ منها تلقائيًا تعمّق الشمول المالي.</x:v>
      </x:c>
      <x:c r="G122" s="24"/>
      <x:c r="H122" s="28"/>
    </x:row>
    <x:row r="123">
      <x:c r="A123" s="24" t="str">
        <x:v>/firms/</x:v>
      </x:c>
      <x:c r="B123" s="24" t="str">
        <x:v>static</x:v>
      </x:c>
      <x:c r="C123" s="24" t="str">
        <x:v>/firms</x:v>
      </x:c>
      <x:c r="D123" s="24"/>
      <x:c r="E123" s="24" t="str">
        <x:v>Firms: how much finance matters depends on the question and the firms asked</x:v>
      </x:c>
      <x:c r="F123" s="28" t="str">
        <x:v>المنشآت: مدى أهمية التمويل يتوقف على السؤال وعلى المنشآت المسؤولة</x:v>
      </x:c>
      <x:c r="G123" s="24"/>
      <x:c r="H123" s="28"/>
    </x:row>
    <x:row r="124">
      <x:c r="A124" s="24" t="str">
        <x:v>/</x:v>
      </x:c>
      <x:c r="B124" s="24" t="str">
        <x:v>static</x:v>
      </x:c>
      <x:c r="C124" s="24" t="str">
        <x:v>/</x:v>
      </x:c>
      <x:c r="D124" s="24"/>
      <x:c r="E124" s="24" t="str">
        <x:v>Financial inclusion in Yemen is not one number.</x:v>
      </x:c>
      <x:c r="F124" s="28" t="str">
        <x:v>الشمول المالي في اليمن ليس رقمًا واحدًا.</x:v>
      </x:c>
      <x:c r="G124" s="24"/>
      <x:c r="H124" s="28"/>
    </x:row>
    <x:row r="125">
      <x:c r="A125" s="24" t="str">
        <x:v>/measurement/</x:v>
      </x:c>
      <x:c r="B125" s="24" t="str">
        <x:v>static</x:v>
      </x:c>
      <x:c r="C125" s="24" t="str">
        <x:v>/measurement</x:v>
      </x:c>
      <x:c r="D125" s="24"/>
      <x:c r="E125" s="24" t="str">
        <x:v>Missing evidence matters when it could change a decision.</x:v>
      </x:c>
      <x:c r="F125" s="28" t="str">
        <x:v>تكتسب فجوة الدليل أهميتها عندما يمكن أن تغيّر قرارًا.</x:v>
      </x:c>
      <x:c r="G125" s="24"/>
      <x:c r="H125" s="28"/>
    </x:row>
    <x:row r="126">
      <x:c r="A126" s="24" t="str">
        <x:v>/methodology/</x:v>
      </x:c>
      <x:c r="B126" s="24" t="str">
        <x:v>static</x:v>
      </x:c>
      <x:c r="C126" s="24" t="str">
        <x:v>/methodology</x:v>
      </x:c>
      <x:c r="D126" s="24"/>
      <x:c r="E126" s="24" t="str">
        <x:v>Preserve the meaning of the evidence before comparing the numbers.</x:v>
      </x:c>
      <x:c r="F126" s="28" t="str">
        <x:v>حافظ على معنى الدليل قبل أن تقارن الأرقام.</x:v>
      </x:c>
      <x:c r="G126" s="24"/>
      <x:c r="H126" s="28"/>
    </x:row>
    <x:row r="127">
      <x:c r="A127" s="24" t="str">
        <x:v>/payments/</x:v>
      </x:c>
      <x:c r="B127" s="24" t="str">
        <x:v>static</x:v>
      </x:c>
      <x:c r="C127" s="24" t="str">
        <x:v>/payments</x:v>
      </x:c>
      <x:c r="D127" s="24"/>
      <x:c r="E127" s="24" t="str">
        <x:v>Payments: POS terminals reported by the Central Bank of Yemen – Aden rose from 561 to 1,473 between March 2025 and January 2026; how many people use them is not measured</x:v>
      </x:c>
      <x:c r="F127" s="28" t="str">
        <x:v>المدفوعات: ارتفع عدد أجهزة نقاط البيع التي يُبلغ عنها البنك المركزي اليمني – عدن من 561 إلى 1,473 بين مارس 2025 ويناير 2026؛ أما عدد من يستخدمونها فغير مقيس</x:v>
      </x:c>
      <x:c r="G127" s="24"/>
      <x:c r="H127" s="28"/>
    </x:row>
    <x:row r="128">
      <x:c r="A128" s="24" t="str">
        <x:v>/people/</x:v>
      </x:c>
      <x:c r="B128" s="24" t="str">
        <x:v>static</x:v>
      </x:c>
      <x:c r="C128" s="24" t="str">
        <x:v>/people</x:v>
      </x:c>
      <x:c r="D128" s="24"/>
      <x:c r="E128" s="24" t="str">
        <x:v>People: one population, several evidence clocks</x:v>
      </x:c>
      <x:c r="F128" s="28" t="str">
        <x:v>الأفراد: مجتمع سكاني واحد، وأدلة من تواريخ مختلفة</x:v>
      </x:c>
      <x:c r="G128" s="24"/>
      <x:c r="H128" s="28"/>
    </x:row>
    <x:row r="129">
      <x:c r="A129" s="24" t="str">
        <x:v>/privacy/</x:v>
      </x:c>
      <x:c r="B129" s="24" t="str">
        <x:v>operational</x:v>
      </x:c>
      <x:c r="C129" s="24" t="str">
        <x:v>/privacy</x:v>
      </x:c>
      <x:c r="D129" s="24"/>
      <x:c r="E129" s="24" t="str">
        <x:v>Privacy</x:v>
      </x:c>
      <x:c r="F129" s="28" t="str">
        <x:v>الخصوصية</x:v>
      </x:c>
      <x:c r="G129" s="24"/>
      <x:c r="H129" s="28"/>
    </x:row>
    <x:row r="130">
      <x:c r="A130" s="24" t="str">
        <x:v>/providers/</x:v>
      </x:c>
      <x:c r="B130" s="24" t="str">
        <x:v>static</x:v>
      </x:c>
      <x:c r="C130" s="24" t="str">
        <x:v>/providers</x:v>
      </x:c>
      <x:c r="D130" s="24"/>
      <x:c r="E130" s="24" t="str">
        <x:v>Providers: official lists show formal status on a date; operation needs other evidence</x:v>
      </x:c>
      <x:c r="F130" s="28" t="str">
        <x:v>قائمة مقدمي الخدمات تثبت وضعًا رسميًا في تاريخ محدد، لكنها لا تثبت التشغيل بذاتها.</x:v>
      </x:c>
      <x:c r="G130" s="24"/>
      <x:c r="H130" s="28"/>
    </x:row>
    <x:row r="131">
      <x:c r="A131" s="24" t="str">
        <x:v>/readings/after-transfer-persistence/</x:v>
      </x:c>
      <x:c r="B131" s="24" t="str">
        <x:v>reading_detail</x:v>
      </x:c>
      <x:c r="C131" s="24" t="str">
        <x:v>/readings/[reading_id]</x:v>
      </x:c>
      <x:c r="D131" s="24" t="str">
        <x:v>after-transfer-persistence</x:v>
      </x:c>
      <x:c r="E131" s="24"/>
      <x:c r="F131" s="28"/>
      <x:c r="G131" s="24"/>
      <x:c r="H131" s="28"/>
    </x:row>
    <x:row r="132">
      <x:c r="A132" s="24" t="str">
        <x:v>/readings/banking-jump-measurement-basis/</x:v>
      </x:c>
      <x:c r="B132" s="24" t="str">
        <x:v>reading_detail</x:v>
      </x:c>
      <x:c r="C132" s="24" t="str">
        <x:v>/readings/[reading_id]</x:v>
      </x:c>
      <x:c r="D132" s="24" t="str">
        <x:v>banking-jump-measurement-basis</x:v>
      </x:c>
      <x:c r="E132" s="24"/>
      <x:c r="F132" s="28"/>
      <x:c r="G132" s="24"/>
      <x:c r="H132" s="28"/>
    </x:row>
    <x:row r="133">
      <x:c r="A133" s="24" t="str">
        <x:v>/readings/define-what-you-count/</x:v>
      </x:c>
      <x:c r="B133" s="24" t="str">
        <x:v>reading_detail</x:v>
      </x:c>
      <x:c r="C133" s="24" t="str">
        <x:v>/readings/[reading_id]</x:v>
      </x:c>
      <x:c r="D133" s="24" t="str">
        <x:v>define-what-you-count</x:v>
      </x:c>
      <x:c r="E133" s="24"/>
      <x:c r="F133" s="28"/>
      <x:c r="G133" s="24"/>
      <x:c r="H133" s="28"/>
    </x:row>
    <x:row r="134">
      <x:c r="A134" s="24" t="str">
        <x:v>/readings/digital-workaround-not-yet-durable-inclusion/</x:v>
      </x:c>
      <x:c r="B134" s="24" t="str">
        <x:v>reading_detail</x:v>
      </x:c>
      <x:c r="C134" s="24" t="str">
        <x:v>/readings/[reading_id]</x:v>
      </x:c>
      <x:c r="D134" s="24" t="str">
        <x:v>digital-workaround-not-yet-durable-inclusion</x:v>
      </x:c>
      <x:c r="E134" s="24"/>
      <x:c r="F134" s="28"/>
      <x:c r="G134" s="24"/>
      <x:c r="H134" s="28"/>
    </x:row>
    <x:row r="135">
      <x:c r="A135" s="24" t="str">
        <x:v>/readings/finance-constraint-different-questions/</x:v>
      </x:c>
      <x:c r="B135" s="24" t="str">
        <x:v>reading_detail</x:v>
      </x:c>
      <x:c r="C135" s="24" t="str">
        <x:v>/readings/[reading_id]</x:v>
      </x:c>
      <x:c r="D135" s="24" t="str">
        <x:v>finance-constraint-different-questions</x:v>
      </x:c>
      <x:c r="E135" s="24"/>
      <x:c r="F135" s="28"/>
      <x:c r="G135" s="24"/>
      <x:c r="H135" s="28"/>
    </x:row>
    <x:row r="136">
      <x:c r="A136" s="24" t="str">
        <x:v>/readings/from-rail-to-result-missing-middle/</x:v>
      </x:c>
      <x:c r="B136" s="24" t="str">
        <x:v>reading_detail</x:v>
      </x:c>
      <x:c r="C136" s="24" t="str">
        <x:v>/readings/[reading_id]</x:v>
      </x:c>
      <x:c r="D136" s="24" t="str">
        <x:v>from-rail-to-result-missing-middle</x:v>
      </x:c>
      <x:c r="E136" s="24"/>
      <x:c r="F136" s="28"/>
      <x:c r="G136" s="24"/>
      <x:c r="H136" s="28"/>
    </x:row>
    <x:row r="137">
      <x:c r="A137" s="24" t="str">
        <x:v>/readings/gender-gap-measured-causes-open/</x:v>
      </x:c>
      <x:c r="B137" s="24" t="str">
        <x:v>reading_detail</x:v>
      </x:c>
      <x:c r="C137" s="24" t="str">
        <x:v>/readings/[reading_id]</x:v>
      </x:c>
      <x:c r="D137" s="24" t="str">
        <x:v>gender-gap-measured-causes-open</x:v>
      </x:c>
      <x:c r="E137" s="24"/>
      <x:c r="F137" s="28"/>
      <x:c r="G137" s="24"/>
      <x:c r="H137" s="28"/>
    </x:row>
    <x:row r="138">
      <x:c r="A138" s="24" t="str">
        <x:v>/readings/</x:v>
      </x:c>
      <x:c r="B138" s="24" t="str">
        <x:v>static</x:v>
      </x:c>
      <x:c r="C138" s="24" t="str">
        <x:v>/readings</x:v>
      </x:c>
      <x:c r="D138" s="24"/>
      <x:c r="E138" s="24" t="str">
        <x:v>Evidence turned into decision-relevant analysis</x:v>
      </x:c>
      <x:c r="F138" s="28" t="str">
        <x:v>من الدليل إلى قراءة تخدم القرار</x:v>
      </x:c>
      <x:c r="G138" s="24"/>
      <x:c r="H138" s="28"/>
    </x:row>
    <x:row r="139">
      <x:c r="A139" s="24" t="str">
        <x:v>/readings/microfinance-structural-divergence/</x:v>
      </x:c>
      <x:c r="B139" s="24" t="str">
        <x:v>reading_detail</x:v>
      </x:c>
      <x:c r="C139" s="24" t="str">
        <x:v>/readings/[reading_id]</x:v>
      </x:c>
      <x:c r="D139" s="24" t="str">
        <x:v>microfinance-structural-divergence</x:v>
      </x:c>
      <x:c r="E139" s="24"/>
      <x:c r="F139" s="28"/>
      <x:c r="G139" s="24"/>
      <x:c r="H139" s="28"/>
    </x:row>
    <x:row r="140">
      <x:c r="A140" s="24" t="str">
        <x:v>/readings/reforms-newer-than-people-evidence/</x:v>
      </x:c>
      <x:c r="B140" s="24" t="str">
        <x:v>reading_detail</x:v>
      </x:c>
      <x:c r="C140" s="24" t="str">
        <x:v>/readings/[reading_id]</x:v>
      </x:c>
      <x:c r="D140" s="24" t="str">
        <x:v>reforms-newer-than-people-evidence</x:v>
      </x:c>
      <x:c r="E140" s="24"/>
      <x:c r="F140" s="28"/>
      <x:c r="G140" s="24"/>
      <x:c r="H140" s="28"/>
    </x:row>
    <x:row r="141">
      <x:c r="A141" s="24" t="str">
        <x:v>/readings/same-year-different-number/</x:v>
      </x:c>
      <x:c r="B141" s="24" t="str">
        <x:v>reading_detail</x:v>
      </x:c>
      <x:c r="C141" s="24" t="str">
        <x:v>/readings/[reading_id]</x:v>
      </x:c>
      <x:c r="D141" s="24" t="str">
        <x:v>same-year-different-number</x:v>
      </x:c>
      <x:c r="E141" s="24"/>
      <x:c r="F141" s="28"/>
      <x:c r="G141" s="24"/>
      <x:c r="H141" s="28"/>
    </x:row>
    <x:row r="142">
      <x:c r="A142" s="24" t="str">
        <x:v>/reforms/</x:v>
      </x:c>
      <x:c r="B142" s="24" t="str">
        <x:v>static</x:v>
      </x:c>
      <x:c r="C142" s="24" t="str">
        <x:v>/reforms</x:v>
      </x:c>
      <x:c r="D142" s="24"/>
      <x:c r="E142" s="24" t="str">
        <x:v>A reform can be real before its outcome is known.</x:v>
      </x:c>
      <x:c r="F142" s="28" t="str">
        <x:v>قد يقع الإصلاح فعلًا وتبقى نتيجته مجهولة.</x:v>
      </x:c>
      <x:c r="G142" s="24"/>
      <x:c r="H142" s="28"/>
    </x:row>
    <x:row r="143">
      <x:c r="A143" s="24" t="str">
        <x:v>/remittances/</x:v>
      </x:c>
      <x:c r="B143" s="24" t="str">
        <x:v>static</x:v>
      </x:c>
      <x:c r="C143" s="24" t="str">
        <x:v>/remittances</x:v>
      </x:c>
      <x:c r="D143" s="24"/>
      <x:c r="E143" s="24" t="str">
        <x:v>Remittances: each figure depends on its source, concept and publication vintage</x:v>
      </x:c>
      <x:c r="F143" s="28" t="str">
        <x:v>لا رقمَ واحدًا للحوالات ما لم يُحدَّد المصدر والمفهوم ونسخة البيانات.</x:v>
      </x:c>
      <x:c r="G143" s="24"/>
      <x:c r="H143" s="28"/>
    </x:row>
    <x:row r="144">
      <x:c r="A144" s="24" t="str">
        <x:v>/rights/</x:v>
      </x:c>
      <x:c r="B144" s="24" t="str">
        <x:v>operational</x:v>
      </x:c>
      <x:c r="C144" s="24" t="str">
        <x:v>/rights</x:v>
      </x:c>
      <x:c r="D144" s="24"/>
      <x:c r="E144" s="24" t="str">
        <x:v>Source and data rights</x:v>
      </x:c>
      <x:c r="F144" s="28" t="str">
        <x:v>حقوق المصادر والبيانات</x:v>
      </x:c>
      <x:c r="G144" s="24"/>
      <x:c r="H144" s="28"/>
    </x:row>
    <x:row r="145">
      <x:c r="A145" s="24" t="str">
        <x:v>/terms/</x:v>
      </x:c>
      <x:c r="B145" s="24" t="str">
        <x:v>operational</x:v>
      </x:c>
      <x:c r="C145" s="24" t="str">
        <x:v>/terms</x:v>
      </x:c>
      <x:c r="D145" s="24"/>
      <x:c r="E145" s="24" t="str">
        <x:v>Terms and responsible reuse</x:v>
      </x:c>
      <x:c r="F145" s="28" t="str">
        <x:v>الشروط وإعادة الاستخدام المسؤول</x:v>
      </x:c>
      <x:c r="G145" s="24"/>
      <x:c r="H145" s="28"/>
    </x:row>
    <x:row r="146">
      <x:c r="A146" s="24" t="str">
        <x:v>/evidence/CLM-062/</x:v>
      </x:c>
      <x:c r="B146" s="24" t="str">
        <x:v>evidence_detail</x:v>
      </x:c>
      <x:c r="C146" s="24" t="str">
        <x:v>/evidence/[id]</x:v>
      </x:c>
      <x:c r="D146" s="24" t="str">
        <x:v>CLM-062</x:v>
      </x:c>
      <x:c r="E146" s="24"/>
      <x:c r="F146" s="28"/>
      <x:c r="G146" s="24"/>
      <x:c r="H146" s="28"/>
    </x:row>
    <x:row r="147">
      <x:c r="A147" s="24" t="str">
        <x:v>/evidence/FMIIP-BASELINE-2025-01/</x:v>
      </x:c>
      <x:c r="B147" s="24" t="str">
        <x:v>evidence_detail</x:v>
      </x:c>
      <x:c r="C147" s="24" t="str">
        <x:v>/evidence/[id]</x:v>
      </x:c>
      <x:c r="D147" s="24" t="str">
        <x:v>FMIIP-BASELINE-2025-01</x:v>
      </x:c>
      <x:c r="E147" s="24"/>
      <x:c r="F147" s="28"/>
      <x:c r="G147" s="24"/>
      <x:c r="H147" s="28"/>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evidence resource that helps users understand, compare and verify evidence on financial inclusion in Yemen. It helps decision-making by making clear what the evidence establishes, what it does not, when and to whom it applies, and where it comes from. It does not make decisions for users or simulate policy outcomes. The evidence spans people, firms, providers, payments, money flows, rules and infrastructure, measured at different times and under different definitions. Start with the question you need to answer.</x:v>
      </x:c>
      <x:c r="F5" s="28"/>
      <x:c r="G5" s="28" t="str">
        <x:v>«أدلة الشمول المالي في اليمن» مورد عام ثنائي اللغة يساعد المستخدمين على فهم أدلة الشمول المالي في اليمن ومقارنتها والتحقق منها. ويدعم اتخاذ القرار من خلال توضيح ما الذي تسنده الأدلة، وما الذي لا تثبته، والفترة والمجتمع اللذين تغطيهما، ومصادرها. ولا يتخذ القرارات نيابة عن المستخدمين ولا يحاكي نتائج السياسات. وتشمل الأدلة الناس والمنشآت ومقدمي الخدمات والمدفوعات والتدفقات المالية والتنظيمات والبنية التحتية، وقد جُمعت في أوقات ووفق تعريفات مختلفة. ابدأ بالسؤال الذي تريد الإجابة عنه.</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 signals</x:v>
      </x:c>
      <x:c r="D8" s="24" t="str">
        <x:v>Three figures, three different things measured</x:v>
      </x:c>
      <x:c r="E8" s="24" t="str">
        <x:v>The latest representative population measure is the World Bank’s Global Findex 2021 survey of Yemen (fieldwork November 2022 to January 2023; World Bank data year 2022): 11.9% of adults aged 15 and over in the areas surveyed had an account at a financial institution or with a mobile-money provider. Areas holding about 23% of the population were not surveyed. In the same survey, 18.35% of men and 5.44% of women had an account, a gap of 12.91 percentage points. Separately, POS terminals reported by the Central Bank of Yemen – Aden (CBY-Aden) rose from 561 in March 2025 to 1,473 in January 2026, within CBY-Aden’s reporting scope. These are different measures: people, a disparity within one survey, and infrastructure. None substitutes for another.</x:v>
      </x:c>
      <x:c r="F8" s="28"/>
      <x:c r="G8" s="28"/>
    </x:row>
    <x:row r="9">
      <x:c r="A9" s="24" t="str">
        <x:v>/</x:v>
      </x:c>
      <x:c r="B9" s="24" t="n">
        <x:v>3</x:v>
      </x:c>
      <x:c r="C9" s="24" t="str">
        <x:v>إشارات من الأدلة</x:v>
      </x:c>
      <x:c r="D9" s="24"/>
      <x:c r="E9" s="24"/>
      <x:c r="F9" s="28" t="str">
        <x:v>ثلاثة أرقام تقيس ثلاثة أشياء مختلفة</x:v>
      </x:c>
      <x:c r="G9" s="28" t="str">
        <x:v>أحدث قياس سكاني ممثل هو مسح المؤشر العالمي للشمول المالي (Global Findex) لعام 2021 في اليمن، الصادر عن البنك الدولي (نُفذ العمل الميداني من نوفمبر 2022 إلى يناير 2023؛ وسنة البيانات لدى البنك الدولي 2022): كان لدى 11.9% من البالغين بعمر 15 سنة فأكثر في المناطق التي شملها المسح حساب لدى مؤسسة مالية أو لدى مقدم خدمة أموال عبر الهاتف المحمول. ولم يشمل المسح مناطق يسكنها نحو 23% من السكان. وفي المسح نفسه، كان لدى 18.35% من الرجال و5.44% من النساء حساب، بفارق 12.91 نقطة مئوية. وبصورة منفصلة، ارتفع عدد أجهزة نقاط البيع التي يُبلغ عنها البنك المركزي اليمني – عدن من 561 في مارس 2025 إلى 1,473 في يناير 2026، ضمن نطاق الإبلاغ لديه.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التحويلات ورأس المال، والتنظيم وحماية المستهلك، والقيود المُمكِّنة أو المعطِّلة، لكنها ليست أشياء قابلة للاستبدال. وتوضح الروابط السياق أو الاعتماد أو آليات محتملة عندما تسندها الأدلة؛ ولا تُعرض كأسهم سببية أو كمؤشر مركب.</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you need to resolve.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ابدأ بالسؤال الأقرب إلى القرار أو المسألة التي تريد حسمها. ويحافظ كل مسار على ارتباط الإجابة بحدودها وطريق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Figures are held in evidence records, each of which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تجميعها واشتقاقاتها الموثقة وتحليلها التحريري، وعن تصحيح الأخطاء.
من يبقى المرجع: تبقى الجهات الناشرة الأصلية هي المرجع لما تصدره من بيانات ومنشورات، ولا يجعل تنظيم الأدلة من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تجميع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1,473 POS terminals in January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1,473 جهاز نقاط بيع أبلغ عنه في يناير 2026 ضمن نطاق الإبلاغ لديه،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إثبات إجماليات وطنية أو خاصة بالنظام في تواريخ محددة.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1,473 in January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1,473 جهازًا في يناير 2026.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this resource is designed and tested against.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ويُختبر وفقه.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الوصول</x:v>
      </x:c>
      <x:c r="G54" s="28" t="str">
        <x:v>يمكن الإبلاغ عن مشكلات إتاحة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لإتاحة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إتاحة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إتاحة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x:v>
      </x:c>
      <x:c r="F61" s="28"/>
      <x:c r="G61" s="28" t="str">
        <x:v>التصحيحات الجوهرية للأدلة المنشورة والسجلات المستبدلة، وكيف تُسجَّل.</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تبقى قابلة للتعرف؛ وإذا تعذر ذلك، توثق ملاحظة التصحيح ما يكفي لشرح التغيير.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 material earlier state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locator and, where recorded, its title, publisher and date; reuse terms have not yet been assessed for any source. The figures themselves are held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القياس،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definition, universe, period, geography, source authority, derivation, state/currentness,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القياس،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original locator: {{n:public_locators}}
Curated source and report cards: {{n:curated_resources}}
Evidence Readings: {{n:readings}}
Measurement Agenda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قراءات الأدلة: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evidence states.</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وكسور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Compare definition, period, population or calculation base, geography, unit and method before comparing values. A mismatch is a reason to qualify the comparison, not to hide it; when definitions or populations do not match, “not comparable” is a valid result.
Select at least two records.</x:v>
      </x:c>
      <x:c r="F84" s="28"/>
      <x:c r="G84" s="28" t="str">
        <x:v>اختر من 2 إلى 4 سجلات. قارن التعريف والفترة ومجتمع القياس أو قاعدة الاحتساب والنطاق الجغرافي والوحدة والطريقة قبل مقارنة القيم. عدم التطابق سبب لتقييد المقارنة لا لإخفائها، وحين لا تتطابق التعريفات أو المجتمعات تكون «غير قابلة للمقارنة» نتيجة صحيحة.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universes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you need to resolve.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تريد حسمها. ويقودك كل مسار إلى الإجابة ذات الصلة وحدودها وطريق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والمحفظة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pointer-only years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فصلية ونقاط نهاية عام محددة،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المحفظة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anchors are 1.611 million savers/depositors and YER 33.379 billion; “active savers” and “savers/depositors” have not been shown to be the same measure. Both portfolio figures are nominal rials. Between December 2020 and December 2023 the average market rate published by the Central Bank in Aden moved from 792.69 to 1,529.4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period bridge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والمحفظة الاسمية لا يشكلون اتجاهًا واحدًا منسجمًا</x:v>
      </x:c>
      <x:c r="G100" s="28" t="str">
        <x:v>تسجل القيم المرجعية الموثقة 93,118 مقترضًا نشطًا في نهاية 2015 و88,445 في نهاية 2020، بينما يورد مصدر ثانوي قوي منشور في 2024 عددًا قدره 78,686 في نهاية 2023. ويورد المصدر نفسه ما يسميه 3.3 مليون «مدخر نشط» ومحفظة اسمية تقارب 44 مليار ريال في 2023. أما النقاط المرجعية الموثقة لعام 2020 فهي 1.611 مليون مدخر/مودع ومحفظة قدرها 33.379 مليار ريال، ولم يثبت أن «المدخر النشط» و«المدخر/المودع» مقياس واحد. وقيمتا المحفظة اسميتان بالريال: فبين ديسمبر 2020 وديسمبر 2023 انتقل متوسط سعر الصرف في السوق الذي ينشره البنك المركزي اليمني – عدن من 792.69 إلى 1,529.4 ريال للدولار، ولا تسجل قاعدة الأدلة أساس التقييم بالريال الذي تستخدمه أرقام المحفظة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والجسر الزمني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annual-report vintage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also has financial states that cannot be added indiscriminately</x:v>
      </x:c>
      <x:c r="E105" s="24" t="str">
        <x:v>A pledge, commitment, signed agreement, deposit, amount made available, budget disbursement, FX-auction use, in-kind support and project cost are different states. They may describe the same support pathway at different stages or overlapping components. This resource therefore does not manufacture a cumulative finance total by adding unlike states.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split-cash/payment episode;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same-year remittance revisions are kept separate from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التحويلات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same-year restatement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المحفظة الاسمية لا يعني تعمقًا حقيقيًا للائتمان. وإدراج بنك تمويل أصغر لا يثبت التشغيل أو الوصول. كما أن إعادة عرض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والمحفظة لا تساوي عدد المقترضين، والمقترضون لا يساوون بالضرورة أسرًا فريدة، وزيادة حجم التمويل لا تعني اتساع الوصول.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CBY-Aden bank list,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firm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المصفاة،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القياس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whose financial state (funding committed or disbursed) is not specified in the evidence base. The 2021–2024 total is not established as a count of unique firms. These are programme-delivery measures for the firms the programme supported; they are not a count of Yemen’s MSME population, a measure of financial-sector lending, or proof of causal impact.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برامجي قدره 54.7 مليون دولار، لا تحدد قاعدة الأدلة حالته المالية (تمويل ملتزم به أم مصروف).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the combined evidence changes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This agenda links evidence gaps to specific decision questions. It does not rank national priorities or use a hidden score. Each item states the decision affected, what evidence is missing, the feasibility and sensitivity constraints, and what would become knowable if that evidence existed. Priority labels describe sequencing within this evidence product;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agenda</x:v>
      </x:c>
      <x:c r="E137" s="24" t="str">
        <x:v>A measurement item is an evidence-to-decision record, not a recommendation to government or a wish list. It identifies the affected routes and decisions, the evidence currently missing, feasibility and sensitivity constraints, the basis for its position in this resource’s evidence agenda,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أولويات القياس الحالية</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people-side wave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فموجة سكانية جديدة تستطيع تحديث صفحة الناس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missing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المفقودة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agenda itself</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agenda changes</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evidence-sequencing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أُسندت تسمية ترتيب فجوة الدليل، وما سجلات الأدلة التي كشفت الفجوة.</x:v>
      </x:c>
    </x:row>
    <x:row r="153">
      <x:c r="A153" s="24" t="str">
        <x:v>/measurement/</x:v>
      </x:c>
      <x:c r="B153" s="24" t="n">
        <x:v>10</x:v>
      </x:c>
      <x:c r="C153" s="24" t="str">
        <x:v>Measurement agenda</x:v>
      </x:c>
      <x:c r="D153" s="24" t="str">
        <x:v>Measurements that would change decisions</x:v>
      </x:c>
      <x:c r="E153" s="24" t="str">
        <x:v>Each agenda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published figure has been checked against the source it is attributed to. A figure that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رُوجِع كل رقم منشور هنا مقابل المصدر المنسوب إليه. ويُحجب الرقم الذي 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the object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Several evidence clocks can be true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النتيجة والتحقق منها.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universe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القياس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متجاوزًا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locator/version, unit, population or calculation base, geography, period, method and rights/publication state.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وموقعه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من دون تنبيه إلى عدد أشخاص فريدين أو إلى نتيجة للشمول المالي.</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1,473 between March 2025 and January 2026, transaction counts from 8,015 to 24,026 (after a high of 27,187 in July 2025) and nominal transaction value from YER 320 million to YER 1.262 billion. This page keeps these three objects separate. A terminal is infrastructure, a transaction is an event and transaction value is a nominal monetary amount; none equals a person.</x:v>
      </x:c>
      <x:c r="F175" s="28"/>
      <x:c r="G175" s="28"/>
    </x:row>
    <x:row r="176">
      <x:c r="A176" s="24" t="str">
        <x:v>/payments/</x:v>
      </x:c>
      <x:c r="B176" s="24" t="n">
        <x:v>2</x:v>
      </x:c>
      <x:c r="C176" s="24" t="str">
        <x:v>التحليل</x:v>
      </x:c>
      <x:c r="D176" s="24"/>
      <x:c r="E176" s="24"/>
      <x:c r="F176" s="28" t="str">
        <x:v>نقاط البيع: ثلاث إشارات مختلفة</x:v>
      </x:c>
      <x:c r="G176" s="28" t="str">
        <x:v>بين مارس 2025 ويناير 2026 ارتفع العدد المنشور لأجهزة نقاط البيع من 561 إلى 1,473 جهازًا، وعدد المعاملات من 8,015 إلى 24,026 (بعد ذروة بلغت 27,187 معاملة في يوليو 2025)، والقيمة الاسمية من 320 مليون ريال إلى 1.262 مليار ريال. وتُبقي هذه الصفحة المقاييس الثلاثة منفصلة: الجهاز بنية تحتية، والمعاملة حدث، وقيمة المعاملة مبلغ مالي اسمي؛ ولا يساوي أي منها شخصًا.</x:v>
      </x:c>
    </x:row>
    <x:row r="177">
      <x:c r="A177" s="24" t="str">
        <x:v>/payments/</x:v>
      </x:c>
      <x:c r="B177" s="24" t="n">
        <x:v>3</x:v>
      </x:c>
      <x:c r="C177" s="24" t="str">
        <x:v>Evidence</x:v>
      </x:c>
      <x:c r="D177" s="24" t="str">
        <x:v>January 2026 was the latest monthly POS release on the CBY-Aden payments page as checked on 26 September 2026</x:v>
      </x:c>
      <x:c r="E177" s="24" t="str">
        <x:v>The payments page of the Central Bank of Yemen – Aden (CBY-Aden), as checked on 26 September 2026, publishes monthly POS releases from March 2025 through January 2026. This resource therefore stops the monthly series at January 2026. That does not mean activity stopped; it means no later monthly release had been published on that page when it was checked.</x:v>
      </x:c>
      <x:c r="F177" s="28"/>
      <x:c r="G177" s="28"/>
    </x:row>
    <x:row r="178">
      <x:c r="A178" s="24" t="str">
        <x:v>/payments/</x:v>
      </x:c>
      <x:c r="B178" s="24" t="n">
        <x:v>3</x:v>
      </x:c>
      <x:c r="C178" s="24" t="str">
        <x:v>الدليل</x:v>
      </x:c>
      <x:c r="D178" s="24"/>
      <x:c r="E178" s="24"/>
      <x:c r="F178" s="28" t="str">
        <x:v>يناير 2026 هو أحدث إصدار شهري لنقاط البيع في صفحة البنك المركزي اليمني – عدن، كما اطُّلع عليها في 26 سبتمبر 2026</x:v>
      </x:c>
      <x:c r="G178" s="28" t="str">
        <x:v>تعرض صفحة المدفوعات لدى البنك المركزي اليمني – عدن، كما اطُّلع عليها في 26 سبتمبر 2026، إصدارات شهرية لنقاط البيع من مارس 2025 حتى يناير 2026. لذلك تنتهي السلسلة الشهرية عند يناير 2026. ولا يعني ذلك أن النشاط توقف؛ بل يعني أن الصفحة المصدر،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are different measurement objects.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وحدات قياس مختلفة.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مستدامًا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نحو 57.03% للإيداع والسحب النقدي، و29.97% للحركة بين الحسابات المصرفية والإلكترونية، ونحو 2.41% للفواتير والمشتريات معًا. هذه أنماط تاريخية داخل نطاق المصدر، وليست تقديرات وطنية حالية.</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في عدن في 2026 قرارًا بشأن رمز الاستجابة السريعة (QR) الوطني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الكامل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استخدامًا مرصودًا. كما أن نجاح دفع 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for a use story</x:v>
      </x:c>
      <x:c r="E187" s="24" t="str">
        <x:v>This resource still lacks a comparable, privacy-safe measure of unique and repeat payment users across providers and rails, with frequency, recency, transaction purpose, failed/abandoned attempts and clear active-use definitions. It also lacks the downstream usage series needed to measure adoption after major payment-rail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(Yemen fieldwork November 2022 to January 2023), found that 11.9% of adults aged 15 and over in the areas surveyed had an account: 5.44% of women and 18.35%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التي نُفذ عملها الميداني في اليمن بين نوفمبر 2022 ويناير 2023 — أن 11.9% من البالغين بعمر 15 سنة فأكثر في المناطق التي شملها المسح يملكون حسابًا، بواقع 5.44% بين النساء و18.35%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The latest representative account-ownership measure available</x:v>
      </x:c>
      <x:c r="E190" s="24" t="str">
        <x:v>Global Findex 2021 reports 11.9% account ownership for Yemen; the Yemen fieldwork was carried out in 2022–23. The value is a survey measure for that wave and fieldwork period, not a 2026 population rate.</x:v>
      </x:c>
      <x:c r="F190" s="28"/>
      <x:c r="G190" s="28"/>
    </x:row>
    <x:row r="191">
      <x:c r="A191" s="24" t="str">
        <x:v>/people/</x:v>
      </x:c>
      <x:c r="B191" s="24" t="n">
        <x:v>2</x:v>
      </x:c>
      <x:c r="C191" s="24" t="str">
        <x:v>الدليل</x:v>
      </x:c>
      <x:c r="D191" s="24"/>
      <x:c r="E191" s="24"/>
      <x:c r="F191" s="28" t="str">
        <x:v>أحدث قياس سكاني متاح لامتلاك الحساب</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x:v>
      </x:c>
    </x:row>
    <x:row r="192">
      <x:c r="A192" s="24" t="str">
        <x:v>/people/</x:v>
      </x:c>
      <x:c r="B192" s="24" t="n">
        <x:v>3</x:v>
      </x:c>
      <x:c r="C192" s="24" t="str">
        <x:v>Evidence</x:v>
      </x:c>
      <x:c r="D192" s="24" t="str">
        <x:v>Measured gaps by sex and income — not yet explanations</x:v>
      </x:c>
      <x:c r="E192" s="24" t="str">
        <x:v>In the same wave, 5.44% of women and 18.35% of men have an account — a difference of 12.91 percentage points. Adults in the richest 60% by household income (15.5%) and in the poorest 40% (6.5%) differ by about 9.0 percentage points. Among adults with primary education or less, 6.98% have an account; the matching figure for adults with more education is not in the evidence base, so no education gap is stated.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 من دون افتراض أسبابها</x:v>
      </x:c>
      <x:c r="G193" s="28" t="str">
        <x:v>في الموجة نفسها تملك 5.44% من النساء و18.35% من الرجال حسابًا، بفارق 12.91 نقطة مئوية. ويبلغ الفارق بين البالغين في أغنى 60% بحسب دخل الأسرة (15.5%) وفي أفقر 40% (6.5%) نحو 9.0 نقاط مئوية. وتبلغ نسبة امتلاك الحساب 6.98% بين البالغين الذين لم يتجاوز تعليمهم المرحلة الابتدائية، بينما لا تتضمن قاعدة الأدلة الرقم المقابل لمن تلقوا تعليمًا أعلى، ولذلك لا تُذكر فجوة بحسب التعليم.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12.91-point gender difference and the 9.0-point income difference do not establish their causes. Administrative counts of accounts, wallets, savers, transactions or devices cannot substitute for a weighted people-level measure. No confidence intervals for these subgroup values are held in the evidence base,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12.91 نقطة بين الرجال والنساء وفارق 9.0 نقاط بين فئتي الدخل لا يثبتان أسبابهما.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and borrowing tell a different — older — story</x:v>
      </x:c>
      <x:c r="E198" s="24" t="str">
        <x:v>In the 2014 World Bank weighted country profile, 65.9% of adults reported borrowing any money, including 51.7% from family or friends, 15.0% from a private informal lender and 0.4% from a financial institution. Separately, 20.6% reported saving any money, including 0.9% at a financial institution and 4.5% through a savings club or a person outside the family. The categories are not additive, and each percentage applies to the all-adult base used by that question.</x:v>
      </x:c>
      <x:c r="F198" s="28"/>
      <x:c r="G198" s="28"/>
    </x:row>
    <x:row r="199">
      <x:c r="A199" s="24" t="str">
        <x:v>/people/</x:v>
      </x:c>
      <x:c r="B199" s="24" t="n">
        <x:v>6</x:v>
      </x:c>
      <x:c r="C199" s="24" t="str">
        <x:v>التحليل</x:v>
      </x:c>
      <x:c r="D199" s="24"/>
      <x:c r="E199" s="24"/>
      <x:c r="F199" s="28" t="str">
        <x:v>الاقتراض والادخار يقدمان صورة أخرى — لكنها أقدم</x:v>
      </x:c>
      <x:c r="G199" s="28" t="str">
        <x:v>في الملف القطري الموزون للبنك الدولي لعام 2014، أفاد 65.9% من البالغين بأنهم اقترضوا أي مبلغ، منهم 51.7% من الأسرة أو الأصدقاء، و15.0% من مقرض خاص غير رسمي، و0.4% من مؤسسة مالية. وبشكل منفصل، أفاد 20.6% بأنهم ادخروا أي مبلغ، منهم 0.9% لدى مؤسسة مالية و4.5% عبر جمعية ادخار أو شخص من خارج الأسرة. وهذه الفئات غير قابلة للجمع، وكل نسبة تنطبق على قاعدة جميع البالغين المستخدمة في السؤال المعني.</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latest wave does not cover all geography</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between 7 November 2022 and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لأحدث موجة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بين 7 نوفمبر 2022 و9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are different measurement objects.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وحدات قياس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it can return to Arabic or English;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حتى تعود إلى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The hosting service may keep limited technical logs needed to deliver, secure and diagnose the site. Which fields are kept, for how long and by which service providers will be stated here once the hosting arrangements are confirmed.</x:v>
      </x:c>
      <x:c r="F212" s="28" t="str">
        <x:v>سجلات الاستضافة والأمن</x:v>
      </x:c>
      <x:c r="G212" s="28" t="str">
        <x:v>قد تحتفظ خدمة الاستضافة بقدر محدود من السجلات التقنية اللازمة لتقديم الموقع وتأمينه وتشخيص أعطاله. وستُذكر هنا الحقول التي تُحفظ ومدة الاحتفاظ بها ومقدمو الخدمة المعنيون بمجرد تأكيد ترتيبات الاستضافة.</x:v>
      </x:c>
    </x:row>
    <x:row r="213">
      <x:c r="A213" s="24" t="str">
        <x:v>/privacy/</x:v>
      </x:c>
      <x:c r="B213" s="24" t="n">
        <x:v>4</x:v>
      </x:c>
      <x:c r="C213" s="24"/>
      <x:c r="D213" s="24" t="str">
        <x:v>Analytics, cookies and third-party tracking</x:v>
      </x:c>
      <x:c r="E213" s="24" t="str">
        <x:v>Core evidence browsing, local search and navigation do not require third-party analytics or advertising trackers. If non-essential analytics, cookies or identifiers are enabled later, they must be disclosed before activation and reflected in the applicable choice or consent mechanism.</x:v>
      </x:c>
      <x:c r="F213" s="28" t="str">
        <x:v>التحليلات وملفات الارتباط والتتبع من طرف ثالث</x:v>
      </x:c>
      <x:c r="G213" s="28" t="str">
        <x:v>لا يتطلب تصفح الأدلة أو البحث المحلي أو التنقل الأساسي تحليلات من طرف ثالث أو أدوات تتبع إعلانية. وإذا فُعّلت لاحقًا تحليلات غير ضرورية أو ملفات ارتباط أو معرفات، فيجب الإفصاح عنها قبل التفعيل وعكسها في آلية الاختيار أو الموافقة ذات الصلة.</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7 September 2026, names 26 banks, and its 2026 exchange and remittance roster lists 98 exchange companies, 225 individual exchange establishments and 106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رُوجعت في 7 سبتمبر 2026، 26 بنكًا، وتضم قائمته لعام 2026 لشركات الصرافة والحوالات 98 شركة صرافة و225 منشأة صرافة فردية و106 وكلاء 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7 September 2026, names 26 banks; 12 of them are classified as microfinance banks on the basis of their names in the source. These are formal list/classification states. They do not establish whether every institution is operating, which branches are active, what products are available, market share, payment-rail participation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7 سبتمبر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98 exchange companies, 225 individual exchange establishments and 106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98 شركة صرافة و225 منشأة صرافة فردية و106 وكلاء 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in different dates and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نظيفة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هذا الوضع إلى 2026 أو استخدامها لاستنتاج القائمة الإيجابية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named entities and belong on each provider's status history.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مسماة وتُسجَّل ضمن التاريخ المؤرخ لوضع كل جهة.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t="str">
        <x:v>Evidence Readings for consequential questions</x:v>
      </x:c>
      <x:c r="E233" s="24" t="str">
        <x:v>The Readings connect multiple evidence records around questions that a single chart cannot answer well. Each reading states the interpretation the evidence best supports, the evidence behind it, what remains uncertain or contested, and what measurement would change the decision.</x:v>
      </x:c>
      <x:c r="F233" s="28" t="str">
        <x:v>قراءات الأدلة للأسئلة ذات الأثر</x:v>
      </x:c>
      <x:c r="G233" s="28" t="str">
        <x:v>تربط هذه القراءات عدة أدلة حول أسئلة لا يكفي رسم واحد للإجابة عنها. وتوضح كل قراءة التفسير الذي تسنده الأدلة أكثر من غيره، والأدلة التي تقف خلفه، وما يبقى غير محسوم أو مختلفًا عليه، وما القياس الذي يمكن أن يغيّر القرار.</x:v>
      </x:c>
    </x:row>
    <x:row r="234">
      <x:c r="A234" s="24" t="str">
        <x:v>/readings/after-transfer-persistence/</x:v>
      </x:c>
      <x:c r="B234" s="24" t="n">
        <x:v>2</x:v>
      </x:c>
      <x:c r="C234" s="24"/>
      <x:c r="D234" s="24" t="str">
        <x:v>What supports this reading</x:v>
      </x:c>
      <x:c r="E234" s="24" t="str">
        <x:v>World Bank/G2Px documents a digital-payment pilot within Yemen’s Unconditional Cash Transfer (UCT) programme in eight districts benefiting 45,460 recipients, with payments designed around fully functional accounts and recipient choice. This strengthens the evidence for the intermediate 'financial exposure' stage. It does not show whether recipients kept using the account or wallet after the programme-driven transaction.
A successful cash payment is not yet durable financial use: Yemen evidence can support several links from cash delivery through usability, resilience and local financial relationships, but it does not yet establish persistent post-transfer bank-account or e-wallet use. Beneficiaries, registrations, identities and opened accounts cannot be counted as durable use.</x:v>
      </x:c>
      <x:c r="F234" s="28" t="str">
        <x:v>ما الأدلة التي تسند هذه القراءة</x:v>
      </x:c>
      <x:c r="G234" s="28" t="str">
        <x:v>يوثق البنك الدولي/مبادرة G2Px تجربة يمنية للمدفوعات الرقمية ضمن برنامج التحويلات النقدية غير المشروطة في ثماني مديريات استفاد منها 45,460 مستفيدًا، مع تصميم الدفع حول حسابات كاملة الوظائف وإتاحة الاختيار للمستفيد. يقوي ذلك الدليل على مرحلة وسيطة هي «أول اتصال بخدمة مالية». لكنه لا يبين ما إذا كان المستفيدون واصلوا استخدام الحساب أو المحفظة بعد المعاملة المرتبطة بالبرنامج.
نجاح الدفع النقدي لا يعني بعدُ استخدامًا ماليًا مستدامًا: 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ولا يجوز عدّ المستفيدين أو التسجيلات أو الهويات أو الحسابات المفتوحة باعتبارها استخدامًا ماليًا مستدامًا.</x:v>
      </x:c>
    </x:row>
    <x:row r="235">
      <x:c r="A235" s="24" t="str">
        <x:v>/readings/after-transfer-persistence/</x:v>
      </x:c>
      <x:c r="B235" s="24" t="n">
        <x:v>3</x:v>
      </x:c>
      <x:c r="C235" s="24"/>
      <x:c r="D235" s="24" t="str">
        <x:v>What qualifies or complicates the reading</x:v>
      </x:c>
      <x:c r="E235" s="24" t="str">
        <x:v>The pilot evidence is programme-level: it covers eight districts and records scale and design, not what recipients did with the account after payment, and it is not a national estimate. The other links in the chain, from delivery to usability, resilience and local financial relationships, rest on separate programme and project sources, each with its own coverage and period within 2023–2026, so they cannot be joined into one national account of what happens to transfer recipients.</x:v>
      </x:c>
      <x:c r="F235" s="28" t="str">
        <x:v>ما الذي يقيّد هذه القراءة أو يعقّدها</x:v>
      </x:c>
      <x:c r="G235" s="28" t="str">
        <x:v>أدلة المرحلة التجريبية على مستوى البرنامج: فهي تغطي ثماني مديريات وتسجل الحجم والتصميم، لا ما فعله المستفيدون بالحساب بعد الدفع، وليست تقديرًا وطنيًا. أما الحلقات الأخرى في السلسلة، من الإيصال إلى قابلية الاستخدام والقدرة على الصمود والروابط المالية المحلية، فتستند إلى مصادر منفصلة لبرامج ومشروعات، لكل منها تغطيته وفترته ضمن 2023–2026، ولذلك لا يمكن ضمها في رواية وطنية واحدة عمّا يحدث للمستفيدين من التحويلات.</x:v>
      </x:c>
    </x:row>
    <x:row r="236">
      <x:c r="A236" s="24" t="str">
        <x:v>/readings/after-transfer-persistence/</x:v>
      </x:c>
      <x:c r="B236" s="24" t="n">
        <x:v>4</x:v>
      </x:c>
      <x:c r="C236" s="24"/>
      <x:c r="D236" s="24" t="str">
        <x:v>How this fits into the wider system</x:v>
      </x:c>
      <x:c r="E236" s="24" t="str">
        <x:v>Social and cash payments can create a moment of contact with formal or digital finance. That moment may improve delivery without creating an ongoing financial relationship. The unresolved question is persistence: what recipients do after the programme-driven transaction, whether they return voluntarily, which services they use, and whether any change in resilience or control over money is observed.</x:v>
      </x:c>
      <x:c r="F236" s="28" t="str">
        <x:v>كيف يرتبط ذلك بالمنظومة الأوسع</x:v>
      </x:c>
      <x:c r="G236" s="28" t="str">
        <x:v>يمكن للمدفوعات الاجتماعية والنقدية أن تخلق لحظة اتصال بالخدمات المالية الرسمية أو الرقمية. وقد تحسن هذه اللحظة إيصال المساعدة من دون أن تنشئ علاقة مالية مستمرة. ويبقى السؤال غير المحسوم هو الاستمرار: ماذا يفعل المستفيد بعد المعاملة المرتبطة بالبرنامج، وهل يعود إلى استخدام الخدمة طوعًا، وما الخدمات التي يستخدمها، وهل يُرصد أي تغير في قدرته على إدارة المال أو الصمود.</x:v>
      </x:c>
    </x:row>
    <x:row r="237">
      <x:c r="A237" s="24" t="str">
        <x:v>/readings/after-transfer-persistence/</x:v>
      </x:c>
      <x:c r="B237" s="24" t="n">
        <x:v>5</x:v>
      </x:c>
      <x:c r="C237" s="24"/>
      <x:c r="D237" s="24" t="str">
        <x:v>What the evidence does not establish</x:v>
      </x:c>
      <x:c r="E237" s="24" t="str">
        <x:v>The evidence does not show that cash transfers automatically create inclusion, or that they fail to. Beneficiaries, members of village savings and loan associations (VSLAs) and opened wallets or accounts are not durable active use unless follow-up shows continued use.</x:v>
      </x:c>
      <x:c r="F237" s="28" t="str">
        <x:v>ما الذي لا تثبته الأدلة</x:v>
      </x:c>
      <x:c r="G237" s="28" t="str">
        <x:v>لا تدعي القراءة أن التحويلات النقدية تنشئ الشمول تلقائيًا أو تفشل تلقائيًا في إنشائه. لا يُعد المستفيدون أو أعضاء مجموعات الادخار والإقراض أو المحافظ الإلكترونية والحسابات المفتوحة استخدامًا نشطًا مستدامًا من دون متابعة لاحقة.</x:v>
      </x:c>
    </x:row>
    <x:row r="238">
      <x:c r="A238" s="24" t="str">
        <x:v>/readings/after-transfer-persistence/</x:v>
      </x:c>
      <x:c r="B238" s="24" t="n">
        <x:v>6</x:v>
      </x:c>
      <x:c r="C238" s="24"/>
      <x:c r="D238" s="24" t="str">
        <x:v>Implication for decision use</x:v>
      </x:c>
      <x:c r="E238" s="24" t="str">
        <x:v>A post-transfer observation window is needed to distinguish successful delivery from repeat voluntary activity, merchant/payment use, saving and consumer experience. Without that follow-up, programme delivery and durable financial use remain different evidence states.</x:v>
      </x:c>
      <x:c r="F238" s="28" t="str">
        <x:v>ما الذي يعنيه ذلك عند استخدام الدليل في القرار</x:v>
      </x:c>
      <x:c r="G238" s="28" t="str">
        <x:v>يلزم رصد ما بعد التحويل للتمييز بين نجاح التسليم وبين النشاط الطوعي المتكرر، واستخدام الدفع لدى التجار، والادخار، وتجربة المستهلك. ومن دون هذه المتابعة، يظل تسليم البرنامج والاستخدام المالي المستدام مرحلتين مختلفتين تحتاج كلٌّ منهما إلى دليلها.</x:v>
      </x:c>
    </x:row>
    <x:row r="239">
      <x:c r="A239" s="24" t="str">
        <x:v>/readings/after-transfer-persistence/</x:v>
      </x:c>
      <x:c r="B239" s="24" t="n">
        <x:v>7</x:v>
      </x:c>
      <x:c r="C239" s="24"/>
      <x:c r="D239" s="24" t="str">
        <x:v>What remains unknown</x:v>
      </x:c>
      <x:c r="E239" s="24" t="str">
        <x:v>The available evidence does not provide a longitudinal national estimate of how many recipients remain active after transfer-driven use, for how long, or for which functions.</x:v>
      </x:c>
      <x:c r="F239" s="28" t="str">
        <x:v>ما الذي ما زلنا لا نعرفه</x:v>
      </x:c>
      <x:c r="G239" s="28" t="str">
        <x:v>لا توفر الأدلة المتاحة تقديرًا وطنيًا طوليًا لعدد المستفيدين الذين يستمر نشاطهم بعد الاستخدام المرتبط بالتحويل، أو مدة الاستمرار، أو الأغراض التي يواصلون استخدام الخدمة من أجلها.</x:v>
      </x:c>
    </x:row>
    <x:row r="240">
      <x:c r="A240" s="24" t="str">
        <x:v>/readings/after-transfer-persistence/</x:v>
      </x:c>
      <x:c r="B240" s="24" t="n">
        <x:v>8</x:v>
      </x:c>
      <x:c r="C240" s="24"/>
      <x:c r="D240" s="24" t="str">
        <x:v>What evidence would change the reading</x:v>
      </x:c>
      <x:c r="E240" s="24" t="str">
        <x:v>Longitudinal post-transfer transaction/use data linked to clear active-use definitions and recipient experience would show whether programme-driven financial exposure becomes a persistent relationship.</x:v>
      </x:c>
      <x:c r="F240" s="28" t="str">
        <x:v>ما الدليل الذي سيغير هذه القراءة</x:v>
      </x:c>
      <x:c r="G240" s="28" t="str">
        <x:v>ستوضح بيانات طولية عن المعاملات والاستخدام بعد التحويل، مرتبطة بتعريف واضح للنشاط وتجربة المستفيد، ما إذا كان الاتصال بالخدمات المالية الناتج عن البرنامج يتحول إلى علاقة مستمرة.</x:v>
      </x:c>
    </x:row>
    <x:row r="241">
      <x:c r="A241" s="24" t="str">
        <x:v>/readings/after-transfer-persistence/</x:v>
      </x:c>
      <x:c r="B241" s="24" t="n">
        <x:v>9</x:v>
      </x:c>
      <x:c r="C241" s="24"/>
      <x:c r="D241" s="24" t="str">
        <x:v>Trace the reading back to evidence</x:v>
      </x:c>
      <x:c r="E241" s="24" t="str">
        <x:v>Open the linked evidence records to check the definition, period, population or scope, source, derivation, limitations, evidence date and correction history behind each figure in this reading.</x:v>
      </x:c>
      <x:c r="F241" s="28" t="str">
        <x:v>تتبّع القراءة إلى أدلتها</x:v>
      </x:c>
      <x:c r="G241" s="28" t="str">
        <x:v>افتح الخلاصات وسجلات الأدلة المرتبطة لفحص التعريف والفترة والمجتمع أو النطاق والمصدر وطريقة الاشتقاق وشروط إعادة الاستخدام والحدود وحداثة الدليل وسجل التصحيح. وقارن الأدلة المختلفة من دون إجبارها على مقياس واحد.</x:v>
      </x:c>
    </x:row>
    <x:row r="242">
      <x:c r="A242" s="24" t="str">
        <x:v>/readings/banking-jump-measurement-basis/</x:v>
      </x:c>
      <x:c r="B242" s="24" t="n">
        <x:v>2</x:v>
      </x:c>
      <x:c r="C242" s="24"/>
      <x:c r="D242" s="24" t="str">
        <x:v>What supports this reading</x:v>
      </x:c>
      <x:c r="E242" s="24" t="str">
        <x:v>A measured banking jump can partly be a valuation change: The same 2022 consolidated banking positions are published at materially higher levels from the 2023 annual report onward, alongside a documented January-2023 shift to market-exchange-rate valuation of foreign-currency positions. The published difference therefore does not by itself establish economic change of the same magnitude.
The 2023 valuation change has history, not a clean “first-ever” boundary: Market-rate valuation of foreign-currency accounts has documented precedent in Yemen from 1996, while CBY-Aden separately documents a January-2023 valuation/reporting change affecting current banking series. The two episodes should not be assumed to use identical standards.</x:v>
      </x:c>
      <x:c r="F242" s="28" t="str">
        <x:v>ما الأدلة التي تسند هذه القراءة</x:v>
      </x:c>
      <x:c r="G242" s="28" t="str">
        <x:v>قد تكون القفزة المصرفية المقاسة جزئيًا تغيرًا في التقييم: 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
لتغيير التقييم في 2023 سابقة تاريخية، وليس حدًا يصلح وصفه بأنه «الأول»: 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row>
    <x:row r="243">
      <x:c r="A243" s="24" t="str">
        <x:v>/readings/banking-jump-measurement-basis/</x:v>
      </x:c>
      <x:c r="B243" s="24" t="n">
        <x:v>3</x:v>
      </x:c>
      <x:c r="C243" s="24"/>
      <x:c r="D243" s="24" t="str">
        <x:v>What qualifies or complicates the reading</x:v>
      </x:c>
      <x:c r="E243" s="24" t="str">
        <x:v>The valuation note documents the change in method but not how much of the restatement falls on each balance-sheet line, so the part of the published difference that is accounting rather than economic cannot be separated line by line. The figures are consolidated positions of commercial and Islamic banks as published in the annual reports of the Central Bank of Yemen – Aden (CBY-Aden). Not every change after 2023 is shown to be an accounting effect, and the 1996 precedent does not show that the same standard was used.</x:v>
      </x:c>
      <x:c r="F243" s="28" t="str">
        <x:v>ما الذي يقيّد هذه القراءة أو يعقّدها</x:v>
      </x:c>
      <x:c r="G243" s="28" t="str">
        <x:v>توثق ملاحظة التقييم تغير المنهج، لكنها لا تبين نصيب كل بند في الميزانية من إعادة العرض، ولذلك لا يمكن فصل الجزء المحاسبي من الفرق المنشور عن الجزء الاقتصادي بندًا ببند. والأرقام مراكز مجمعة للبنوك التجارية والإسلامية كما نشرتها التقارير السنوية للبنك المركزي اليمني – عدن. ولم يثبت أن كل تغير بعد 2023 أثر محاسبي، كما لا تثبت سابقة 1996 أن المعيار نفسه قد استُخدم.</x:v>
      </x:c>
    </x:row>
    <x:row r="244">
      <x:c r="A244" s="24" t="str">
        <x:v>/readings/banking-jump-measurement-basis/</x:v>
      </x:c>
      <x:c r="B244" s="24" t="n">
        <x:v>4</x:v>
      </x:c>
      <x:c r="C244" s="24"/>
      <x:c r="D244" s="24" t="str">
        <x:v>How this fits into the wider system</x:v>
      </x:c>
      <x:c r="E244" s="24" t="str">
        <x:v>Banking-stock statistics feed judgments about financial depth, liquidity, deposits, credit and institutional scale. When the valuation basis changes, a discontinuity can enter several indicators at once. That does not make the new numbers unusable; it means the break must travel with the series so decisions do not attribute a reporting-basis change to banks, depositors or borrowers.</x:v>
      </x:c>
      <x:c r="F244" s="28" t="str">
        <x:v>كيف يرتبط ذلك بالمنظومة الأوسع</x:v>
      </x:c>
      <x:c r="G244" s="28" t="str">
        <x:v>تغذي أرصدة القطاع المصرفي أحكامًا عن العمق المالي والسيولة والودائع والائتمان وحجم المؤسسات. وعندما يتغير أساس التقييم قد يظهر انقطاع في عدة مؤشرات في وقت واحد. وهذا لا يجعل القيم الجديدة غير صالحة، لكنه يفرض إبقاء تغير الأساس ملازمًا للسلسلة حتى لا يُنسب أثر الإبلاغ أو التقييم إلى البنوك أو المودعين أو المقترضين.</x:v>
      </x:c>
    </x:row>
    <x:row r="245">
      <x:c r="A245" s="24" t="str">
        <x:v>/readings/banking-jump-measurement-basis/</x:v>
      </x:c>
      <x:c r="B245" s="24" t="n">
        <x:v>5</x:v>
      </x:c>
      <x:c r="C245" s="24"/>
      <x:c r="D245" s="24" t="str">
        <x:v>What the evidence does not establish</x:v>
      </x:c>
      <x:c r="E245" s="24" t="str">
        <x:v>The evidence does not show that the restated values are wrong, or that every movement is purely an accounting effect. A same-year restatement does not show a credit or deposit boom or a change in solvency.</x:v>
      </x:c>
      <x:c r="F245" s="28" t="str">
        <x:v>ما الذي لا تثبته الأدلة</x:v>
      </x:c>
      <x:c r="G245" s="28" t="str">
        <x:v>لا تعني الأدلة أن القيم المعاد عرضها خاطئة، ولا أن كل الحركة أثر محاسبي بحت. لا تُظهر إعادة عرض السنة نفسها طفرة في الائتمان أو الودائع ولا تغيرًا في الملاءة.</x:v>
      </x:c>
    </x:row>
    <x:row r="246">
      <x:c r="A246" s="24" t="str">
        <x:v>/readings/banking-jump-measurement-basis/</x:v>
      </x:c>
      <x:c r="B246" s="24" t="n">
        <x:v>6</x:v>
      </x:c>
      <x:c r="C246" s="24"/>
      <x:c r="D246" s="24" t="str">
        <x:v>Implication for decision use</x:v>
      </x:c>
      <x:c r="E246" s="24" t="str">
        <x:v>Growth, liquidity and intermediation baselines can be distorted when same-period values change across vintages or when valuation methods change. Interpretation therefore depends on showing both vintages where relevant and isolating the documented method break before reading growth across it.</x:v>
      </x:c>
      <x:c r="F246" s="28" t="str">
        <x:v>ما الذي يعنيه ذلك عند استخدام الدليل في القرار</x:v>
      </x:c>
      <x:c r="G246" s="28" t="str">
        <x:v>قد تتشوه خطوط أساس النمو والسيولة والوساطة عندما تتغير قيم الفترة نفسها بين نسخ النشر أو يتغير أساس التقييم. لذلك يعتمد التفسير على إظهار النسختين عند الحاجة وفصل أثر تغير المنهج الموثق قبل قراءة النمو عبر نقطة الانقطاع.</x:v>
      </x:c>
    </x:row>
    <x:row r="247">
      <x:c r="A247" s="24" t="str">
        <x:v>/readings/banking-jump-measurement-basis/</x:v>
      </x:c>
      <x:c r="B247" s="24" t="n">
        <x:v>7</x:v>
      </x:c>
      <x:c r="C247" s="24"/>
      <x:c r="D247" s="24" t="str">
        <x:v>What remains unknown</x:v>
      </x:c>
      <x:c r="E247" s="24" t="str">
        <x:v>The exact January-2023 circular and indicator-level accounting treatment for each affected balance-sheet line are not yet available in the evidence base for direct verification.</x:v>
      </x:c>
      <x:c r="F247" s="28" t="str">
        <x:v>ما الذي ما زلنا لا نعرفه</x:v>
      </x:c>
      <x:c r="G247" s="28" t="str">
        <x:v>لا يزال التعميم الدقيق لشهر يناير 2023 والمعالجة المحاسبية الخاصة بكل بند متأثر في الميزانية غير متاحين بصورة مكتملة في قاعدة الأدلة.</x:v>
      </x:c>
    </x:row>
    <x:row r="248">
      <x:c r="A248" s="24" t="str">
        <x:v>/readings/banking-jump-measurement-basis/</x:v>
      </x:c>
      <x:c r="B248" s="24" t="n">
        <x:v>8</x:v>
      </x:c>
      <x:c r="C248" s="24"/>
      <x:c r="D248" s="24" t="str">
        <x:v>What evidence would change the reading</x:v>
      </x:c>
      <x:c r="E248" s="24" t="str">
        <x:v>The exact circular and a line-by-line bridge from old to new valuation/reporting treatment would allow a defensible decomposition of restatement versus economic movement.</x:v>
      </x:c>
      <x:c r="F248" s="28" t="str">
        <x:v>ما الدليل الذي سيغير هذه القراءة</x:v>
      </x:c>
      <x:c r="G248" s="28" t="str">
        <x:v>سيسمح الحصول على التعميم الدقيق وجدول مطابقة بندًا ببند بين المعالجة القديمة والجديدة بفصل أثر إعادة العرض عن الحركة الاقتصادية بصورة يمكن الدفاع عنها.</x:v>
      </x:c>
    </x:row>
    <x:row r="249">
      <x:c r="A249" s="24" t="str">
        <x:v>/readings/banking-jump-measurement-basis/</x:v>
      </x:c>
      <x:c r="B249" s="24" t="n">
        <x:v>9</x:v>
      </x:c>
      <x:c r="C249" s="24"/>
      <x:c r="D249" s="24" t="str">
        <x:v>Trace the reading back to evidence</x:v>
      </x:c>
      <x:c r="E249" s="24" t="str">
        <x:v>Open the linked evidence records to check the definition, period, population or scope, source, derivation, limitations, evidence date and correction history behind each figure in this reading.</x:v>
      </x:c>
      <x:c r="F249" s="28" t="str">
        <x:v>تتبّع القراءة إلى أدلتها</x:v>
      </x:c>
      <x:c r="G249" s="28" t="str">
        <x:v>افتح الخلاصات وسجلات الأدلة المرتبطة لفحص التعريف والفترة والمجتمع أو النطاق والمصدر وطريقة الاشتقاق وشروط إعادة الاستخدام والحدود وحداثة الدليل وسجل التصحيح. وقارن الأدلة المختلفة من دون إجبارها على مقياس واحد.</x:v>
      </x:c>
    </x:row>
    <x:row r="250">
      <x:c r="A250" s="24" t="str">
        <x:v>/readings/define-what-you-count/</x:v>
      </x:c>
      <x:c r="B250" s="24" t="n">
        <x:v>2</x:v>
      </x:c>
      <x:c r="C250" s="24"/>
      <x:c r="D250" s="24" t="str">
        <x:v>What supports this reading</x:v>
      </x:c>
      <x:c r="E250" s="24" t="str">
        <x:v>Accounts and transactions are not unique people: Administrative accounts, e-wallet subscribers and payment transactions are not equivalent to unique people measured by Findex.
A project target counts access points under its own definition: The World Bank-financed Financial Market Infrastructure and Inclusion Project (FMIIP) sets a 2030 target of 1,021 access points against a January 2025 baseline of 817 under its own definition. That target cannot be added to or compared directly with counts of ATMs, POS terminals or agents until the project’s access-point taxonomy and deduplication rules are documented.
Raw case shares are not population estimates: World Bank variable pages expose raw sample case counts and percentages for the Yemen Findex file, but explicitly warn that those figures cannot be interpreted as summary statistics of the population of interest.</x:v>
      </x:c>
      <x:c r="F250" s="28" t="str">
        <x:v>ما الأدلة التي تسند هذه القراءة</x:v>
      </x:c>
      <x:c r="G250" s="28" t="str">
        <x:v>الحسابات والمعاملات لا تساوي أشخاصًا فريدين: لا تعادل الحسابات الإدارية ولا مشتركو المحافظ الإلكترونية ولا معاملات الدفع عدد الأشخاص الفريدين الذين تقيسهم بيانات المؤشر العالمي للشمول المالي (Global Findex).
مستهدف المشروع يعدّ نقاط الوصول وفق تعريفه الخاص: يحدد مشروع البنية التحتية للأسواق المالية والشمول المالي في اليمن (FMIIP) الممول من البنك الدولي مستهدفًا قدره 1,021 نقطة وصول في 2030 مقابل خط أساس قدره 817 نقطة في يناير 2025، وفق تعريفه الخاص. ولا يمكن جمع هذا المستهدف مع أعداد أجهزة الصراف الآلي أو نقاط البيع أو الوكلاء أو مقارنته بها مباشرة إلى أن يُوثَّق تصنيف المشروع لنقاط الوصول وقواعد إزالة الازدواج فيه.
نسب الحالات الخام ليست تقديرات للسكان: تعرض صفحات متغيرات البنك الدولي أعداد الحالات الخام ونسبها في ملف اليمن، لكنها تنبه صراحة إلى أن هذه القيم لا يجوز تفسيرها بوصفها إحصاءات موجزة للسكان محل الاهتمام.</x:v>
      </x:c>
    </x:row>
    <x:row r="251">
      <x:c r="A251" s="24" t="str">
        <x:v>/readings/define-what-you-count/</x:v>
      </x:c>
      <x:c r="B251" s="24" t="n">
        <x:v>3</x:v>
      </x:c>
      <x:c r="C251" s="24"/>
      <x:c r="D251" s="24" t="str">
        <x:v>What qualifies or complicates the reading</x:v>
      </x:c>
      <x:c r="E251" s="24" t="str">
        <x:v>The people-side benchmark has its own limits. The Yemen Global Findex 2021 study has 1,000 respondents, interviewed from 7 November 2022 to 9 January 2023, and population estimates require the survey weights. The wave excluded Al Baydaa, Al Jawf, Mareb, Sadah, Socotra and several districts elsewhere, areas the source says hold about 23% of the population, and more than a quarter of primary sampling units were replaced during fieldwork. A count of people from this survey is therefore itself limited by its coverage and weighting.</x:v>
      </x:c>
      <x:c r="F251" s="28" t="str">
        <x:v>ما الذي يقيّد هذه القراءة أو يعقّدها</x:v>
      </x:c>
      <x:c r="G251" s="28" t="str">
        <x:v>لقياس الأفراد نفسه حدوده. فدراسة Findex 2021 في اليمن تضم 1,000 مستجيب أُجريت مقابلاتهم من 7 نوفمبر 2022 إلى 9 يناير 2023، وتتطلب تقديرات السكان استخدام أوزان المسح. واستبعدت الموجة محافظات البيضاء والجوف ومأرب وصعدة وسقطرى وعددًا من المديريات في محافظات أخرى، وهي مناطق يذكر المصدر أنها تضم نحو 23% من السكان، واستُبدل أكثر من ربع وحدات المعاينة الأولية أثناء العمل الميداني. لذلك فإن أي عدد للأشخاص مستمد من هذا المسح مقيد هو أيضًا بتغطيته وأوزانه.</x:v>
      </x:c>
    </x:row>
    <x:row r="252">
      <x:c r="A252" s="24" t="str">
        <x:v>/readings/define-what-you-count/</x:v>
      </x:c>
      <x:c r="B252" s="24" t="n">
        <x:v>4</x:v>
      </x:c>
      <x:c r="C252" s="24"/>
      <x:c r="D252" s="24" t="str">
        <x:v>How this fits into the wider system</x:v>
      </x:c>
      <x:c r="E252" s="24" t="str">
        <x:v>Financial inclusion is observed through several measurement systems: population surveys count people; administrative systems count accounts, subscribers, devices and transactions; programmes count participants, outputs or targets. These objects can describe different parts of the same system without being convertible into one another. The semantic unit is therefore part of the result, not a footnote.</x:v>
      </x:c>
      <x:c r="F252" s="28" t="str">
        <x:v>كيف يرتبط ذلك بالمنظومة الأوسع</x:v>
      </x:c>
      <x:c r="G252" s="28" t="str">
        <x:v>يُقاس الشمول المالي عبر نظم مختلفة: المسوح السكانية تعد الأشخاص، والسجلات الإدارية تعد الحسابات والمشتركين والأجهزة والمعاملات، والبرامج تعد المشاركين أو المخرجات أو المستهدفات. ويمكن لهذه المقاييس أن تصف أجزاء مختلفة من المنظومة نفسها من دون أن تكون قابلة للتحويل بعضها إلى بعض. لذلك فإن وحدة القياس جزء من النتيجة وليست حاشية.</x:v>
      </x:c>
    </x:row>
    <x:row r="253">
      <x:c r="A253" s="24" t="str">
        <x:v>/readings/define-what-you-count/</x:v>
      </x:c>
      <x:c r="B253" s="24" t="n">
        <x:v>5</x:v>
      </x:c>
      <x:c r="C253" s="24"/>
      <x:c r="D253" s="24" t="str">
        <x:v>What the evidence does not establish</x:v>
      </x:c>
      <x:c r="E253" s="24" t="str">
        <x:v>The evidence provides no conversion from accounts or terminals to unique people. Accounts, active accounts, subscribers, wallets, terminals and transactions cannot be converted into unique people, and a target cannot be compared with a result whose unit, population or activity definition differs.</x:v>
      </x:c>
      <x:c r="F253" s="28" t="str">
        <x:v>ما الذي لا تثبته الأدلة</x:v>
      </x:c>
      <x:c r="G253" s="28" t="str">
        <x:v>لا توفر القراءة معاملًا لتحويل الحسابات أو الأجهزة إلى أشخاص مشمولين فريدين. لا تُحوَّل الحسابات أو الحسابات النشطة أو المشتركون أو المحافظ الإلكترونية أو الأجهزة أو المعاملات إلى أشخاص فريدين، ولا يُقارن مستهدف بنتيجة إذا اختلفت الوحدة أو المجتمع الذي ينطبق عليه الرقم أو تعريف النشاط.</x:v>
      </x:c>
    </x:row>
    <x:row r="254">
      <x:c r="A254" s="24" t="str">
        <x:v>/readings/define-what-you-count/</x:v>
      </x:c>
      <x:c r="B254" s="24" t="n">
        <x:v>6</x:v>
      </x:c>
      <x:c r="C254" s="24"/>
      <x:c r="D254" s="24" t="str">
        <x:v>Implication for decision use</x:v>
      </x:c>
      <x:c r="E254" s="24" t="str">
        <x:v>A baseline, target or monitoring indicator is interpretable only when the counted object, applicable population or administrative universe, activity window where relevant, deduplication rule, period, source and update method are explicit. A target stated in people and a result stated in accounts are not comparable without a documented person-level crosswalk.</x:v>
      </x:c>
      <x:c r="F254" s="28" t="str">
        <x:v>ما الذي يعنيه ذلك عند استخدام الدليل في القرار</x:v>
      </x:c>
      <x:c r="G254" s="28" t="str">
        <x:v>لا يكون خط الأساس أو المستهدف أو مؤشر المتابعة قابلًا للتفسير إلا إذا كان ما يجري عده، والمجتمع السكاني أو الإداري الذي ينطبق عليه الرقم، وفترة النشاط عند الحاجة، وقاعدة إزالة التكرار، والفترة، والمصدر، وطريقة التحديث واضحة. وإذا كان المستهدف أشخاصًا والنتيجة حسابات، فلا تكون المقارنة صالحة من دون مطابقة موثقة على مستوى الأشخاص.</x:v>
      </x:c>
    </x:row>
    <x:row r="255">
      <x:c r="A255" s="24" t="str">
        <x:v>/readings/define-what-you-count/</x:v>
      </x:c>
      <x:c r="B255" s="24" t="n">
        <x:v>7</x:v>
      </x:c>
      <x:c r="C255" s="24"/>
      <x:c r="D255" s="24" t="str">
        <x:v>What remains unknown</x:v>
      </x:c>
      <x:c r="E255" s="24" t="str">
        <x:v>For several administrative metrics, this resource does not yet have the deduplication and activity-window information needed to translate object counts into unique active people.</x:v>
      </x:c>
      <x:c r="F255" s="28" t="str">
        <x:v>ما الذي ما زلنا لا نعرفه</x:v>
      </x:c>
      <x:c r="G255" s="28" t="str">
        <x:v>لا تتوفر بعد، لعدد من المؤشرات الإدارية، قواعد إزالة التكرار وفترات تعريف النشاط اللازمة لتحويل هذه الأعداد إلى أشخاص فريدين نشطين.</x:v>
      </x:c>
    </x:row>
    <x:row r="256">
      <x:c r="A256" s="24" t="str">
        <x:v>/readings/define-what-you-count/</x:v>
      </x:c>
      <x:c r="B256" s="24" t="n">
        <x:v>8</x:v>
      </x:c>
      <x:c r="C256" s="24"/>
      <x:c r="D256" s="24" t="str">
        <x:v>What evidence would change the reading</x:v>
      </x:c>
      <x:c r="E256" s="24" t="str">
        <x:v>Metric-specific definitions, activity windows, deduplication rules and target/result metadata would make programme and institutional indicators more comparable without pretending that unlike objects are the same.</x:v>
      </x:c>
      <x:c r="F256" s="28" t="str">
        <x:v>ما الدليل الذي سيغير هذه القراءة</x:v>
      </x:c>
      <x:c r="G256" s="28" t="str">
        <x:v>ستجعل التعريفات الخاصة بكل مؤشر وفترات النشاط وقواعد إزالة التكرار وبيانات المستهدف والنتيجة مؤشرات البرامج والمؤسسات أكثر قابلية للمقارنة من دون مساواة أشياء مختلفة.</x:v>
      </x:c>
    </x:row>
    <x:row r="257">
      <x:c r="A257" s="24" t="str">
        <x:v>/readings/define-what-you-count/</x:v>
      </x:c>
      <x:c r="B257" s="24" t="n">
        <x:v>9</x:v>
      </x:c>
      <x:c r="C257" s="24"/>
      <x:c r="D257" s="24" t="str">
        <x:v>Trace the reading back to evidence</x:v>
      </x:c>
      <x:c r="E257" s="24" t="str">
        <x:v>Open the linked evidence records to check the definition, period, population or scope, source, derivation, limitations, evidence date and correction history behind each figure in this reading.</x:v>
      </x:c>
      <x:c r="F257" s="28" t="str">
        <x:v>تتبّع القراءة إلى أدلتها</x:v>
      </x:c>
      <x:c r="G257" s="28" t="str">
        <x:v>افتح الخلاصات وسجلات الأدلة المرتبطة لفحص التعريف والفترة والمجتمع أو النطاق والمصدر وطريقة الاشتقاق وشروط إعادة الاستخدام والحدود وحداثة الدليل وسجل التصحيح. وقارن الأدلة المختلفة من دون إجبارها على مقياس واحد.</x:v>
      </x:c>
    </x:row>
    <x:row r="258">
      <x:c r="A258" s="24" t="str">
        <x:v>/readings/digital-workaround-not-yet-durable-inclusion/</x:v>
      </x:c>
      <x:c r="B258" s="24" t="n">
        <x:v>2</x:v>
      </x:c>
      <x:c r="C258" s="24"/>
      <x:c r="D258" s="24" t="str">
        <x:v>What supports this reading</x:v>
      </x:c>
      <x:c r="E258" s="24" t="str">
        <x:v>807,919 accounts did not mean 807,919 active people: Within the five-provider study by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
Most recorded 2019 e-money value still revolved around cash and account transfers: CauseWay's reproducible grouping of IBS Table 8 indicates that 57.03% of recorded 2019 e-money transaction value was cash-in/cash-out and 29.97% was movement between bank and electronic accounts; bills and purchases together were 2.41%. The grouping is CauseWay-derived, not a source-native headline.
Historical provider data show concentration in cities and low female representation: IBS reports that, within its 2016–2019 provider evidence, electronic-money accounts/users were concentrated in cities at an average 93.8% and women represented about 13% on average. These are historical distributions within the study’s providers, not current national prevalence or a local access map.</x:v>
      </x:c>
      <x:c r="F258" s="28" t="str">
        <x:v>ما الأدلة التي تسند هذه القراءة</x:v>
      </x:c>
      <x:c r="G258" s="28" t="str">
        <x:v>807,919 حسابًا لا تعني 807,919 شخصًا نشطًا: ضمن نطاق دراسة معهد الدراسات المصرفية (IBS) التي شملت خمسة من مقدمي خدمات النقود الإلكترونية،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مستدامًا.
معظم قيمة معاملات النقود الإلكترونية المسجلة في 2019 ظلت تدور حول النقد والتحويل بين الحسابات: يشير تجميع CauseWay القابل لإعادة الإنتاج لجدول 8 في دراسة المعهد إلى أن نحو 57.03% من قيمة معاملات النقود الإلكترونية المسجلة في 2019 كانت إيداعًا/سحبًا نقديًا، ونحو 29.97% انتقالًا بين الحساب المصرفي والحساب الإلكتروني، بينما بلغت الفواتير والمشتريات معًا نحو 2.41%. هذا تجميع مشتق من CauseWay، وليس عنوانًا رقميًا أصليًا في المصدر.
تُظهر بيانات المزودين التاريخية تمركزًا في المدن وتمثيلًا نسائيًا منخفضًا: تفيد دراسة معهد الدراسات المصرفية بأن بيانات مقدمي خدمات النقود الإلكترونية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row>
    <x:row r="259">
      <x:c r="A259" s="24" t="str">
        <x:v>/readings/digital-workaround-not-yet-durable-inclusion/</x:v>
      </x:c>
      <x:c r="B259" s="24" t="n">
        <x:v>3</x:v>
      </x:c>
      <x:c r="C259" s="24"/>
      <x:c r="D259" s="24" t="str">
        <x:v>What qualifies or complicates the reading</x:v>
      </x:c>
      <x:c r="E259" s="24" t="str">
        <x:v>All of these figures come from one IBS study of five e-money providers covering 2016–2019. The 23% dormant or inactive share is an average across the study, not a rate for any one provider or for a later period. The transaction-value breakdown measures value by type of transaction; it counts neither users nor merchants, and the grouping into functions is this resource’s own, not the source’s. The study’s provider data cannot be compared with Findex survey measures without a bridge between their populations and methods.</x:v>
      </x:c>
      <x:c r="F259" s="28" t="str">
        <x:v>ما الذي يقيّد هذه القراءة أو يعقّدها</x:v>
      </x:c>
      <x:c r="G259" s="28" t="str">
        <x:v>تأتي كل هذه الأرقام من دراسة واحدة لمعهد الدراسات المصرفية (IBS) شملت خمسة من مقدمي خدمات النقود الإلكترونية وغطت 2016–2019. ونسبة 23% للحسابات الخاملة أو غير النشطة متوسط على مستوى الدراسة، لا معدل لأي مقدم خدمة بعينه ولا لفترة لاحقة. ويقيس توزيع قيمة المعاملات القيمةَ بحسب نوع المعاملة، فلا يعدّ المستخدمين ولا التجار، وتجميعها في وظائف من إعداد هذا المورد لا من المصدر. ولا يمكن مقارنة بيانات مقدمي الخدمة في الدراسة بمقاييس مسح Findex من دون جسر يربط بين مجتمعيهما ومنهجيهما.</x:v>
      </x:c>
    </x:row>
    <x:row r="260">
      <x:c r="A260" s="24" t="str">
        <x:v>/readings/digital-workaround-not-yet-durable-inclusion/</x:v>
      </x:c>
      <x:c r="B260" s="24" t="n">
        <x:v>4</x:v>
      </x:c>
      <x:c r="C260" s="24"/>
      <x:c r="D260" s="24" t="str">
        <x:v>How this fits into the wider system</x:v>
      </x:c>
      <x:c r="E260" s="24" t="str">
        <x:v>Digital finance can reduce transaction frictions and remain economically useful even when adoption is episodic, imposed by circumstances or closely tied to cash conversion. The inclusion question is therefore not whether digital accounts or transactions exist, but whether people can and choose to use services repeatedly, for functions that matter to them, with acceptable quality and protection.</x:v>
      </x:c>
      <x:c r="F260" s="28" t="str">
        <x:v>كيف يرتبط ذلك بالمنظومة الأوسع</x:v>
      </x:c>
      <x:c r="G260" s="28" t="str">
        <x:v>قد تقلل الخدمات المالية الرقمية كلفة المعاملة وتؤدي وظيفة اقتصادية مهمة حتى عندما يكون الاستخدام متقطعًا أو مفروضًا بالظروف أو مرتبطًا بقوة بالتحويل من النقد وإليه. لذلك لا يقتصر سؤال الشمول على وجود حسابات أو معاملات رقمية، بل يتعلق بقدرة الناس على استخدام الخدمة واختيارهم لها بصورة متكررة ولأغراض مهمة لهم وبجودة وحماية مقبولتين.</x:v>
      </x:c>
    </x:row>
    <x:row r="261">
      <x:c r="A261" s="24" t="str">
        <x:v>/readings/digital-workaround-not-yet-durable-inclusion/</x:v>
      </x:c>
      <x:c r="B261" s="24" t="n">
        <x:v>5</x:v>
      </x:c>
      <x:c r="C261" s="24"/>
      <x:c r="D261" s="24" t="str">
        <x:v>What the evidence does not establish</x:v>
      </x:c>
      <x:c r="E261" s="24" t="str">
        <x:v>The evidence does not show that digital finance lacked value, or that behaviour after 2019 matches the 2019 pattern. Registrations, accounts, one-time use, transaction growth and infrastructure expansion do not prove unique, repeat, voluntary or durable financial use.</x:v>
      </x:c>
      <x:c r="F261" s="28" t="str">
        <x:v>ما الذي لا تثبته الأدلة</x:v>
      </x:c>
      <x:c r="G261" s="28" t="str">
        <x:v>لا تعني الأدلة أن التمويل الرقمي بلا قيمة، ولا أن السلوك بعد 2019 يطابق نمط 2019. لا تثبت التسجيلات أو الحسابات أو الاستخدام لمرة واحدة أو نمو المعاملات أو توسع البنية استخدامًا فريدًا أو متكررًا أو طوعيًا أو مستدامًا.</x:v>
      </x:c>
    </x:row>
    <x:row r="262">
      <x:c r="A262" s="24" t="str">
        <x:v>/readings/digital-workaround-not-yet-durable-inclusion/</x:v>
      </x:c>
      <x:c r="B262" s="24" t="n">
        <x:v>6</x:v>
      </x:c>
      <x:c r="C262" s="24"/>
      <x:c r="D262" s="24" t="str">
        <x:v>Implication for decision use</x:v>
      </x:c>
      <x:c r="E262" s="24" t="str">
        <x:v>Registration alone does not establish durable digital use. Evidence on activity persistence, use-case mix, consumer experience and merchant/payment behaviour is needed to distinguish temporary or one-off activity from sustained use. Historical patterns help specify current measurement needs; they do not estimate the 2026 market.</x:v>
      </x:c>
      <x:c r="F262" s="28" t="str">
        <x:v>ما الذي يعنيه ذلك عند استخدام الدليل في القرار</x:v>
      </x:c>
      <x:c r="G262" s="28" t="str">
        <x:v>لا يثبت التسجيل وحده استخدامًا رقميًا مستدامًا. ويلزم دليل عن استمرار النشاط، وتنوع أغراض الاستخدام، وتجربة المستهلك، وسلوك الدفع لدى التجار للتمييز بين النشاط المؤقت أو لمرة واحدة والاستخدام المستمر. وتساعد الأنماط التاريخية على تحديد احتياجات القياس الحالية، لكنها لا تقدّر سوق 2026.</x:v>
      </x:c>
    </x:row>
    <x:row r="263">
      <x:c r="A263" s="24" t="str">
        <x:v>/readings/digital-workaround-not-yet-durable-inclusion/</x:v>
      </x:c>
      <x:c r="B263" s="24" t="n">
        <x:v>7</x:v>
      </x:c>
      <x:c r="C263" s="24"/>
      <x:c r="D263" s="24" t="str">
        <x:v>What remains unknown</x:v>
      </x:c>
      <x:c r="E263" s="24" t="str">
        <x:v>This resource lacks a current nationally comparable measure of persistent e-wallet/account use, unique active users and the contemporary transaction-use mix.</x:v>
      </x:c>
      <x:c r="F263" s="28" t="str">
        <x:v>ما الذي ما زلنا لا نعرفه</x:v>
      </x:c>
      <x:c r="G263" s="28" t="str">
        <x:v>لا تتوفر في قاعدة الأدلة حاليًا قياسات وطنية قابلة للمقارنة لاستمرار استخدام المحافظ الإلكترونية أو الحسابات، أو عدد المستخدمين النشطين الفريدين، أو تركيبة الاستخدام الحالية للمعاملات.</x:v>
      </x:c>
    </x:row>
    <x:row r="264">
      <x:c r="A264" s="24" t="str">
        <x:v>/readings/digital-workaround-not-yet-durable-inclusion/</x:v>
      </x:c>
      <x:c r="B264" s="24" t="n">
        <x:v>8</x:v>
      </x:c>
      <x:c r="C264" s="24"/>
      <x:c r="D264" s="24" t="str">
        <x:v>What evidence would change the reading</x:v>
      </x:c>
      <x:c r="E264" s="24" t="str">
        <x:v>Current provider data with deduplicated active-user definitions, activity windows and use-case categories—paired where possible with demand-side experience—would show whether digital activity is becoming durable use.</x:v>
      </x:c>
      <x:c r="F264" s="28" t="str">
        <x:v>ما الدليل الذي سيغير هذه القراءة</x:v>
      </x:c>
      <x:c r="G264" s="28" t="str">
        <x:v>ستوضح بيانات حديثة من مقدمي الخدمة تتضمن تعريفًا غير مكرر للمستخدم النشط وفترة النشاط وفئات الاستخدام، مع ربطها قدر الإمكان بتجربة المستخدم من جانب الطلب، ما إذا كان النشاط الرقمي يتحول إلى استخدام مستدام.</x:v>
      </x:c>
    </x:row>
    <x:row r="265">
      <x:c r="A265" s="24" t="str">
        <x:v>/readings/digital-workaround-not-yet-durable-inclusion/</x:v>
      </x:c>
      <x:c r="B265" s="24" t="n">
        <x:v>9</x:v>
      </x:c>
      <x:c r="C265" s="24"/>
      <x:c r="D265" s="24" t="str">
        <x:v>Trace the reading back to evidence</x:v>
      </x:c>
      <x:c r="E265" s="24" t="str">
        <x:v>Open the linked evidence records to check the definition, period, population or scope, source, derivation, limitations, evidence date and correction history behind each figure in this reading.</x:v>
      </x:c>
      <x:c r="F265" s="28" t="str">
        <x:v>تتبّع القراءة إلى أدلتها</x:v>
      </x:c>
      <x:c r="G265" s="28" t="str">
        <x:v>افتح الخلاصات وسجلات الأدلة المرتبطة لفحص التعريف والفترة والمجتمع أو النطاق والمصدر وطريقة الاشتقاق وشروط إعادة الاستخدام والحدود وحداثة الدليل وسجل التصحيح. وقارن الأدلة المختلفة من دون إجبارها على مقياس واحد.</x:v>
      </x:c>
    </x:row>
    <x:row r="266">
      <x:c r="A266" s="24" t="str">
        <x:v>/readings/finance-constraint-different-questions/</x:v>
      </x:c>
      <x:c r="B266" s="24" t="n">
        <x:v>2</x:v>
      </x:c>
      <x:c r="C266" s="24"/>
      <x:c r="D266" s="24" t="str">
        <x:v>What supports this reading</x:v>
      </x:c>
      <x:c r="E266" s="24" t="str">
        <x:v>Finance was not the most frequently cited constraint in this survey: In the 2022 seven-governorate custom firm survey, electricity and fuel shortages were reported more often as business challenges than access to finance.
Finance severity within a specific denominator: Among the firms in the report's finance-obstacle tabulation, which excludes firms that said they did not need a loan, major plus moderate finance obstacles sum to 91.84%.
The SMEPS financial-services KPI is a programme result, not a national MSME rate: SMEPS's 2024 Annual Report reports that 19% of supported MSMEs accessed financial services in 2024, while the 2021–2024 total achieved is 15% against a 40% programme target. The table does not fully specify the metric-specific assessment base or operational definition of 'accessed financial services'. The KPI is therefore interpretable only within its programme universe, with that limitation visible; it is not a national MSME access rate.</x:v>
      </x:c>
      <x:c r="F266" s="28" t="str">
        <x:v>ما الأدلة التي تسند هذه القراءة</x:v>
      </x:c>
      <x:c r="G266" s="28" t="str">
        <x:v>التمويل ليس التحدي الأكثر ذكرًا في هذا المسح: في المسح المخصص للمنشآت الذي غطى سبع محافظات عام 2022، ذُكرت أزمتا الكهرباء والوقود كتحديين للأعمال بوتيرة أعلى من الوصول إلى التمويل.
شدة قيد التمويل ضمن قاعدة قياس محددة: ضمن المنشآت التي شملها جدول عوائق التمويل في التقرير، بعد استبعاد المنشآت التي قالت إنها لا تحتاج إلى قرض، بلغت نسبة من صنفوا عوائق التمويل كبيرة أو متوسطة 91.84%.
مؤشر SMEPS للوصول إلى الخدمات المالية نتيجة برنامجية، لا معدل وطني للمنشآت: يورد التقرير السنوي 2024 لوكالة SMEPS أن 19% من المنشآت التي دعمها البرنامج «وصلت إلى خدمات مالية» في 2024، وأن النتيجة الإجمالية المحققة للفترة 2021–2024 بلغت 15% مقابل مستهدف برامجي قدره 40%. ولا يوضح جدول المؤشرات بصورة كاملة قاعدة القياس الخاصة بهذا المؤشر أو التعريف التشغيلي لعبارة «الوصول إلى خدمات مالية». ولذلك تُفهم النسبة داخل نطاق البرنامج فقط، مع إبقاء هذا القيد ظاهرًا؛ ولا تمثل معدلًا وطنيًا لوصول المنشآت إلى الخدمات المالية.</x:v>
      </x:c>
    </x:row>
    <x:row r="267">
      <x:c r="A267" s="24" t="str">
        <x:v>/readings/finance-constraint-different-questions/</x:v>
      </x:c>
      <x:c r="B267" s="24" t="n">
        <x:v>3</x:v>
      </x:c>
      <x:c r="C267" s="24"/>
      <x:c r="D267" s="24" t="str">
        <x:v>What qualifies or complicates the reading</x:v>
      </x:c>
      <x:c r="E267" s="24" t="str">
        <x:v>The survey covers formal firms in seven selected governorates and is not national. Firms could name more than one challenge, so the shares add up to more than 100%, and the base for the challenge question is not recorded in the evidence base. The 91.84% comes from a filtered table that leaves out firms that said they did not need a loan. The SMEPS indicator counts only firms the programme supported, its assessment base is not fully documented, and 40% is a target, not a result.</x:v>
      </x:c>
      <x:c r="F267" s="28" t="str">
        <x:v>ما الذي يقيّد هذه القراءة أو يعقّدها</x:v>
      </x:c>
      <x:c r="G267" s="28" t="str">
        <x:v>يغطي المسح المنشآت الرسمية في سبع محافظات مختارة، وليس مسحًا وطنيًا. وكان بإمكان المنشآت ذكر أكثر من تحدٍّ واحد، ولذلك يتجاوز مجموع النسب 100%، ولا تسجل قاعدة الأدلة الأساس الذي حُسبت عليه نسب سؤال التحديات. وتأتي نسبة 91.84% من جدول مصفّى يستبعد المنشآت التي قالت إنها لا تحتاج إلى قرض. أما مؤشر SMEPS فلا يعدّ إلا المنشآت التي دعمها البرنامج، وقاعدة تقييمه غير موثقة بالكامل، ونسبة 40% مستهدف لا نتيجة.</x:v>
      </x:c>
    </x:row>
    <x:row r="268">
      <x:c r="A268" s="24" t="str">
        <x:v>/readings/finance-constraint-different-questions/</x:v>
      </x:c>
      <x:c r="B268" s="24" t="n">
        <x:v>4</x:v>
      </x:c>
      <x:c r="C268" s="24"/>
      <x:c r="D268" s="24" t="str">
        <x:v>How this fits into the wider system</x:v>
      </x:c>
      <x:c r="E268" s="24" t="str">
        <x:v>Business finance sits inside a wider operating environment. A general business-constraint question asks what firms name among many frictions; a finance-severity question asks how severe finance is within a filtered group; a programme KPI asks what happened among supported firms. These are complementary lenses, not competing estimates of one national rate.</x:v>
      </x:c>
      <x:c r="F268" s="28" t="str">
        <x:v>كيف يرتبط ذلك بالمنظومة الأوسع</x:v>
      </x:c>
      <x:c r="G268" s="28" t="str">
        <x:v>يقع تمويل المنشآت داخل بيئة تشغيل أوسع. فسؤال التحديات العامة يسأل ما الذي تذكره المنشآت بين عدة عوائق، بينما يسأل مؤشر شدة التمويل عن درجة القيد داخل فئة محددة، ويصف المؤشر البرامجي ما حدث داخل المنشآت التي دعمها البرنامج. هذه عدسات متكاملة وليست تقديرات متنافسة لمعدل وطني واحد.</x:v>
      </x:c>
    </x:row>
    <x:row r="269">
      <x:c r="A269" s="24" t="str">
        <x:v>/readings/finance-constraint-different-questions/</x:v>
      </x:c>
      <x:c r="B269" s="24" t="n">
        <x:v>5</x:v>
      </x:c>
      <x:c r="C269" s="24"/>
      <x:c r="D269" s="24" t="str">
        <x:v>What the evidence does not establish</x:v>
      </x:c>
      <x:c r="E269" s="24" t="str">
        <x:v>The evidence does not make 91.84% a share of all Yemeni firms, and the SMEPS 19% programme indicator is not a national MSME access rate or a causal programme effect. The 22% general-business-challenge share and the 91.84% finance-severity result do not share a question or denominator, and the seven-governorate survey does not describe all Yemeni firms.</x:v>
      </x:c>
      <x:c r="F269" s="28" t="str">
        <x:v>ما الذي لا تثبته الأدلة</x:v>
      </x:c>
      <x:c r="G269" s="28" t="str">
        <x:v>لا تجعل القراءة مسح المحافظات السبع ممثلًا وطنيًا، ولا يُعمَّم إطاره على جميع منشآت اليمن؛ ولا تحوّل نسبة 91.84% إلى حصة من جميع المنشآت، ولا تحوّل مؤشر وكالة SMEPS البالغ 19% إلى معدل وطني لوصول المنشآت الأصغر والصغيرة والمتوسطة إلى الخدمات المالية أو إلى أثر سببي للبرنامج. ولا تُقارن نسبة 22% للتحديات العامة للأعمال بنتيجة 91.84% لشدة عائق التمويل كما لو كانتا تجيبان عن السؤال نفسه أو تستخدمان قاعدة الاحتساب نفسها.</x:v>
      </x:c>
    </x:row>
    <x:row r="270">
      <x:c r="A270" s="24" t="str">
        <x:v>/readings/finance-constraint-different-questions/</x:v>
      </x:c>
      <x:c r="B270" s="24" t="n">
        <x:v>6</x:v>
      </x:c>
      <x:c r="C270" s="24"/>
      <x:c r="D270" s="24" t="str">
        <x:v>Implication for decision use</x:v>
      </x:c>
      <x:c r="E270" s="24" t="str">
        <x:v>The enterprise-finance evidence is most interpretable when the full journey—need, application, approval or rejection, amount, terms, source, use and repayment pressure—is kept distinct from infrastructure, fuel, transport and other constraints. Programme KPIs can inform programme performance, but they do not become national rates.</x:v>
      </x:c>
      <x:c r="F270" s="28" t="str">
        <x:v>ما الذي يعنيه ذلك عند استخدام الدليل في القرار</x:v>
      </x:c>
      <x:c r="G270" s="28" t="str">
        <x:v>تكون أدلة تمويل المنشآت قابلة للتفسير عندما يبقى المسار الكامل — الحاجة، والتقديم، والموافقة أو الرفض، والمبلغ، والشروط، والمصدر، والاستخدام، وضغوط السداد — متميزًا عن قيود الكهرباء والوقود والنقل وغيرها. ويمكن لمؤشرات البرامج أن تفيد في فهم أداء البرنامج، لكنها لا تتحول إلى معدلات وطنية.</x:v>
      </x:c>
    </x:row>
    <x:row r="271">
      <x:c r="A271" s="24" t="str">
        <x:v>/readings/finance-constraint-different-questions/</x:v>
      </x:c>
      <x:c r="B271" s="24" t="n">
        <x:v>7</x:v>
      </x:c>
      <x:c r="C271" s="24"/>
      <x:c r="D271" s="24" t="str">
        <x:v>What remains unknown</x:v>
      </x:c>
      <x:c r="E271" s="24" t="str">
        <x:v>Yemen lacks a current representative national MSME finance journey with question-level denominators and comparable application, approval, terms and outcome measures. The SMEPS finance-access KPI also needs metric-specific assessment-base clarification.</x:v>
      </x:c>
      <x:c r="F271" s="28" t="str">
        <x:v>ما الذي ما زلنا لا نعرفه</x:v>
      </x:c>
      <x:c r="G271" s="28" t="str">
        <x:v>يفتقر اليمن إلى قياس وطني حالي وممثل لمسار تمويل المنشآت يتضمن قواعد احتساب واضحة لكل سؤال ومؤشرات قابلة للمقارنة للتقديم والموافقة والشروط والنتائج. كما يحتاج مؤشر SMEPS الخاص بالوصول المالي إلى توضيح قاعدة القياس الخاصة به.</x:v>
      </x:c>
    </x:row>
    <x:row r="272">
      <x:c r="A272" s="24" t="str">
        <x:v>/readings/finance-constraint-different-questions/</x:v>
      </x:c>
      <x:c r="B272" s="24" t="n">
        <x:v>8</x:v>
      </x:c>
      <x:c r="C272" s="24"/>
      <x:c r="D272" s="24" t="str">
        <x:v>What evidence would change the reading</x:v>
      </x:c>
      <x:c r="E272" s="24" t="str">
        <x:v>A representative MSME finance survey plus validated administrative/programme definitions would distinguish prevalence, severity, actual credit journeys and programme delivery without collapsing them into one number.</x:v>
      </x:c>
      <x:c r="F272" s="28" t="str">
        <x:v>ما الدليل الذي سيغير هذه القراءة</x:v>
      </x:c>
      <x:c r="G272" s="28" t="str">
        <x:v>سيسمح مسح ممثل لتمويل المنشآت الأصغر والصغيرة والمتوسطة، إلى جانب تعريفات إدارية وبرامجية موثقة، بالفصل بين الانتشار والشدة ومسار الحصول على الائتمان وتنفيذ البرامج من دون اختزالها في رقم واحد.</x:v>
      </x:c>
    </x:row>
    <x:row r="273">
      <x:c r="A273" s="24" t="str">
        <x:v>/readings/finance-constraint-different-questions/</x:v>
      </x:c>
      <x:c r="B273" s="24" t="n">
        <x:v>9</x:v>
      </x:c>
      <x:c r="C273" s="24"/>
      <x:c r="D273" s="24" t="str">
        <x:v>Trace the reading back to evidence</x:v>
      </x:c>
      <x:c r="E273" s="24" t="str">
        <x:v>Open the linked evidence records to check the definition, period, population or scope, source, derivation, limitations, evidence date and correction history behind each figure in this reading.</x:v>
      </x:c>
      <x:c r="F273" s="28" t="str">
        <x:v>تتبّع القراءة إلى أدلتها</x:v>
      </x:c>
      <x:c r="G273" s="28" t="str">
        <x:v>افتح الخلاصات وسجلات الأدلة المرتبطة لفحص التعريف والفترة والمجتمع أو النطاق والمصدر وطريقة الاشتقاق وشروط إعادة الاستخدام والحدود وحداثة الدليل وسجل التصحيح. وقارن الأدلة المختلفة من دون إجبارها على مقياس واحد.</x:v>
      </x:c>
    </x:row>
    <x:row r="274">
      <x:c r="A274" s="24" t="str">
        <x:v>/readings/from-rail-to-result-missing-middle/</x:v>
      </x:c>
      <x:c r="B274" s="24" t="n">
        <x:v>2</x:v>
      </x:c>
      <x:c r="C274" s="24"/>
      <x:c r="D274" s="24" t="str">
        <x:v>What supports this reading</x:v>
      </x:c>
      <x:c r="E274" s="24" t="str">
        <x:v>POS infrastructure expanded: POS terminals reported by the Central Bank of Yemen – Aden (CBY-Aden) increased from 561 in March 2025 to 1,473 in January 2026.
Accounts and transactions are not unique people: Administrative accounts, e-wallet subscribers and payment transactions are not equivalent to unique people measured by Findex.
Institutional progress is not operation or outcome: During June–August 2026, official CBY-Aden records show further institution-building in the payment architecture through unified-network integration work and the establishment and governance of the Yemeni Payments and Clearing Company (YPCC); operational usage and inclusion outcomes remain separate evidence questions.</x:v>
      </x:c>
      <x:c r="F274" s="28" t="str">
        <x:v>ما الأدلة التي تسند هذه القراءة</x:v>
      </x:c>
      <x:c r="G274" s="28" t="str">
        <x:v>توسع البنية التحتية لنقاط البيع: ارتفع عدد أجهزة نقاط البيع الذي يُبلغ عنه البنك المركزي اليمني – عدن من 561 جهازًا في مارس 2025 إلى 1,473 جهازًا في يناير 2026.
الحسابات والمعاملات لا تساوي أشخاصًا فريدين: لا تعادل الحسابات الإدارية ولا مشتركو المحافظ الإلكترونية ولا معاملات الدفع عدد الأشخاص الفريدين الذين تقيسهم بيانات المؤشر العالمي للشمول المالي (Global Findex).
تقدم مؤسسي لا يساوي تشغيلًا أو أثرًا: تُظهر السجلات الرسمية للبنك المركزي في عدن خلال يونيو–أغسطس 2026 تقدمًا إضافيًا في إضفاء الطابع المؤسسي على بنية المدفوعات، بما في ذلك أعمال تكامل الشبكة الموحدة وإنشاء الشركة اليمنية للمدفوعات والمقاصة وحوكمتها. ويبقى الاستخدام التشغيلي ونتائج الشمول سؤالين منفصلين.</x:v>
      </x:c>
    </x:row>
    <x:row r="275">
      <x:c r="A275" s="24" t="str">
        <x:v>/readings/from-rail-to-result-missing-middle/</x:v>
      </x:c>
      <x:c r="B275" s="24" t="n">
        <x:v>3</x:v>
      </x:c>
      <x:c r="C275" s="24"/>
      <x:c r="D275" s="24" t="str">
        <x:v>What qualifies or complicates the reading</x:v>
      </x:c>
      <x:c r="E275" s="24" t="str">
        <x:v>The POS series is a count within the reporting scope of the Central Bank of Yemen – Aden (CBY-Aden); how far that scope covers each area of Yemen is not established, and some monthly releases show differences between displayed growth percentages and the raw totals. January 2026 was the latest monthly release on the CBY-Aden payments page as checked on 26 September 2026. The 2026 records document institutional and project steps only; they contain no measure of go-live, participation, reliability, adoption or transaction coverage.</x:v>
      </x:c>
      <x:c r="F275" s="28" t="str">
        <x:v>ما الذي يقيّد هذه القراءة أو يعقّدها</x:v>
      </x:c>
      <x:c r="G275" s="28" t="str">
        <x:v>سلسلة نقاط البيع عدٌّ ضمن نطاق الإبلاغ لدى البنك المركزي اليمني – عدن، ولم يثبت مدى تغطية هذا النطاق لكل منطقة في اليمن، كما تُظهر بعض الإصدارات الشهرية فروقًا بين نسب النمو المعروضة والإجماليات الخام. وكان يناير 2026 أحدث إصدار شهري في صفحة المدفوعات لدى البنك المركزي في عدن كما اطُّلع عليها في 26 سبتمبر 2026. أما سجلات 2026 فتوثق خطوات مؤسسية وخطوات مشروعات فقط، ولا تتضمن أي قياس لبدء التشغيل أو المشاركة أو الموثوقية أو التبني أو تغطية المعاملات.</x:v>
      </x:c>
    </x:row>
    <x:row r="276">
      <x:c r="A276" s="24" t="str">
        <x:v>/readings/from-rail-to-result-missing-middle/</x:v>
      </x:c>
      <x:c r="B276" s="24" t="n">
        <x:v>4</x:v>
      </x:c>
      <x:c r="C276" s="24"/>
      <x:c r="D276" s="24" t="str">
        <x:v>How this fits into the wider system</x:v>
      </x:c>
      <x:c r="E276" s="24" t="str">
        <x:v>A reform or payment rail can be real and important before its inclusion outcome is known. The transmission chain moves through distinct states: rule or programme, implementation, operation, access, use, service quality and outcome. Monitoring becomes misleading when success at one state is relabelled as success at a later state.</x:v>
      </x:c>
      <x:c r="F276" s="28" t="str">
        <x:v>كيف يرتبط ذلك بالمنظومة الأوسع</x:v>
      </x:c>
      <x:c r="G276" s="28" t="str">
        <x:v>قد يكون الإصلاح أو نظام الدفع قائمًا ومهمًا قبل أن تُعرف نتيجته على الشمول. تنتقل السلسلة عبر مراحل مختلفة: قاعدة تنظيمية أو برنامج، ثم تنفيذ، ثم تشغيل، ثم وصول، ثم استخدام، ثم جودة خدمة، ثم نتيجة. وتصبح المتابعة مضللة عندما يُعاد وصف النجاح في مرحلة على أنه نجاح في مرحلة لاحقة.</x:v>
      </x:c>
    </x:row>
    <x:row r="277">
      <x:c r="A277" s="24" t="str">
        <x:v>/readings/from-rail-to-result-missing-middle/</x:v>
      </x:c>
      <x:c r="B277" s="24" t="n">
        <x:v>5</x:v>
      </x:c>
      <x:c r="C277" s="24"/>
      <x:c r="D277" s="24" t="str">
        <x:v>What the evidence does not establish</x:v>
      </x:c>
      <x:c r="E277" s="24" t="str">
        <x:v>Regulation, infrastructure, a new institution or go-live does not by itself show access, use, quality or outcomes, and missing downstream evidence does not mean a reform failed.</x:v>
      </x:c>
      <x:c r="F277" s="28" t="str">
        <x:v>ما الذي لا تثبته الأدلة</x:v>
      </x:c>
      <x:c r="G277" s="28" t="str">
        <x:v>لا يُستنتج الوصول أو الاستخدام أو الجودة أو النتيجة من التنظيم أو البنية أو إنشاء مؤسسة أو بدء التشغيل وحده؛ وغياب الدليل على الحلقات اللاحقة لا يعني أن الإصلاح فشل.</x:v>
      </x:c>
    </x:row>
    <x:row r="278">
      <x:c r="A278" s="24" t="str">
        <x:v>/readings/from-rail-to-result-missing-middle/</x:v>
      </x:c>
      <x:c r="B278" s="24" t="n">
        <x:v>6</x:v>
      </x:c>
      <x:c r="C278" s="24"/>
      <x:c r="D278" s="24" t="str">
        <x:v>Implication for decision use</x:v>
      </x:c>
      <x:c r="E278" s="24" t="str">
        <x:v>The evidentiary state of a reform is the furthest stage actually observed. Evidence that a rail has gone live, and then of its operational coverage and reliability, is needed before its performance can be assessed; an inclusion claim requires separate evidence on access, use, quality or outcomes for the relevant population or user base.</x:v>
      </x:c>
      <x:c r="F278" s="28" t="str">
        <x:v>ما الذي يعنيه ذلك عند استخدام الدليل في القرار</x:v>
      </x:c>
      <x:c r="G278" s="28" t="str">
        <x:v>تتحدد المرحلة التي بلغها الإصلاح وفق الدليل بأبعد مرحلة رُصدت فعليًا. ويحتاج تقييم الأداء التشغيلي إلى دليل عن التغطية والموثوقية، بينما يحتاج ادعاء الشمول إلى دليل منفصل عن الوصول أو الاستخدام أو الجودة أو النتائج لدى المجتمع أو قاعدة المستخدمين المعنية.</x:v>
      </x:c>
    </x:row>
    <x:row r="279">
      <x:c r="A279" s="24" t="str">
        <x:v>/readings/from-rail-to-result-missing-middle/</x:v>
      </x:c>
      <x:c r="B279" s="24" t="n">
        <x:v>7</x:v>
      </x:c>
      <x:c r="C279" s="24"/>
      <x:c r="D279" s="24" t="str">
        <x:v>What remains unknown</x:v>
      </x:c>
      <x:c r="E279" s="24" t="str">
        <x:v>Evidence of go-live itself, and then comparable active-use, service-quality, complaint and population-outcome measures, are not yet available for the newest reforms and rails.</x:v>
      </x:c>
      <x:c r="F279" s="28" t="str">
        <x:v>ما الذي ما زلنا لا نعرفه</x:v>
      </x:c>
      <x:c r="G279" s="28" t="str">
        <x:v>لا يتوفر بعدُ دليل على بدء تشغيل أحدث الإصلاحات وأنظمة الدفع، ولا، من بعده، قياسات موثقة وقابلة للمقارنة عن الاستخدام النشط وجودة الخدمة والشكاوى والنتائج السكانية.</x:v>
      </x:c>
    </x:row>
    <x:row r="280">
      <x:c r="A280" s="24" t="str">
        <x:v>/readings/from-rail-to-result-missing-middle/</x:v>
      </x:c>
      <x:c r="B280" s="24" t="n">
        <x:v>8</x:v>
      </x:c>
      <x:c r="C280" s="24"/>
      <x:c r="D280" s="24" t="str">
        <x:v>What evidence would change the reading</x:v>
      </x:c>
      <x:c r="E280" s="24" t="str">
        <x:v>Reform-specific operational, access, use, quality and outcome indicators tied to the same implementation timeline would show where transmission succeeds, stalls or remains unmeasured.</x:v>
      </x:c>
      <x:c r="F280" s="28" t="str">
        <x:v>ما الدليل الذي سيغير هذه القراءة</x:v>
      </x:c>
      <x:c r="G280" s="28" t="str">
        <x:v>ستوضح مؤشرات مرتبطة بكل إصلاح عن التشغيل والوصول والاستخدام والجودة والنتائج، ومثبتة على خط التنفيذ الزمني نفسه، أين ينتقل الأثر وأين يتعطل وأين لم يُقَس بعد.</x:v>
      </x:c>
    </x:row>
    <x:row r="281">
      <x:c r="A281" s="24" t="str">
        <x:v>/readings/from-rail-to-result-missing-middle/</x:v>
      </x:c>
      <x:c r="B281" s="24" t="n">
        <x:v>9</x:v>
      </x:c>
      <x:c r="C281" s="24"/>
      <x:c r="D281" s="24" t="str">
        <x:v>Trace the reading back to evidence</x:v>
      </x:c>
      <x:c r="E281" s="24" t="str">
        <x:v>Open the linked evidence records to check the definition, period, population or scope, source, derivation, limitations, evidence date and correction history behind each figure in this reading.</x:v>
      </x:c>
      <x:c r="F281" s="28" t="str">
        <x:v>تتبّع القراءة إلى أدلتها</x:v>
      </x:c>
      <x:c r="G281" s="28" t="str">
        <x:v>افتح الخلاصات وسجلات الأدلة المرتبطة لفحص التعريف والفترة والمجتمع أو النطاق والمصدر وطريقة الاشتقاق وشروط إعادة الاستخدام والحدود وحداثة الدليل وسجل التصحيح. وقارن الأدلة المختلفة من دون إجبارها على مقياس واحد.</x:v>
      </x:c>
    </x:row>
    <x:row r="282">
      <x:c r="A282" s="24" t="str">
        <x:v>/readings/gender-gap-measured-causes-open/</x:v>
      </x:c>
      <x:c r="B282" s="24" t="n">
        <x:v>2</x:v>
      </x:c>
      <x:c r="C282" s="24"/>
      <x:c r="D282" s="24" t="str">
        <x:v>What supports this reading</x:v>
      </x:c>
      <x:c r="E282" s="24" t="str">
        <x:v>Within the same Global Findex observation, account ownership is 18.35% for men and 5.44% for women, a difference of 12.91 percentage points. The overall account-ownership measure is 11.9% in the same wave; all three figures share the same survey universe and must be read with the same Yemen fieldwork, weighting and geographic-coverage limitations.</x:v>
      </x:c>
      <x:c r="F282" s="28" t="str">
        <x:v>ما الأدلة التي تسند هذه القراءة</x:v>
      </x:c>
      <x:c r="G282" s="28" t="str">
        <x:v>ضمن المشاهدة نفسها من المؤشر العالمي للشمول المالي (Global Findex)، تبلغ نسبة امتلاك الحساب 18.35% لدى الرجال و5.44% لدى النساء، بفارق قدره 12.91 نقطة مئوية. ويبلغ القياس الإجمالي لامتلاك الحساب 11.9% في الموجة نفسها؛ وتنتمي القيم الثلاث إلى مجتمع المسح نفسه وتُقرأ جميعها مع حدود العمل الميداني والأوزان والتغطية الجغرافية نفسها في اليمن.</x:v>
      </x:c>
    </x:row>
    <x:row r="283">
      <x:c r="A283" s="24" t="str">
        <x:v>/readings/gender-gap-measured-causes-open/</x:v>
      </x:c>
      <x:c r="B283" s="24" t="n">
        <x:v>3</x:v>
      </x:c>
      <x:c r="C283" s="24"/>
      <x:c r="D283" s="24" t="str">
        <x:v>What qualifies or complicates the reading</x:v>
      </x:c>
      <x:c r="E283" s="24" t="str">
        <x:v>No standard errors or confidence intervals for these subgroup values are held in the evidence base, so the size of the gap carries sampling uncertainty that is not quantified here. The wave excluded areas holding about 23% of the population, and more than a quarter of its primary sampling units were replaced during fieldwork; it describes 2022–23, not 2026. An income gap of similar size in the same wave (about 9.0 percentage points between adults in the richest 60% and the poorest 40%) means that part of the difference between women and men may reflect other differences, such as income, that the published aggregates cannot separate. Any analysis of mechanisms needs the same survey design, weights and comparable covariates.</x:v>
      </x:c>
      <x:c r="F283" s="28" t="str">
        <x:v>ما الذي يقيّد هذه القراءة أو يعقّدها</x:v>
      </x:c>
      <x:c r="G283" s="28" t="str">
        <x:v>لا تحتفظ قاعدة الأدلة بأخطاء معيارية أو فترات ثقة لقيم هذه الفئات الفرعية، ولذلك ينطوي حجم الفجوة على عدم يقين ناتج عن المعاينة لا يُقدَّر كميًا هنا. وقد استبعدت الموجة مناطق يسكنها نحو 23% من السكان، واستُبدل أكثر من ربع وحدات المعاينة الأولية أثناء العمل الميداني؛ وهي تصف 2022–2023 لا عام 2026. ووجود فجوة دخل بحجم مماثل في الموجة نفسها (نحو 9.0 نقطة مئوية بين البالغين في أغنى 60% وأفقر 40%) يعني أن جزءًا من الفرق بين النساء والرجال قد يعكس فروقًا أخرى، مثل الدخل، لا تستطيع المجاميع المنشورة الفصل بينها. ويحتاج أي تحليل للآليات إلى تصميم المسح نفسه وأوزانه ومتغيرات مصاحبة قابلة للمقارنة.</x:v>
      </x:c>
    </x:row>
    <x:row r="284">
      <x:c r="A284" s="24" t="str">
        <x:v>/readings/gender-gap-measured-causes-open/</x:v>
      </x:c>
      <x:c r="B284" s="24" t="n">
        <x:v>4</x:v>
      </x:c>
      <x:c r="C284" s="24"/>
      <x:c r="D284" s="24" t="str">
        <x:v>How this fits into the wider system</x:v>
      </x:c>
      <x:c r="E284" s="24" t="str">
        <x:v>A measured disparity is a result; an explanation requires another design. Identity documentation, device access, income and work, distance, trust, household constraints and product design are plausible mechanisms because they can affect financial access, but the observed gender gap does not allocate causal weight to any of them.</x:v>
      </x:c>
      <x:c r="F284" s="28" t="str">
        <x:v>كيف يرتبط ذلك بالمنظومة الأوسع</x:v>
      </x:c>
      <x:c r="G284" s="28" t="str">
        <x:v>الفجوة المقاسة نتيجة، أما تفسيرها فيحتاج إلى تصميم أدلة مختلف. فالهوية والوصول إلى الهاتف والدخل والعمل والمسافة والثقة وقيود الأسرة وتصميم المنتج آليات محتملة لأنها قد تؤثر في الوصول المالي، لكن الفجوة المرصودة لا تحدد الوزن السببي لأي منها.</x:v>
      </x:c>
    </x:row>
    <x:row r="285">
      <x:c r="A285" s="24" t="str">
        <x:v>/readings/gender-gap-measured-causes-open/</x:v>
      </x:c>
      <x:c r="B285" s="24" t="n">
        <x:v>5</x:v>
      </x:c>
      <x:c r="C285" s="24"/>
      <x:c r="D285" s="24" t="str">
        <x:v>What the evidence does not establish</x:v>
      </x:c>
      <x:c r="E285" s="24" t="str">
        <x:v>The measured gap does not establish its causes, the causal contribution of any proposed mechanism, or the size of the gap in 2026; a plausible mechanism is not an established causal explanation.</x:v>
      </x:c>
      <x:c r="F285" s="28" t="str">
        <x:v>ما الذي لا تثبته الأدلة</x:v>
      </x:c>
      <x:c r="G285" s="28" t="str">
        <x:v>لا تثبت الفجوة المقاسة أسبابها، ولا الإسهام السببي لأي آلية مقترحة، ولا حجم الفجوة في 2026؛ والآلية المحتملة ليست تفسيرًا سببيًا مثبتًا.</x:v>
      </x:c>
    </x:row>
    <x:row r="286">
      <x:c r="A286" s="24" t="str">
        <x:v>/readings/gender-gap-measured-causes-open/</x:v>
      </x:c>
      <x:c r="B286" s="24" t="n">
        <x:v>6</x:v>
      </x:c>
      <x:c r="C286" s="24"/>
      <x:c r="D286" s="24" t="str">
        <x:v>Implication for decision use</x:v>
      </x:c>
      <x:c r="E286" s="24" t="str">
        <x:v>The measured gap identifies a disparity, not its cause. Testing explanations requires evidence that links specific frictions to the gap; product or policy experiments are informative only to the extent that the friction being tested and the expected evidence of change are stated in advance.</x:v>
      </x:c>
      <x:c r="F286" s="28" t="str">
        <x:v>ما الذي يعنيه ذلك عند استخدام الدليل في القرار</x:v>
      </x:c>
      <x:c r="G286" s="28" t="str">
        <x:v>تحدد الفجوة المقاسة وجود تفاوت، ولا تحدد سببه. ويتطلب اختبار التفسيرات دليلًا يربط عوائق محددة بالفجوة؛ ولا تكون اختبارات المنتجات أو السياسات مفيدة تحليليًا إلا بقدر ما يكون العائق موضع الاختبار والدليل المتوقع على التغير محددين مسبقًا.</x:v>
      </x:c>
    </x:row>
    <x:row r="287">
      <x:c r="A287" s="24" t="str">
        <x:v>/readings/gender-gap-measured-causes-open/</x:v>
      </x:c>
      <x:c r="B287" s="24" t="n">
        <x:v>7</x:v>
      </x:c>
      <x:c r="C287" s="24"/>
      <x:c r="D287" s="24" t="str">
        <x:v>What remains unknown</x:v>
      </x:c>
      <x:c r="E287" s="24" t="str">
        <x:v>The current contribution of proposed mechanisms, the 2026 size of the gap and subnational variation are not established by the available evidence.</x:v>
      </x:c>
      <x:c r="F287" s="28" t="str">
        <x:v>ما الذي ما زلنا لا نعرفه</x:v>
      </x:c>
      <x:c r="G287" s="28" t="str">
        <x:v>لا تحدد الأدلة المتاحة الإسهام الحالي للآليات المقترحة، ولا حجم الفجوة في 2026، ولا الاختلافات دون الوطنية.</x:v>
      </x:c>
    </x:row>
    <x:row r="288">
      <x:c r="A288" s="24" t="str">
        <x:v>/readings/gender-gap-measured-causes-open/</x:v>
      </x:c>
      <x:c r="B288" s="24" t="n">
        <x:v>8</x:v>
      </x:c>
      <x:c r="C288" s="24"/>
      <x:c r="D288" s="24" t="str">
        <x:v>What evidence would change the reading</x:v>
      </x:c>
      <x:c r="E288" s="24" t="str">
        <x:v>Updated weighted sex-disaggregated access/use/quality evidence with mechanism variables in the same design would permit disciplined decomposition and hypothesis testing while remaining non-causal unless the design supports causal inference.</x:v>
      </x:c>
      <x:c r="F288" s="28" t="str">
        <x:v>ما الدليل الذي سيغير هذه القراءة</x:v>
      </x:c>
      <x:c r="G288" s="28" t="str">
        <x:v>ستسمح بيانات حديثة موزونة ومفصلة حسب الجنس عن الوصول والاستخدام والجودة، تتضمن متغيرات للآليات في التصميم نفسه، بتحليل منضبط للفجوة واختبار الفرضيات من دون ادعاء السببية ما لم يسمح التصميم بذلك.</x:v>
      </x:c>
    </x:row>
    <x:row r="289">
      <x:c r="A289" s="24" t="str">
        <x:v>/readings/gender-gap-measured-causes-open/</x:v>
      </x:c>
      <x:c r="B289" s="24" t="n">
        <x:v>9</x:v>
      </x:c>
      <x:c r="C289" s="24"/>
      <x:c r="D289" s="24" t="str">
        <x:v>Trace the reading back to evidence</x:v>
      </x:c>
      <x:c r="E289" s="24" t="str">
        <x:v>Open the linked evidence records to check the definition, period, population or scope, source, derivation, limitations, evidence date and correction history behind each figure in this reading.</x:v>
      </x:c>
      <x:c r="F289" s="28" t="str">
        <x:v>تتبّع القراءة إلى أدلتها</x:v>
      </x:c>
      <x:c r="G289" s="28" t="str">
        <x:v>افتح الخلاصات وسجلات الأدلة المرتبطة لفحص التعريف والفترة والمجتمع أو النطاق والمصدر وطريقة الاشتقاق وشروط إعادة الاستخدام والحدود وحداثة الدليل وسجل التصحيح. وقارن الأدلة المختلفة من دون إجبارها على مقياس واحد.</x:v>
      </x:c>
    </x:row>
    <x:row r="290">
      <x:c r="A290" s="24" t="str">
        <x:v>/readings/microfinance-structural-divergence/</x:v>
      </x:c>
      <x:c r="B290" s="24" t="n">
        <x:v>2</x:v>
      </x:c>
      <x:c r="C290" s="24"/>
      <x:c r="D290" s="24" t="str">
        <x:v>What supports this reading</x:v>
      </x:c>
      <x:c r="E290" s="24" t="str">
        <x:v>The evidence moves on several different axes; these observations do not form one harmonized growth series.
Borrower reach: among providers reporting to the Social Fund for Development (SFD), verified primary tables record 93,118 active borrowers at end-2015 and 88,445 at end-2020. A 2024 policy paper citing SFD/SMED data reports 78,686 for end-2023; the set of providers it covers has not yet been verified. A separate June-2023 point of roughly 80,800 comes through a different source chain and is not joined to the year-end point as a trend.
Savings relationships and nominal portfolio: the verified 2020 anchors are 1.611 million savers/depositors and YER33.379 billion in portfolio. The 2024 secondary source reports what it calls 3.3 million “active savers” and a nominal portfolio of about YER44 billion for 2023. “Active savers” and “savers/depositors” have not been shown to be the same measure, and the portfolio figures are nominal rials whose valuation across Yemen's divided monetary areas is not recorded in the evidence base, so no real or US-dollar change can be derived by comparing them. The set of providers covered by the evidence, the saver definition/deduplication rules and the period bridge are not fully harmonized, so these are separate data points rather than one continuous series.
Provider structure and the 91% statement: the list of licensed banks issued by the Central Bank of Yemen – Aden (CBY-Aden), as checked on 7 September 2026, names 26 banks, 12 of which are classified as microfinance banks on the basis of their names in the source; listing does not establish operation or outreach. The 2024 Sana’a Center paper on microfinance banks attributes 91% to Al-Kuraimi's share of saver growth, not to a verified 2023 depositor stock share. A share of growth and a share of the stock are different measures, and the 2023 provider-level numerator, denominator and calculation behind the 91% have not been reproduced, so the later restatement as a stock share is not adopted here.
Historical context through 2021: World Bank Financial Sector Diagnostics reports an active microfinance borrower base broadly around 80,000–90,000 while average loan amounts rose, suggesting that subsector growth through that period reflected larger loans more than net borrower growth. This is historical context, not a 2023 or 2026 conclusion.</x:v>
      </x:c>
      <x:c r="F290" s="28" t="str">
        <x:v>ما الأدلة التي تسند هذه القراءة</x:v>
      </x:c>
      <x:c r="G290" s="28" t="str">
        <x:v>تتحرك أدلة التمويل الأصغر على محاور مختلفة؛ ولا تشكل هذه المشاهدات سلسلة نمو موحدة.
وصول المقترضين: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الصندوق وبرنامجه لتنمية المنشآت الصغيرة والأصغر (SFD/SMED) عدد 78,686 لنهاية 2023، ولم يُتحقق بعد من مجموعة مقدمي الخدمة التي تغطيها. وتأتي نقطة منفصلة تقارب 80,800 مقترض في يونيو 2023 عبر سلسلة مصدر مختلفة، ولذلك لا تُربط بنقطة نهاية العام بوصفهما اتجاهًا واحدًا.
علاقات الادخار والمحفظة الاسمية: تبلغ النقاط الموثقة لعام 2020 نحو 1.611 مليون مدخر أو مودع ومحفظة قدرها 33.379 مليار ريال. ويورد المصدر الثانوي المنشور في 2024 ما يسميه نحو 3.3 ملايين «مدخر نشط» ومحفظة اسمية تقارب 44 مليار ريال لعام 2023. ولم يثبت أن «المدخر النشط» و«المدخر/المودع» مقياس واحد، وقيم المحفظة اسمية بالريال ولا تسجل قاعدة الأدلة أساس تقييمها في ظل انقسام المناطق النقدية، ولذلك لا يمكن استخلاص تغير حقيقي أو تغير بالدولار من مقارنتها. ولا تزال مجموعة مقدمي الخدمة وتعريف المدخر وقواعد إزالة التكرار والجسر الزمني غير موحدة بالكامل، لذلك تمثل هذه القيم نقاطًا مرجعية منفصلة ومقيدة لا سلسلة مستمرة واحدة.
هيكل مقدمي الخدمة ورقم 91%: تضم قائمة البنوك المرخصة الصادرة عن البنك المركزي اليمني – عدن، كما اطُّلع عليها في 7 سبتمبر 2026، 26 بنكًا، منها 12 بنكًا مصنفة بنوكَ تمويل أصغر استنادًا إلى تسمياتها في المصدر؛ ولا يثبت الإدراج التشغيل أو الوصول الفعلي. وتنسب ورقة مركز صنعاء لعام 2024 عن بنوك التمويل الأصغر نسبة 91% إلى حصة الكريمي من نمو المدخرين، لا إلى حصة محققة من رصيد المودعين في 2023. وحصة النمو وحصة الرصيد مقياسان مختلفان، ولم يُعَد إنتاج البسط وقاعدة الاحتساب وطريقة حساب 2023 على مستوى مقدمي الخدمة وراء نسبة 91%، لذلك لا تُعتمد هنا إعادة العرض اللاحقة بوصفها حصة من الرصيد.
سياق تاريخي حتى 2021: يفيد تشخيص القطاع المالي للبنك الدولي بأن قاعدة المقترضين النشطين ظلت عمومًا في نطاق 80,000–90,000 بينما ارتفع متوسط حجم التمويل، بما يشير إلى أن نمو القطاع الفرعي حتى تلك الفترة ارتبط بأحجام تمويل أكبر أكثر من ارتباطه بزيادة صافية في عدد المقترضين. وهذه قراءة تاريخية لا استنتاجًا عن 2023 أو 2026.</x:v>
      </x:c>
    </x:row>
    <x:row r="291">
      <x:c r="A291" s="24" t="str">
        <x:v>/readings/microfinance-structural-divergence/</x:v>
      </x:c>
      <x:c r="B291" s="24" t="n">
        <x:v>3</x:v>
      </x:c>
      <x:c r="C291" s="24"/>
      <x:c r="D291" s="24" t="str">
        <x:v>What qualifies or complicates the reading</x:v>
      </x:c>
      <x:c r="E291" s="24" t="str">
        <x:v>The 2023 borrower, saver and portfolio values enter through a 2024 secondary source, a policy paper citing SFD/SMED data, while the underlying 2023 primary source has not yet been directly verified. Provider coverage, saver/depositor definitions, deduplication and the bridge between observation dates are not fully harmonized. The 91% statement is therefore retained only as a source-attributed growth share; no 2023 stock share is inferred. Nominal portfolio growth is not real credit growth without an explicit price/FX method, and listed or licensed providers are not assumed to be operating.</x:v>
      </x:c>
      <x:c r="F291" s="28" t="str">
        <x:v>ما الذي يقيّد هذه القراءة أو يعقّدها</x:v>
      </x:c>
      <x:c r="G291" s="28" t="str">
        <x:v>تدخل قيم المقترضين والمدخرين والمحفظة لعام 2023 عبر مصدر ثانوي منشور في 2024، هو ورقة سياسات تستند إلى بيانات SFD/SMED، بينما لم يُتحقق بعد مباشرةً من المصدر الأولي لعام 2023. كما أن تغطية مقدمي الخدمة وتعريفات المدخرين أو المودعين وقواعد إزالة التكرار والجسر بين تواريخ الرصد ليست موحدة بالكامل. لذلك تُحفظ نسبة 91% فقط بوصفها حصة نمو منسوبة إلى المصدر، ولا تُستنتج منها حصة رصيد لعام 2023. ولا يساوي نمو المحفظة الاسمية نموًا حقيقيًا للائتمان من دون منهج صريح للأسعار أو سعر الصرف، كما لا يعني الإدراج أو الترخيص أن مقدم الخدمة يعمل فعليًا.</x:v>
      </x:c>
    </x:row>
    <x:row r="292">
      <x:c r="A292" s="24" t="str">
        <x:v>/readings/microfinance-structural-divergence/</x:v>
      </x:c>
      <x:c r="B292" s="24" t="n">
        <x:v>4</x:v>
      </x:c>
      <x:c r="C292" s="24"/>
      <x:c r="D292" s="24" t="str">
        <x:v>How this fits into the wider system</x:v>
      </x:c>
      <x:c r="E292" s="24" t="str">
        <x:v>Microfinance can change along several dimensions at once: institutional form, borrower reach, savings relationships, loan size and nominal portfolio. A sector can become larger on one dimension while serving no more—or fewer—borrowers on another. Reading all of these as one growth story hides the decision question: is change coming from broader reach, larger balances, a different product mix or a different provider structure?</x:v>
      </x:c>
      <x:c r="F292" s="28" t="str">
        <x:v>كيف يرتبط ذلك بالمنظومة الأوسع</x:v>
      </x:c>
      <x:c r="G292" s="28" t="str">
        <x:v>يمكن للتمويل الأصغر أن يتغير في عدة أبعاد في الوقت نفسه: الشكل المؤسسي، وعدد المقترضين، وعلاقات الادخار، وحجم القرض، والمحفظة الاسمية. وقد يكبر القطاع في بُعد من دون أن يخدم عددًا أكبر من المقترضين، بل ربما عددًا أقل. وقراءة كل ذلك كقصة نمو واحدة تخفي سؤال القرار: هل يأتي التغير من اتساع الوصول، أم من أرصدة أكبر، أم من تغير مزيج المنتجات، أم من تغير هيكل مقدمي الخدمة؟</x:v>
      </x:c>
    </x:row>
    <x:row r="293">
      <x:c r="A293" t="str">
        <x:v>/readings/microfinance-structural-divergence/</x:v>
      </x:c>
      <x:c r="B293" t="n">
        <x:v>5</x:v>
      </x:c>
      <x:c r="C293"/>
      <x:c r="D293" t="str">
        <x:v>What the evidence does not establish</x:v>
      </x:c>
      <x:c r="E293" t="str">
        <x:v>The evidence does not establish unique people, real credit growth, welfare change or a verified 2023 provider stock share. Saver/depositor growth, nominal portfolio growth and changes in provider structure do not, on their own, establish broader inclusion, real credit deepening, market dominance, unique-person growth or improved borrower outcomes.</x:v>
      </x:c>
      <x:c r="F293" t="str">
        <x:v>ما الذي لا تثبته الأدلة</x:v>
      </x:c>
      <x:c r="G293" t="str">
        <x:v>لا تثبت القراءة عددًا من الأشخاص الفريدين، ولا نموًا حقيقيًا للائتمان، ولا تغيرًا في الرفاه، ولا حصة محققة لمقدم خدمة في 2023. كما أن نمو المدخرين أو المودعين، ونمو المحفظة الاسمية، وتغير هيكل مقدمي الخدمة لا يثبت في حد ذاته اتساع الشمول أو تعمق الائتمان الحقيقي أو الهيمنة السوقية أو نمو عدد الأشخاص الفريدين أو تحسن نتائج المقترضين.</x:v>
      </x:c>
    </x:row>
    <x:row r="294">
      <x:c r="A294" t="str">
        <x:v>/readings/microfinance-structural-divergence/</x:v>
      </x:c>
      <x:c r="B294" t="n">
        <x:v>6</x:v>
      </x:c>
      <x:c r="C294"/>
      <x:c r="D294" t="str">
        <x:v>Implication for decision use</x:v>
      </x:c>
      <x:c r="E294" t="str">
        <x:v>Borrower reach, saver/depositor relationships and nominal portfolio are separate indicators. Interpreting nominal portfolio growth as real deepening requires an explicit price/FX treatment; interpreting saver growth as inclusion of unique people requires reconciled definitions and deduplication.</x:v>
      </x:c>
      <x:c r="F294" t="str">
        <x:v>ما الذي يعنيه ذلك عند استخدام الدليل في القرار</x:v>
      </x:c>
      <x:c r="G294" t="str">
        <x:v>وصول المقترضين وعلاقات الادخار أو الإيداع والمحفظة الاسمية مؤشرات منفصلة. ويتطلب تفسير نمو المحفظة الاسمية كتعمق حقيقي معالجة صريحة للأسعار أو سعر الصرف؛ كما يتطلب تفسير نمو المدخرين كشمول لأشخاص فريدين توحيد التعريفات وقواعد إزالة التكرار.</x:v>
      </x:c>
    </x:row>
    <x:row r="295">
      <x:c r="A295" t="str">
        <x:v>/readings/microfinance-structural-divergence/</x:v>
      </x:c>
      <x:c r="B295" t="n">
        <x:v>7</x:v>
      </x:c>
      <x:c r="C295"/>
      <x:c r="D295" t="str">
        <x:v>What remains unknown</x:v>
      </x:c>
      <x:c r="E295" t="str">
        <x:v>The evidence base does not yet provide a harmonized 2023 primary provider panel with consistent borrower, saver and portfolio definitions, nor a fully agreed real-value conversion convention.</x:v>
      </x:c>
      <x:c r="F295" t="str">
        <x:v>ما الذي ما زلنا لا نعرفه</x:v>
      </x:c>
      <x:c r="G295" t="str">
        <x:v>لا تحتوي قاعدة الأدلة بعد على بيانات موحدة لعام 2023 على مستوى مقدمي الخدمة صادرة عن المصدر الأصلي تستخدم تعريفات متسقة للمقترضين والمدخرين والمحفظة، كما لم يُثبت بعد منهج موحد للتحويل إلى قيم حقيقية.</x:v>
      </x:c>
    </x:row>
    <x:row r="296">
      <x:c r="A296" t="str">
        <x:v>/readings/microfinance-structural-divergence/</x:v>
      </x:c>
      <x:c r="B296" t="n">
        <x:v>8</x:v>
      </x:c>
      <x:c r="C296"/>
      <x:c r="D296" t="str">
        <x:v>What evidence would change the reading</x:v>
      </x:c>
      <x:c r="E296" t="str">
        <x:v>A primary provider-level 2023–2026 panel with consistent definitions, activity windows and nominal/real conversion rules would show whether changes in balances and saver/depositor relationships are accompanied by wider borrower reach.</x:v>
      </x:c>
      <x:c r="F296" t="str">
        <x:v>ما الدليل الذي سيغير هذه القراءة</x:v>
      </x:c>
      <x:c r="G296" t="str">
        <x:v>ستوضح بيانات صادرة عن المصدر الأصلي على مستوى مقدمي الخدمة للفترة 2023–2026، بتعريفات متسقة وفترات نشاط وقواعد واضحة للتحويل بين القيم الاسمية والحقيقية، ما إذا كانت التغيرات في الأرصدة وعلاقات الادخار أو الإيداع تترافق مع اتساع وصول المقترضين.</x:v>
      </x:c>
    </x:row>
    <x:row r="297">
      <x:c r="A297" t="str">
        <x:v>/readings/microfinance-structural-divergence/</x:v>
      </x:c>
      <x:c r="B297" t="n">
        <x:v>9</x:v>
      </x:c>
      <x:c r="C297"/>
      <x:c r="D297" t="str">
        <x:v>Trace the reading back to evidence</x:v>
      </x:c>
      <x:c r="E297" t="str">
        <x:v>Open the linked evidence records to check the definition, period, population or scope, source, derivation, limitations, evidence date and correction history behind each figure in this reading.</x:v>
      </x:c>
      <x:c r="F297" t="str">
        <x:v>تتبّع القراءة إلى أدلتها</x:v>
      </x:c>
      <x:c r="G297" t="str">
        <x:v>افتح الخلاصات وسجلات الأدلة المرتبطة لفحص التعريف والفترة والمجتمع أو النطاق والمصدر وطريقة الاشتقاق وشروط إعادة الاستخدام والحدود وحداثة الدليل وسجل التصحيح. وقارن الأدلة المختلفة من دون إجبارها على مقياس واحد.</x:v>
      </x:c>
    </x:row>
    <x:row r="298">
      <x:c r="A298" t="str">
        <x:v>/readings/reforms-newer-than-people-evidence/</x:v>
      </x:c>
      <x:c r="B298" t="n">
        <x:v>2</x:v>
      </x:c>
      <x:c r="C298"/>
      <x:c r="D298" t="str">
        <x:v>What supports this reading</x:v>
      </x:c>
      <x:c r="E298" t="str">
        <x:v>Latest representative account-ownership measure available: The latest representative Findex measure available reports 11.9% account ownership for Yemen in the 2021 wave, with Yemen fieldwork conducted in 2022–23.
POS infrastructure expanded: POS terminals reported by the Central Bank of Yemen – Aden (CBY-Aden) increased from 561 in March 2025 to 1,473 in January 2026.
The July 2026 Yemen SMP state is staff-level and conditional: On July 16, 2026, IMF staff and the Yemeni authorities announced staff-level agreement on key policies and reforms that could underpin a proposed 18-month SMP. The IMF stated that the agreement was subject to Management approval and would not result in Board discussion. It is not an IMF financing arrangement or an external-statistics crosswalk.</x:v>
      </x:c>
      <x:c r="F298" t="str">
        <x:v>ما الأدلة التي تسند هذه القراءة</x:v>
      </x:c>
      <x:c r="G298" t="str">
        <x:v>أحدث قياس سكاني ممثل متاح لامتلاك الحساب: تشير أحدث الأدلة السكانية الممثلة المتاحة من المؤشر العالمي للشمول المالي (Global Findex) إلى أن نسبة امتلاك الحساب في اليمن بلغت 11.9% في موجة 2021، مع تنفيذ العمل الميداني في اليمن خلال 2022–2023.
توسع البنية التحتية لنقاط البيع: ارتفع عدد أجهزة نقاط البيع الذي يُبلغ عنه البنك المركزي اليمني – عدن من 561 جهازًا في مارس 2025 إلى 1,473 جهازًا في يناير 2026.
وضع البرنامج الذي يراقبه خبراء صندوق النقد الدولي (SMP) في يوليو 2026 ما يزال على مستوى اتفاق الخبراء ومشروطًا: في 16 يوليو 2026 أعلن خبراء صندوق النقد والسلطات اليمنية التوصل على مستوى الخبراء إلى اتفاق بشأن سياسات وإصلاحات رئيسية يمكن أن يستند إليها برنامج مقترح يراقبه خبراء الصندوق مدته 18 شهرًا. وأوضح الصندوق أن الاتفاق يخضع لموافقة الإدارة ولن يترتب عليه نقاش في المجلس التنفيذي. وليس هذا ترتيب تمويل من الصندوق ولا مطابقة لإحصاءات القطاع الخارجي.</x:v>
      </x:c>
    </x:row>
    <x:row r="299">
      <x:c r="A299" t="str">
        <x:v>/readings/reforms-newer-than-people-evidence/</x:v>
      </x:c>
      <x:c r="B299" t="n">
        <x:v>3</x:v>
      </x:c>
      <x:c r="C299"/>
      <x:c r="D299" t="str">
        <x:v>What qualifies or complicates the reading</x:v>
      </x:c>
      <x:c r="E299" t="str">
        <x:v>Each stream has its own limits. The Findex measure covers adults aged 15 and over in the areas surveyed, which excluded about 23% of the population. The POS count is administrative, within the reporting scope of the Central Bank of Yemen – Aden (CBY-Aden), and its monthly releases end in January 2026 on the CBY-Aden payments page as checked on 26 September 2026. The 2026 payment-institution records and the July 2026 IMF staff-level agreement, which was subject to IMF Management approval, are institutional states that measure neither use nor outcomes.</x:v>
      </x:c>
      <x:c r="F299" t="str">
        <x:v>ما الذي يقيّد هذه القراءة أو يعقّدها</x:v>
      </x:c>
      <x:c r="G299" t="str">
        <x:v>لكل مسار حدوده. فمقياس Findex يغطي البالغين بعمر 15 سنة فأكثر في المناطق التي شملها المسح، وقد استُبعدت منه مناطق يسكنها نحو 23% من السكان. وعدد أجهزة نقاط البيع إداري ضمن نطاق الإبلاغ لدى البنك المركزي اليمني – عدن، وتنتهي إصداراته الشهرية في يناير 2026 في صفحة المدفوعات لدى البنك المركزي في عدن كما اطُّلع عليها في 26 سبتمبر 2026. أما سجلات مؤسسات المدفوعات لعام 2026 واتفاق صندوق النقد الدولي على مستوى الخبراء في يوليو 2026، الذي كان خاضعًا لموافقة إدارة الصندوق، فأوضاع مؤسسية لا تقيس الاستخدام ولا النتائج.</x:v>
      </x:c>
    </x:row>
    <x:row r="300">
      <x:c r="A300" t="str">
        <x:v>/readings/reforms-newer-than-people-evidence/</x:v>
      </x:c>
      <x:c r="B300" t="n">
        <x:v>4</x:v>
      </x:c>
      <x:c r="C300"/>
      <x:c r="D300" t="str">
        <x:v>How this fits into the wider system</x:v>
      </x:c>
      <x:c r="E300" t="str">
        <x:v>Yemen’s evidence is asynchronous. Administrative payment data and regulatory/institutional events can update quickly, while nationally representative demand-side measurement is expensive and episodic. Reading these streams together requires keeping them separately dated and asking whether the chain from reform or infrastructure to access, use, quality and outcome has actually been observed.</x:v>
      </x:c>
      <x:c r="F300" t="str">
        <x:v>كيف يرتبط ذلك بالمنظومة الأوسع</x:v>
      </x:c>
      <x:c r="G300" t="str">
        <x:v>تصل أدلة اليمن في أوقات مختلفة. فبيانات المدفوعات الإدارية والأحداث التنظيمية والمؤسسية قد تتحدث بسرعة، بينما القياس الممثل للطلب على مستوى السكان مكلف ومتباعد. وعند قراءة هذه المسارات معًا تبقى مؤرخة بصورة مستقلة، ويظل السؤال هو ما إذا كانت السلسلة من الإصلاح أو البنية إلى الوصول والاستخدام والجودة والنتيجة قد رُصدت فعلًا.</x:v>
      </x:c>
    </x:row>
    <x:row r="301">
      <x:c r="A301" t="str">
        <x:v>/readings/reforms-newer-than-people-evidence/</x:v>
      </x:c>
      <x:c r="B301" t="n">
        <x:v>5</x:v>
      </x:c>
      <x:c r="C301"/>
      <x:c r="D301" t="str">
        <x:v>What the evidence does not establish</x:v>
      </x:c>
      <x:c r="E301" t="str">
        <x:v>The evidence does not show whether inclusion improved or deteriorated after the latest people-side observation. Recent infrastructure, regulatory and programme events are not measures of people’s access, use, service quality or outcomes, and the older Findex observation is not a 2026 population rate.</x:v>
      </x:c>
      <x:c r="F301" t="str">
        <x:v>ما الذي لا تثبته الأدلة</x:v>
      </x:c>
      <x:c r="G301" t="str">
        <x:v>لا تثبت القراءة تحسن الوصول أو الاستخدام أو الجودة أو النتائج بعد آخر مشاهدة سكانية، ولا تدهورها. لا تُستنتج مستويات راهنة للوصول أو الاستخدام أو الجودة أو النتائج على مستوى الناس من أحداث حديثة في البنية أو التنظيم أو البرامج، ولا يُعاد وصف مشاهدة مسح Findex الأقدم باعتبارها معدلًا سكانيًا لعام 2026.</x:v>
      </x:c>
    </x:row>
    <x:row r="302">
      <x:c r="A302" t="str">
        <x:v>/readings/reforms-newer-than-people-evidence/</x:v>
      </x:c>
      <x:c r="B302" t="n">
        <x:v>6</x:v>
      </x:c>
      <x:c r="C302"/>
      <x:c r="D302" t="str">
        <x:v>Implication for decision use</x:v>
      </x:c>
      <x:c r="E302" t="str">
        <x:v>Recent reforms and infrastructure can be reported at the state the evidence actually establishes. When a decision requires a population outcome, newer people-side measurement is needed; recent administrative events cannot substitute for a representative population measure, and an older survey should not freeze the description of institutional change.</x:v>
      </x:c>
      <x:c r="F302" t="str">
        <x:v>ما الذي يعنيه ذلك عند استخدام الدليل في القرار</x:v>
      </x:c>
      <x:c r="G302" t="str">
        <x:v>يمكن عرض الإصلاحات والبنية الحديثة عند المرحلة التي تثبتها الأدلة فعليًا. وعندما يتطلب السؤال نتيجة على مستوى السكان، يلزم قياس سكاني أحدث؛ فلا تحل الأحداث الإدارية الحديثة محل القياس السكاني الممثل، كما لا ينبغي أن يجعل قدم المسح وصف التغير المؤسسي متوقفًا عند تاريخه.</x:v>
      </x:c>
    </x:row>
    <x:row r="303">
      <x:c r="A303" t="str">
        <x:v>/readings/reforms-newer-than-people-evidence/</x:v>
      </x:c>
      <x:c r="B303" t="n">
        <x:v>7</x:v>
      </x:c>
      <x:c r="C303"/>
      <x:c r="D303" t="str">
        <x:v>What remains unknown</x:v>
      </x:c>
      <x:c r="E303" t="str">
        <x:v>The current system cannot yet establish whether the recent infrastructure and institutional changes increased population-level access, use, quality or outcomes after the latest representative observation.</x:v>
      </x:c>
      <x:c r="F303" t="str">
        <x:v>ما الذي ما زلنا لا نعرفه</x:v>
      </x:c>
      <x:c r="G303" t="str">
        <x:v>لا تستطيع قاعدة الأدلة حاليًا إثبات ما إذا كانت التغيرات الحديثة في البنية والمؤسسات قد رفعت الوصول أو الاستخدام أو الجودة أو النتائج على مستوى السكان بعد أحدث قياس ممثل.</x:v>
      </x:c>
    </x:row>
    <x:row r="304">
      <x:c r="A304" t="str">
        <x:v>/readings/reforms-newer-than-people-evidence/</x:v>
      </x:c>
      <x:c r="B304" t="n">
        <x:v>8</x:v>
      </x:c>
      <x:c r="C304"/>
      <x:c r="D304" t="str">
        <x:v>What evidence would change the reading</x:v>
      </x:c>
      <x:c r="E304" t="str">
        <x:v>A new representative demand-side wave, aligned where possible to reform exposure and service-use questions, would test whether adoption followed infrastructure and institutional change.</x:v>
      </x:c>
      <x:c r="F304" t="str">
        <x:v>ما الدليل الذي سيغير هذه القراءة</x:v>
      </x:c>
      <x:c r="G304" t="str">
        <x:v>ستسمح موجة جديدة ممثلة للطلب، مرتبطة قدر الإمكان بمدى وصول الإصلاح إلى المستجيبين وأسئلة استخدام الخدمة، باختبار ما إذا كان الاستخدام قد تحرك بعد تغير البنية والمؤسسات.</x:v>
      </x:c>
    </x:row>
    <x:row r="305">
      <x:c r="A305" t="str">
        <x:v>/readings/reforms-newer-than-people-evidence/</x:v>
      </x:c>
      <x:c r="B305" t="n">
        <x:v>9</x:v>
      </x:c>
      <x:c r="C305"/>
      <x:c r="D305" t="str">
        <x:v>Trace the reading back to evidence</x:v>
      </x:c>
      <x:c r="E305" t="str">
        <x:v>Open the linked evidence records to check the definition, period, population or scope, source, derivation, limitations, evidence date and correction history behind each figure in this reading.</x:v>
      </x:c>
      <x:c r="F305" t="str">
        <x:v>تتبّع القراءة إلى أدلتها</x:v>
      </x:c>
      <x:c r="G305" t="str">
        <x:v>افتح الخلاصات وسجلات الأدلة المرتبطة لفحص التعريف والفترة والمجتمع أو النطاق والمصدر وطريقة الاشتقاق وشروط إعادة الاستخدام والحدود وحداثة الدليل وسجل التصحيح. وقارن الأدلة المختلفة من دون إجبارها على مقياس واحد.</x:v>
      </x:c>
    </x:row>
    <x:row r="306">
      <x:c r="A306" t="str">
        <x:v>/readings/same-year-different-number/</x:v>
      </x:c>
      <x:c r="B306" t="n">
        <x:v>2</x:v>
      </x:c>
      <x:c r="C306"/>
      <x:c r="D306" t="str">
        <x:v>What supports this reading</x:v>
      </x:c>
      <x:c r="E306" t="str">
        <x:v>Same reference year, different published value: Annual reports of the Central Bank of Yemen – Aden (CBY-Aden) publish materially different remittance values for the same reference year. For 2024, the 2024 annual report gave USD 6.245 billion, while the 2025 annual report restated 2024 at about USD 3.42 billion. This is a same-year restatement, not evidence of year-on-year economic movement.
A reconstruction programme is documented; the exact CBY formula is not: IMF documents a 2024–2025 external-sector statistical reconstruction effort with CBY-Aden, including a demographic-behavioural personal-transfer model where informal-channel data were limited. This establishes method context, not the exact formula or scope used in every remittance value in CBY-Aden’s 2025 annual report.
The paths align after normalization; their levels are not equivalent: When both remittance series are indexed to 2021 = 100, the paths in CBY-Aden’s 2025 annual report and the IMF Article IV report are almost identical through 2024; the maximum annual-growth difference over 2022–2024 is 0.0032 percentage points. The two indexed paths move almost identically, but that does not show that the raw levels share the same scope.</x:v>
      </x:c>
      <x:c r="F306" t="str">
        <x:v>ما الأدلة التي تسند هذه القراءة</x:v>
      </x:c>
      <x:c r="G306" t="str">
        <x:v>السنة المرجعية نفسها، وقيمة منشورة مختلفة: تنشر التقارير السنوية للبنك المركزي اليمني – عدن قيمًا مختلفة بصورة جوهرية للتحويلات الواردة في ميزان المدفوعات للسنة المرجعية نفسها. ففي تقرير 2024 بلغت قيمة عام 2024 نحو 6.245 مليار دولار، بينما أعاد تقرير 2025 عرض عام 2024 عند 3.42 مليار دولار تقريبًا. هذه إعادة عرض للسنة نفسها، وليست دليلًا على حركة اقتصادية بين عامين.
إعادة البناء الإحصائي موثقة، أما الصيغة الدقيقة للبنك المركزي في عدن فليست كذلك: 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للتحويلات في التقرير السنوي 2025 للبنك المركزي في عدن.
يتطابق المساران تقريبًا بعد تحويلهما إلى رقم قياسي، لكن مستوياتهما ليست متكافئة: عند تحويل سلسلتي التحويلات إلى رقم قياسي (2021 = 100)، يصبح مسارا التقرير السنوي 2025 للبنك المركزي في عدن وتقرير مشاورات المادة الرابعة لصندوق النقد الدولي متطابقين تقريبًا حتى 2024؛ ولا يتجاوز أكبر فرق في معدل النمو السنوي خلال 2022–2024 نحو 0.0032 نقطة مئوية. هذا توافق في المسار، وليس دليلًا على أن المستويات الخام تغطي النطاق نفسه.</x:v>
      </x:c>
    </x:row>
    <x:row r="307">
      <x:c r="A307" t="str">
        <x:v>/readings/same-year-different-number/</x:v>
      </x:c>
      <x:c r="B307" t="n">
        <x:v>3</x:v>
      </x:c>
      <x:c r="C307"/>
      <x:c r="D307" t="str">
        <x:v>What qualifies or complicates the reading</x:v>
      </x:c>
      <x:c r="E307" t="str">
        <x:v>The two series do not share a published scope: the annual report of the Central Bank of Yemen – Aden (CBY-Aden) gives a publication-level series, while the IMF series is on the IMF’s analytical scope for areas under the internationally recognized government. No public crosswalk maps one level to the other. The close match after indexing shows similar movement, not a common level, and a same-year revision remains different from change over time.</x:v>
      </x:c>
      <x:c r="F307" t="str">
        <x:v>ما الذي يقيّد هذه القراءة أو يعقّدها</x:v>
      </x:c>
      <x:c r="G307" t="str">
        <x:v>لا تشترك السلسلتان في نطاق منشور واحد: فالتقرير السنوي للبنك المركزي اليمني – عدن يقدم السلسلة بالمستوى المنشور فيه، بينما تقع سلسلة صندوق النقد الدولي ضمن النطاق التحليلي للصندوق الخاص بمناطق الحكومة المعترف بها دوليًا. ولا توجد مطابقة عامة تربط أحد المستويين بالآخر. ويُظهر التطابق الوثيق بعد التحويل إلى رقم قياسي تشابهًا في الحركة لا مستوى مشتركًا، وتبقى المراجعة داخل السنة نفسها مختلفة عن التغير عبر الزمن.</x:v>
      </x:c>
    </x:row>
    <x:row r="308">
      <x:c r="A308" t="str">
        <x:v>/readings/same-year-different-number/</x:v>
      </x:c>
      <x:c r="B308" t="n">
        <x:v>4</x:v>
      </x:c>
      <x:c r="C308"/>
      <x:c r="D308" t="str">
        <x:v>How this fits into the wider system</x:v>
      </x:c>
      <x:c r="E308" t="str">
        <x:v>Remittances sit simultaneously inside household livelihoods, foreign-exchange availability, balance-of-payments statistics and payment channels. A revision to the macro series therefore changes the baseline used by several decisions even when no new household event occurred. Keeping both the reference year and publication vintage visible allows a user to distinguish economic movement from statistical revision.</x:v>
      </x:c>
      <x:c r="F308" t="str">
        <x:v>كيف يرتبط ذلك بالمنظومة الأوسع</x:v>
      </x:c>
      <x:c r="G308" t="str">
        <x:v>تقع التحويلات في آن واحد داخل معيشة الأسر، وتوافر النقد الأجنبي، وإحصاءات ميزان المدفوعات، وقنوات الدفع. لذلك فإن مراجعة السلسلة الكلية تغيّر خط الأساس الذي تستند إليه قرارات متعددة حتى عندما لا يكون هناك حدث جديد لدى الأسر. ويسمح إبقاء السنة المرجعية ونسخة النشر ظاهرتين بالتمييز بين الحركة الاقتصادية والمراجعة الإحصائية.</x:v>
      </x:c>
    </x:row>
    <x:row r="309">
      <x:c r="A309" t="str">
        <x:v>/readings/same-year-different-number/</x:v>
      </x:c>
      <x:c r="B309" t="n">
        <x:v>5</x:v>
      </x:c>
      <x:c r="C309"/>
      <x:c r="D309" t="str">
        <x:v>What the evidence does not establish</x:v>
      </x:c>
      <x:c r="E309" t="str">
        <x:v>The evidence does not identify the exact formula behind every restated value, and it does not measure how remittances are distributed across households. 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F309" t="str">
        <x:v>ما الذي لا تثبته الأدلة</x:v>
      </x:c>
      <x:c r="G309" t="str">
        <x:v>لا تحدد القراءة الصيغة الكاملة الدقيقة التي تقوم عليها كل قيمة معاد عرضها، ولا تقيس توزيع التحويلات على الأسر. لا توجد سلسلة تمثل وحدها المستوى الصحيح؛ ولا يصلح معامل واحد — مثل النسبة الثابتة تقريبًا البالغة نحو 1.838 بين سلسلتي التحويلات لدى البنك المركزي اليمني – عدن وصندوق النقد الدولي، أو حصة السكان البالغة 33% التي استخدمها الصندوق للمناطق التي تديرها عدن — معاملَ تحويل موحّدًا ينطبق على كل السلاسل؛ ولا يمثل صافي الأخطاء والسهو تحويلات مخفية؛ ولا يُعتمد تقدير ناتج عن نموذج المتبقي خطَّ أساس.</x:v>
      </x:c>
    </x:row>
    <x:row r="310">
      <x:c r="A310" t="str">
        <x:v>/readings/same-year-different-number/</x:v>
      </x:c>
      <x:c r="B310" t="n">
        <x:v>6</x:v>
      </x:c>
      <x:c r="C310"/>
      <x:c r="D310" t="str">
        <x:v>Implication for decision use</x:v>
      </x:c>
      <x:c r="E310" t="str">
        <x:v>For remittance, FX and resilience analysis, a baseline is interpretable only when its publication vintage and source scope are explicit. If a later publication restates the same reference year, the first analytical question is reconciliation of the revision, not an assumption of economic change. Scenario analysis can retain both vintages when it states which baseline underlies each result.</x:v>
      </x:c>
      <x:c r="F310" t="str">
        <x:v>ما الذي يعنيه ذلك عند استخدام الدليل في القرار</x:v>
      </x:c>
      <x:c r="G310" t="str">
        <x:v>في تحليل التحويلات والنقد الأجنبي والقدرة على الصمود، لا يكون خط الأساس قابلًا للتفسير إلا إذا ظهرت نسخة النشر ونطاق المصدر بوضوح. وإذا أعاد إصدار لاحق عرض السنة المرجعية نفسها، فالسؤال التحليلي الأول هو مطابقة المراجعة وتفسيرها، لا افتراض حدوث تغير اقتصادي. ويمكن إبقاء النسختين في تحليل السيناريو متى ذُكر خط الأساس الذي تستند إليه كل نتيجة.</x:v>
      </x:c>
    </x:row>
    <x:row r="311">
      <x:c r="A311" t="str">
        <x:v>/readings/same-year-different-number/</x:v>
      </x:c>
      <x:c r="B311" t="n">
        <x:v>7</x:v>
      </x:c>
      <x:c r="C311"/>
      <x:c r="D311" t="str">
        <x:v>What remains unknown</x:v>
      </x:c>
      <x:c r="E311" t="str">
        <x:v>The exact institutional crosswalk from the reconstructed external-sector method to every CBY annual-report value is not yet available in the evidence base, and the macro series does not show how transfers are distributed across households or channels.</x:v>
      </x:c>
      <x:c r="F311" t="str">
        <x:v>ما الذي ما زلنا لا نعرفه</x:v>
      </x:c>
      <x:c r="G311" t="str">
        <x:v>لا تزال المطابقة المؤسسية الدقيقة بين منهج إعادة بناء إحصاءات القطاع الخارجي وكل قيمة منشورة في التقارير السنوية للبنك المركزي اليمني – عدن غير متاحة بصورة مكتملة، كما أن السلسلة الكلية لا تبين توزيع التحويلات بين الأسر أو القنوات.</x:v>
      </x:c>
    </x:row>
    <x:row r="312">
      <x:c r="A312" t="str">
        <x:v>/readings/same-year-different-number/</x:v>
      </x:c>
      <x:c r="B312" t="n">
        <x:v>8</x:v>
      </x:c>
      <x:c r="C312"/>
      <x:c r="D312" t="str">
        <x:v>What evidence would change the reading</x:v>
      </x:c>
      <x:c r="E312" t="str">
        <x:v>A primary crosswalk that documents the exact formula/scope behind the restated series, together with updated household and channel evidence, would allow this resource to distinguish statistical reconstruction from distributional and channel change more precisely.</x:v>
      </x:c>
      <x:c r="F312" t="str">
        <x:v>ما الدليل الذي سيغير هذه القراءة</x:v>
      </x:c>
      <x:c r="G312" t="str">
        <x:v>ستسمح مطابقة موثقة صادرة عن المصدر الأصلي للصيغة والنطاق اللذين تقوم عليهما السلسلة المعاد عرضها، إلى جانب أدلة محدثة عن الأسر والقنوات، بفصل أثر إعادة البناء الإحصائي عن التغير في التوزيع والقنوات بصورة أدق.</x:v>
      </x:c>
    </x:row>
    <x:row r="313">
      <x:c r="A313" t="str">
        <x:v>/readings/same-year-different-number/</x:v>
      </x:c>
      <x:c r="B313" t="n">
        <x:v>9</x:v>
      </x:c>
      <x:c r="C313"/>
      <x:c r="D313" t="str">
        <x:v>Trace the reading back to evidence</x:v>
      </x:c>
      <x:c r="E313" t="str">
        <x:v>Open the linked evidence records to check the definition, period, population or scope, source, derivation, limitations, evidence date and correction history behind each figure in this reading.</x:v>
      </x:c>
      <x:c r="F313" t="str">
        <x:v>تتبّع القراءة إلى أدلتها</x:v>
      </x:c>
      <x:c r="G313" t="str">
        <x:v>افتح الخلاصات وسجلات الأدلة المرتبطة لفحص التعريف والفترة والمجتمع أو النطاق والمصدر وطريقة الاشتقاق وشروط إعادة الاستخدام والحدود وحداثة الدليل وسجل التصحيح. وقارن الأدلة المختلفة من دون إجبارها على مقياس واحد.</x:v>
      </x:c>
    </x:row>
    <x:row r="314">
      <x:c r="A314" t="str">
        <x:v>/reforms/</x:v>
      </x:c>
      <x:c r="B314" t="n">
        <x:v>1</x:v>
      </x:c>
      <x:c r="C314"/>
      <x:c r="D314"/>
      <x:c r="E314"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314"/>
      <x:c r="G314"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315">
      <x:c r="A315" t="str">
        <x:v>/reforms/</x:v>
      </x:c>
      <x:c r="B315" t="n">
        <x:v>2</x:v>
      </x:c>
      <x:c r="C315" t="str">
        <x:v>System context</x:v>
      </x:c>
      <x:c r="D315" t="str">
        <x:v>The reform chain has distinct evidence states</x:v>
      </x:c>
      <x:c r="E315"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state is not yet established.</x:v>
      </x:c>
      <x:c r="F315"/>
      <x:c r="G315"/>
    </x:row>
    <x:row r="316">
      <x:c r="A316" t="str">
        <x:v>/reforms/</x:v>
      </x:c>
      <x:c r="B316" t="n">
        <x:v>2</x:v>
      </x:c>
      <x:c r="C316" t="str">
        <x:v>سياق المنظومة</x:v>
      </x:c>
      <x:c r="D316"/>
      <x:c r="E316"/>
      <x:c r="F316" t="str">
        <x:v>تمر سلسلة الإصلاح بمراحل يحتاج كلٌّ منها إلى دليله</x:v>
      </x:c>
      <x:c r="G316" t="str">
        <x:v>يستخدم هذا المورد سلسلة انتقال واحدة: قاعدة تنظيمية أو تمويل ← تنفيذ أو مؤسسة ← تشغيل ← وصول متاح ← استخدام فعلي ← جودة وحماية ← نتيجة. ويشغل كل إصلاح أبعد مرحلة تدعمها الأدلة فقط. وغياب الدليل في مرحلة لاحقة لا يعني فشل الإصلاح؛ بل يعني أن تلك المرحلة لم تُثبت بعد.</x:v>
      </x:c>
    </x:row>
    <x:row r="317">
      <x:c r="A317" t="str">
        <x:v>/reforms/</x:v>
      </x:c>
      <x:c r="B317" t="n">
        <x:v>3</x:v>
      </x:c>
      <x:c r="C317" t="str">
        <x:v>Analysis</x:v>
      </x:c>
      <x:c r="D317" t="str">
        <x:v>Official guidance describes a complaint path; performance is unmeasured</x:v>
      </x:c>
      <x:c r="E317"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317"/>
      <x:c r="G317"/>
    </x:row>
    <x:row r="318">
      <x:c r="A318" t="str">
        <x:v>/reforms/</x:v>
      </x:c>
      <x:c r="B318" t="n">
        <x:v>3</x:v>
      </x:c>
      <x:c r="C318" t="str">
        <x:v>التحليل</x:v>
      </x:c>
      <x:c r="D318"/>
      <x:c r="E318"/>
      <x:c r="F318" t="str">
        <x:v>الإرشادات الرسمية تصف مسار الشكوى، أما الأداء فغير مقيس</x:v>
      </x:c>
      <x:c r="G31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319">
      <x:c r="A319" t="str">
        <x:v>/reforms/</x:v>
      </x:c>
      <x:c r="B319" t="n">
        <x:v>4</x:v>
      </x:c>
      <x:c r="C319" t="str">
        <x:v>Evidence</x:v>
      </x:c>
      <x:c r="D319" t="str">
        <x:v>The e-money amendment changes rules, not observed usage</x:v>
      </x:c>
      <x:c r="E319" t="str">
        <x:v>The signed 2025 mobile e-money amendment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319"/>
      <x:c r="G319"/>
    </x:row>
    <x:row r="320">
      <x:c r="A320" t="str">
        <x:v>/reforms/</x:v>
      </x:c>
      <x:c r="B320" t="n">
        <x:v>4</x:v>
      </x:c>
      <x:c r="C320" t="str">
        <x:v>الدليل</x:v>
      </x:c>
      <x:c r="D320"/>
      <x:c r="E320"/>
      <x:c r="F320" t="str">
        <x:v>تعديل النقود الإلكترونية يغير القواعد، لا الاستخدام المرصود</x:v>
      </x:c>
      <x:c r="G320" t="str">
        <x:v>يسمح تعديل النقود الإلكترونية عبر الهاتف المحمول الذي وُقِّع في 2025 بفئات محددة من النقود الإلكترونية بالعملة الأجنبية إلى جانب الريال اليمني، ويضع حدودًا للمعاملات والأرصدة. هذه صلاحيات وحدود قانونية؛ ولا تثبت أن مقدم خدمة أطلق المنتج أو أن العملاء تبنوه أو حجم الأرصدة أو توزيع المعاملات.</x:v>
      </x:c>
    </x:row>
    <x:row r="321">
      <x:c r="A321" t="str">
        <x:v>/reforms/</x:v>
      </x:c>
      <x:c r="B321" t="n">
        <x:v>5</x:v>
      </x:c>
      <x:c r="C321" t="str">
        <x:v>Analysis</x:v>
      </x:c>
      <x:c r="D321" t="str">
        <x:v>Financial-literacy activity is an output until capability is measured</x:v>
      </x:c>
      <x:c r="E321" t="str">
        <x:v>Global Money Week records of the Central Bank of Yemen – Aden (CBY-Aden) verify activity during 2023–2025. Population financial capability is a different evidence class. Without a suitable baseline, endline or evaluation, this resource does not attribute capability levels or changes to those activities.</x:v>
      </x:c>
      <x:c r="F321"/>
      <x:c r="G321"/>
    </x:row>
    <x:row r="322">
      <x:c r="A322" t="str">
        <x:v>/reforms/</x:v>
      </x:c>
      <x:c r="B322" t="n">
        <x:v>5</x:v>
      </x:c>
      <x:c r="C322" t="str">
        <x:v>التحليل</x:v>
      </x:c>
      <x:c r="D322"/>
      <x:c r="E322"/>
      <x:c r="F322" t="str">
        <x:v>يبقى نشاط التثقيف المالي مخرجًا إلى أن تُقاس القدرة</x:v>
      </x:c>
      <x:c r="G322"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23">
      <x:c r="A323" t="str">
        <x:v>/reforms/</x:v>
      </x:c>
      <x:c r="B323" t="n">
        <x:v>6</x:v>
      </x:c>
      <x:c r="C323" t="str">
        <x:v>Analysis</x:v>
      </x:c>
      <x:c r="D323" t="str">
        <x:v>FPS, RTGS and access support are different parts of the payment-infrastructure reform</x:v>
      </x:c>
      <x:c r="E323"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states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x:v>
      </x:c>
      <x:c r="F323"/>
      <x:c r="G323"/>
    </x:row>
    <x:row r="324">
      <x:c r="A324" t="str">
        <x:v>/reforms/</x:v>
      </x:c>
      <x:c r="B324" t="n">
        <x:v>6</x:v>
      </x:c>
      <x:c r="C324" t="str">
        <x:v>التحليل</x:v>
      </x:c>
      <x:c r="D324"/>
      <x:c r="E324"/>
      <x:c r="F324" t="str">
        <x:v>FPS وRTGS ودعم الوصول أجزاء مختلفة من إصلاح البنية التحتية للمدفوعات</x:v>
      </x:c>
      <x:c r="G324" t="str">
        <x:v>يفصل مشروع البنية التحتية للأسواق المالية والشمول المالي في اليمن (FMIIP) بين ثلاث وظائف: نظام الدفع السريع (FPS)،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للبنك المركزي في عدن بشأن رمز الاستجابة السريعة (QR) الوطني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الكامل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في عدن ولا مع قياسات امتلاك الحساب في المسوح.</x:v>
      </x:c>
    </x:row>
    <x:row r="325">
      <x:c r="A325" t="str">
        <x:v>/reforms/</x:v>
      </x:c>
      <x:c r="B325" t="n">
        <x:v>7</x:v>
      </x:c>
      <x:c r="C325" t="str">
        <x:v>Evidence</x:v>
      </x:c>
      <x:c r="D325" t="str">
        <x:v>The July 2026 SMP state is staff-level and conditional</x:v>
      </x:c>
      <x:c r="E325" t="str">
        <x:v>On July 16,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x:v>
      </x:c>
      <x:c r="F325"/>
      <x:c r="G325"/>
    </x:row>
    <x:row r="326">
      <x:c r="A326" t="str">
        <x:v>/reforms/</x:v>
      </x:c>
      <x:c r="B326" t="n">
        <x:v>7</x:v>
      </x:c>
      <x:c r="C326" t="str">
        <x:v>الدليل</x:v>
      </x:c>
      <x:c r="D326"/>
      <x:c r="E326"/>
      <x:c r="F326" t="str">
        <x:v>وضع البرنامج الذي يراقبه خبراء صندوق النقد الدولي (SMP) في يوليو 2026: اتفاق على مستوى الخبراء، ومشروط بموافقة الإدارة</x:v>
      </x:c>
      <x:c r="G326"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x:v>
      </x:c>
    </x:row>
    <x:row r="327">
      <x:c r="A327" t="str">
        <x:v>/reforms/</x:v>
      </x:c>
      <x:c r="B327" t="n">
        <x:v>8</x:v>
      </x:c>
      <x:c r="C327" t="str">
        <x:v>Analysis</x:v>
      </x:c>
      <x:c r="D327" t="str">
        <x:v>Funding states must remain distinct inside reform and programme stories</x:v>
      </x:c>
      <x:c r="E327" t="str">
        <x:v>Pledge, commitment, signed agreement, deposit, amount made available, budget disbursement, FX-auction use, in-kind support and project cost are not interchangeable. A project target is likewise not an observed result. This resource uses state labels so commitments, inputs and outputs do not become one cumulative total or an inclusion outcome by presentation alone.</x:v>
      </x:c>
      <x:c r="F327"/>
      <x:c r="G327"/>
    </x:row>
    <x:row r="328">
      <x:c r="A328" t="str">
        <x:v>/reforms/</x:v>
      </x:c>
      <x:c r="B328" t="n">
        <x:v>8</x:v>
      </x:c>
      <x:c r="C328" t="str">
        <x:v>التحليل</x:v>
      </x:c>
      <x:c r="D328"/>
      <x:c r="E328"/>
      <x:c r="F328" t="str">
        <x:v>يجب أن تبقى مراحل التمويل وصيغه منفصلة في قراءة الإصلاحات والبرامج</x:v>
      </x:c>
      <x:c r="G328"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29">
      <x:c r="A329" t="str">
        <x:v>/reforms/</x:v>
      </x:c>
      <x:c r="B329" t="n">
        <x:v>9</x:v>
      </x:c>
      <x:c r="C329" t="str">
        <x:v>What this does not establish</x:v>
      </x:c>
      <x:c r="D329" t="str">
        <x:v>What reform evidence does not establish</x:v>
      </x:c>
      <x:c r="E329"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29"/>
      <x:c r="G329"/>
    </x:row>
    <x:row r="330">
      <x:c r="A330" t="str">
        <x:v>/reforms/</x:v>
      </x:c>
      <x:c r="B330" t="n">
        <x:v>9</x:v>
      </x:c>
      <x:c r="C330" t="str">
        <x:v>ما الذي لا يثبته الدليل</x:v>
      </x:c>
      <x:c r="D330"/>
      <x:c r="E330"/>
      <x:c r="F330" t="str">
        <x:v>ما الذي لا تثبته أدلة الإصلاح؟</x:v>
      </x:c>
      <x:c r="G330" t="str">
        <x:v>القاعدة التنظيمية لا تثبت جودة التنفيذ. والمكوّن الممول أو المشترى لا يثبت التشغيل. والمؤسسة الجديدة لا تثبت التبني. ومسار الشكاوى لا يثبت فعالية التظلم. والمشاركة في نشاط تثقيفي لا تثبت القدرة. والمستهدف لا يثبت الإنجاز. كما أن غياب دليل النتيجة اللاحقة ليس دليلًا على فشل الإصلاح.</x:v>
      </x:c>
    </x:row>
    <x:row r="331">
      <x:c r="A331" t="str">
        <x:v>/reforms/</x:v>
      </x:c>
      <x:c r="B331" t="n">
        <x:v>10</x:v>
      </x:c>
      <x:c r="C331" t="str">
        <x:v>What we still do not know</x:v>
      </x:c>
      <x:c r="D331" t="str">
        <x:v>Where the reform evidence chain breaks</x:v>
      </x:c>
      <x:c r="E331" t="str">
        <x:v>The biggest gaps sit after formal or implementation milestones: go-live evidence and subsequent active rail use, service reliability, consumer complaint volumes and outcomes, provider compliance in practice, user awareness and capability, and comparable user-level outcomes. Those gaps determine how far each reform can be interpreted.</x:v>
      </x:c>
      <x:c r="F331"/>
      <x:c r="G331"/>
    </x:row>
    <x:row r="332">
      <x:c r="A332" t="str">
        <x:v>/reforms/</x:v>
      </x:c>
      <x:c r="B332" t="n">
        <x:v>10</x:v>
      </x:c>
      <x:c r="C332" t="str">
        <x:v>ما الذي ما زلنا لا نعرفه</x:v>
      </x:c>
      <x:c r="D332"/>
      <x:c r="E332"/>
      <x:c r="F332" t="str">
        <x:v>أين تنقطع سلسلة أدلة الإصلاح؟</x:v>
      </x:c>
      <x:c r="G332"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33">
      <x:c r="A333" t="str">
        <x:v>/reforms/</x:v>
      </x:c>
      <x:c r="B333" t="n">
        <x:v>11</x:v>
      </x:c>
      <x:c r="C333" t="str">
        <x:v>Regulatory evidence</x:v>
      </x:c>
      <x:c r="D333" t="str">
        <x:v>Adopting a rule and implementing it are different evidence states</x:v>
      </x:c>
      <x:c r="E333" t="str">
        <x:v>The Central Bank of Yemen – Aden (CBY-Aden) announced its Financial Consumer Protection Regulatory Instructions on 28 August 2023. That establishes a documented regulatory state. It does not by itself establish provider compliance, supervisory effectiveness, consumer experience, or implementation across all relevant institutions and geographies.</x:v>
      </x:c>
      <x:c r="F333"/>
      <x:c r="G333"/>
    </x:row>
    <x:row r="334">
      <x:c r="A334" t="str">
        <x:v>/reforms/</x:v>
      </x:c>
      <x:c r="B334" t="n">
        <x:v>11</x:v>
      </x:c>
      <x:c r="C334" t="str">
        <x:v>أدلة تنظيمية</x:v>
      </x:c>
      <x:c r="D334"/>
      <x:c r="E334"/>
      <x:c r="F334" t="str">
        <x:v>اعتماد القاعدة التنظيمية وتنفيذها مرحلتان مختلفتان تحتاج كلٌّ منهما إلى دليل</x:v>
      </x:c>
      <x:c r="G334"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35">
      <x:c r="A335" t="str">
        <x:v>/remittances/</x:v>
      </x:c>
      <x:c r="B335" t="n">
        <x:v>1</x:v>
      </x:c>
      <x:c r="C335"/>
      <x:c r="D335"/>
      <x:c r="E335" t="str">
        <x:v>For the 2024 reference year, the 2024 annual report of the Central Bank of Yemen – Aden (CBY-Aden) gave remittances of US$6.245 billion, and its 2025 annual report restated the same year at about US$3.42 billion: a revision of the same year, not a fall. Macro inflows, corridor prices and household receipt channels answer different questions, so this resource keeps these evidence records separate and makes revisions visible.</x:v>
      </x:c>
      <x:c r="F335"/>
      <x:c r="G335" t="str">
        <x:v>عن السنة المرجعية 2024، أورد التقرير السنوي 2024 للبنك المركزي اليمني – عدن تحويلات قدرها 6.245 مليار دولار، ثم أعاد تقريره السنوي 2025 عرض السنة نفسها عند نحو 3.42 مليار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36">
      <x:c r="A336" t="str">
        <x:v>/remittances/</x:v>
      </x:c>
      <x:c r="B336" t="n">
        <x:v>2</x:v>
      </x:c>
      <x:c r="C336" t="str">
        <x:v>Analysis</x:v>
      </x:c>
      <x:c r="D336" t="str">
        <x:v>Reported history, estimates and projections are different evidence states</x:v>
      </x:c>
      <x:c r="E336"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36"/>
      <x:c r="G336"/>
    </x:row>
    <x:row r="337">
      <x:c r="A337" t="str">
        <x:v>/remittances/</x:v>
      </x:c>
      <x:c r="B337" t="n">
        <x:v>2</x:v>
      </x:c>
      <x:c r="C337" t="str">
        <x:v>التحليل</x:v>
      </x:c>
      <x:c r="D337"/>
      <x:c r="E337"/>
      <x:c r="F337" t="str">
        <x:v>القيم التاريخية المنشورة والتقديرات والتوقعات أنواع مختلفة من الأدلة</x:v>
      </x:c>
      <x:c r="G337"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التحويلات الكلية لا تقيس حجم الحوالة غير الرسمية.</x:v>
      </x:c>
    </x:row>
    <x:row r="338">
      <x:c r="A338" t="str">
        <x:v>/remittances/</x:v>
      </x:c>
      <x:c r="B338" t="n">
        <x:v>3</x:v>
      </x:c>
      <x:c r="C338" t="str">
        <x:v>Analysis</x:v>
      </x:c>
      <x:c r="D338" t="str">
        <x:v>The same reference year can change when the source vintage changes</x:v>
      </x:c>
      <x:c r="E338" t="str">
        <x:v>For the 2024 reference year, the 2024 annual report of the Central Bank of Yemen – Aden (CBY-Aden) gave US$6.245 billion, while its 2025 annual report restated 2024 at about US$3.42 billion. That is a same-year source revision, not a year-on-year fall. The later path also shows unusually similar growth rates across overlapping years; that invites method scrutiny but does not establish smoothing or interpolation.</x:v>
      </x:c>
      <x:c r="F338"/>
      <x:c r="G338"/>
    </x:row>
    <x:row r="339">
      <x:c r="A339" t="str">
        <x:v>/remittances/</x:v>
      </x:c>
      <x:c r="B339" t="n">
        <x:v>3</x:v>
      </x:c>
      <x:c r="C339" t="str">
        <x:v>التحليل</x:v>
      </x:c>
      <x:c r="D339"/>
      <x:c r="E339"/>
      <x:c r="F339" t="str">
        <x:v>قد تتغير قيمة السنة نفسها عندما تتغير نسخة المصدر</x:v>
      </x:c>
      <x:c r="G339" t="str">
        <x:v>وعن السنة المرجعية 2024، أورد التقرير السنوي 2024 للبنك المركزي اليمني – عدن قيمة قدرها 6.245 مليار دولار، بينما أعاد تقرير 2025 عرض 2024 عند 3.42 مليار دولار تقريبًا.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40">
      <x:c r="A340" t="str">
        <x:v>/remittances/</x:v>
      </x:c>
      <x:c r="B340" t="n">
        <x:v>4</x:v>
      </x:c>
      <x:c r="C340" t="str">
        <x:v>Evidence</x:v>
      </x:c>
      <x:c r="D340" t="str">
        <x:v>A reconstruction effort is documented; the exact crosswalk is not</x:v>
      </x:c>
      <x:c r="E340"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Tested public CBY-Aden and IMF components do not support one universal conversion scalar.</x:v>
      </x:c>
      <x:c r="F340"/>
      <x:c r="G340"/>
    </x:row>
    <x:row r="341">
      <x:c r="A341" t="str">
        <x:v>/remittances/</x:v>
      </x:c>
      <x:c r="B341" t="n">
        <x:v>4</x:v>
      </x:c>
      <x:c r="C341" t="str">
        <x:v>الدليل</x:v>
      </x:c>
      <x:c r="D341"/>
      <x:c r="E341"/>
      <x:c r="F341" t="str">
        <x:v>جهد إعادة بناء الإحصاءات موثق، لكن المطابقة الدقيقة ليست محسومة</x:v>
      </x:c>
      <x:c r="G341"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في عدن. ولا تدعم المكونات العامة المختبرة لدى البنك المركزي في عدن وصندوق النقد معامل تحويل موحّدًا ينطبق على كل السلاسل.</x:v>
      </x:c>
    </x:row>
    <x:row r="342">
      <x:c r="A342" t="str">
        <x:v>/remittances/</x:v>
      </x:c>
      <x:c r="B342" t="n">
        <x:v>5</x:v>
      </x:c>
      <x:c r="C342" t="str">
        <x:v>Analysis</x:v>
      </x:c>
      <x:c r="D342" t="str">
        <x:v>Cost depends on corridor and transfer size</x:v>
      </x:c>
      <x:c r="E342"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42"/>
      <x:c r="G342"/>
    </x:row>
    <x:row r="343">
      <x:c r="A343" t="str">
        <x:v>/remittances/</x:v>
      </x:c>
      <x:c r="B343" t="n">
        <x:v>5</x:v>
      </x:c>
      <x:c r="C343" t="str">
        <x:v>التحليل</x:v>
      </x:c>
      <x:c r="D343"/>
      <x:c r="E343"/>
      <x:c r="F343" t="str">
        <x:v>تختلف التكلفة بحسب الممر ومبلغ الحوالة</x:v>
      </x:c>
      <x:c r="G343" t="str">
        <x:v>في الربع الثالث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44">
      <x:c r="A344" t="str">
        <x:v>/remittances/</x:v>
      </x:c>
      <x:c r="B344" t="n">
        <x:v>6</x:v>
      </x:c>
      <x:c r="C344" t="str">
        <x:v>System context</x:v>
      </x:c>
      <x:c r="D344" t="str">
        <x:v>Household behaviour is a different evidence layer</x:v>
      </x:c>
      <x:c r="E344"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x:v>
      </x:c>
      <x:c r="F344"/>
      <x:c r="G344"/>
    </x:row>
    <x:row r="345">
      <x:c r="A345" t="str">
        <x:v>/remittances/</x:v>
      </x:c>
      <x:c r="B345" t="n">
        <x:v>6</x:v>
      </x:c>
      <x:c r="C345" t="str">
        <x:v>سياق المنظومة</x:v>
      </x:c>
      <x:c r="D345"/>
      <x:c r="E345"/>
      <x:c r="F345" t="str">
        <x:v>سلوك الأسر طبقة مختلفة من الأدلة</x:v>
      </x:c>
      <x:c r="G345"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x:v>
      </x:c>
    </x:row>
    <x:row r="346">
      <x:c r="A346" t="str">
        <x:v>/remittances/</x:v>
      </x:c>
      <x:c r="B346" t="n">
        <x:v>7</x:v>
      </x:c>
      <x:c r="C346" t="str">
        <x:v>Analysis</x:v>
      </x:c>
      <x:c r="D346" t="str">
        <x:v>Before ranking external flows, inspect the balancing residual</x:v>
      </x:c>
      <x:c r="E346"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46"/>
      <x:c r="G346"/>
    </x:row>
    <x:row r="347">
      <x:c r="A347" t="str">
        <x:v>/remittances/</x:v>
      </x:c>
      <x:c r="B347" t="n">
        <x:v>7</x:v>
      </x:c>
      <x:c r="C347" t="str">
        <x:v>التحليل</x:v>
      </x:c>
      <x:c r="D347"/>
      <x:c r="E347"/>
      <x:c r="F347" t="str">
        <x:v>قبل ترتيب التدفقات الخارجية، افحص بند صافي الأخطاء والسهو</x:v>
      </x:c>
      <x:c r="G347" t="str">
        <x:v>في التقرير السنوي 2025 للبنك المركزي اليمني – عدن يفوق صافي الأخطاء والسهو بندَ التحويلات المنشور في كل سنة من 2021 إلى 2025؛ وفي 2025 بلغ المتبقي نحو 7.117 مليار دولار مقابل 3.614 مليار دولار للتحويلات، أي قرابة 1.97 مرة. وصافي الأخطاء والسهو بندٌ موازِن محاسبيًا، وليس تدفقًا مرصودًا ولا تقديرًا لتحويلات خفية.</x:v>
      </x:c>
    </x:row>
    <x:row r="348">
      <x:c r="A348" t="str">
        <x:v>/remittances/</x:v>
      </x:c>
      <x:c r="B348" t="n">
        <x:v>8</x:v>
      </x:c>
      <x:c r="C348" t="str">
        <x:v>What this does not establish</x:v>
      </x:c>
      <x:c r="D348" t="str">
        <x:v>What remittance evidence does not establish</x:v>
      </x:c>
      <x:c r="E348"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48"/>
      <x:c r="G348"/>
    </x:row>
    <x:row r="349">
      <x:c r="A349" t="str">
        <x:v>/remittances/</x:v>
      </x:c>
      <x:c r="B349" t="n">
        <x:v>8</x:v>
      </x:c>
      <x:c r="C349" t="str">
        <x:v>ما الذي لا يثبته الدليل</x:v>
      </x:c>
      <x:c r="D349"/>
      <x:c r="E349"/>
      <x:c r="F349" t="str">
        <x:v>ما الذي لا تثبته أدلة الحوالات؟</x:v>
      </x:c>
      <x:c r="G349" t="str">
        <x:v>لا تساوي سلسلة التحويلات الواردة في ميزان المدفوعات حجمَ الحوالة غير الرسمية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50">
      <x:c r="A350" t="str">
        <x:v>/remittances/</x:v>
      </x:c>
      <x:c r="B350" t="n">
        <x:v>9</x:v>
      </x:c>
      <x:c r="C350" t="str">
        <x:v>What we still do not know</x:v>
      </x:c>
      <x:c r="D350" t="str">
        <x:v>What remains unresolved</x:v>
      </x:c>
      <x:c r="E350" t="str">
        <x:v>The exact public crosswalk between key external-sector series of the Central Bank of Yemen – Aden (CBY-Aden) and the IMF remains open. For 2024, CBY-Aden’s 2025 annual report gives remittances of about US$3.42 billion,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50"/>
      <x:c r="G350"/>
    </x:row>
    <x:row r="351">
      <x:c r="A351" t="str">
        <x:v>/remittances/</x:v>
      </x:c>
      <x:c r="B351" t="n">
        <x:v>9</x:v>
      </x:c>
      <x:c r="C351" t="str">
        <x:v>ما الذي ما زلنا لا نعرفه</x:v>
      </x:c>
      <x:c r="D351"/>
      <x:c r="E351"/>
      <x:c r="F351" t="str">
        <x:v>ما الذي ما يزال غير محسوم؟</x:v>
      </x:c>
      <x:c r="G351"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في عدن تحويلات بنحو 3.42 مليار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52">
      <x:c r="A352" t="str">
        <x:v>/rights/</x:v>
      </x:c>
      <x:c r="B352" t="n">
        <x:v>1</x:v>
      </x:c>
      <x:c r="C352"/>
      <x:c r="D352"/>
      <x:c r="E352" t="str">
        <x:v>How source rights affect what this resource shows and what you may republish.</x:v>
      </x:c>
      <x:c r="F352"/>
      <x:c r="G352" t="str">
        <x:v>كيف تؤثر حقوق كل مصدر في ما يعرضه هذا المورد وفي ما يجوز لك إعادة نشره.</x:v>
      </x:c>
    </x:row>
    <x:row r="353">
      <x:c r="A353" t="str">
        <x:v>/rights/</x:v>
      </x:c>
      <x:c r="B353" t="n">
        <x:v>2</x:v>
      </x:c>
      <x:c r="C353"/>
      <x:c r="D353" t="str">
        <x:v>Citation, factual use and redistribution are separate</x:v>
      </x:c>
      <x:c r="E353" t="str">
        <x:v>A source may be valid evidence and may be cited without granting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53" t="str">
        <x:v>الاستشهاد، والإفادة من الوقائع والأرقام، وإعادة التوزيع: ثلاثة أذونات منفصلة</x:v>
      </x:c>
      <x:c r="G353"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54">
      <x:c r="A354" t="str">
        <x:v>/rights/</x:v>
      </x:c>
      <x:c r="B354" t="n">
        <x:v>3</x:v>
      </x:c>
      <x:c r="C354"/>
      <x:c r="D354" t="str">
        <x:v>What a rights restriction changes</x:v>
      </x:c>
      <x:c r="E354" t="str">
        <x:v>Where reuse is restricted, this resource may show metadata, attribution and a source link where the terms allow, while withholding the restricted value or dataset from display and search results.</x:v>
      </x:c>
      <x:c r="F354" t="str">
        <x:v>ماذا يغير قيد الحقوق</x:v>
      </x:c>
      <x:c r="G354"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55">
      <x:c r="A355" t="str">
        <x:v>/rights/</x:v>
      </x:c>
      <x:c r="B355" t="n">
        <x:v>4</x:v>
      </x:c>
      <x:c r="C355"/>
      <x:c r="D355" t="str">
        <x:v>Source terms remain authoritative</x:v>
      </x:c>
      <x:c r="E355" t="str">
        <x:v>The original source’s licence, terms or permissions govern reuse of the source material. A citation in this resource does not grant additional rights.</x:v>
      </x:c>
      <x:c r="F355" t="str">
        <x:v>تبقى شروط المصدر هي المرجع</x:v>
      </x:c>
      <x:c r="G355" t="str">
        <x:v>تحكم رخصة المصدر الأصلي أو شروطه أو أذوناته إعادة استخدام مادته. ولا يمنح الاستشهاد بالمصدر داخل هذا المورد حقوقًا إضافية.</x:v>
      </x:c>
    </x:row>
    <x:row r="356">
      <x:c r="A356" t="str">
        <x:v>/rights/</x:v>
      </x:c>
      <x:c r="B356" t="n">
        <x:v>5</x:v>
      </x:c>
      <x:c r="C356"/>
      <x:c r="D356" t="str">
        <x:v>Why source files are linked, not hosted</x:v>
      </x:c>
      <x:c r="E356" t="str">
        <x:v>This resource does not host or offer source files for download. It links to the original publisher, whose terms apply, and may show public metadata and attribution where the terms allow.</x:v>
      </x:c>
      <x:c r="F356" t="str">
        <x:v>لماذا نحيل إلى ملفات المصادر ولا نستضيفها</x:v>
      </x:c>
      <x:c r="G356"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57">
      <x:c r="A357" t="str">
        <x:v>/terms/</x:v>
      </x:c>
      <x:c r="B357" t="n">
        <x:v>1</x:v>
      </x:c>
      <x:c r="C357"/>
      <x:c r="D357"/>
      <x:c r="E357" t="str">
        <x:v>How to use, cite and reuse this resource without changing the meaning of the evidence.</x:v>
      </x:c>
      <x:c r="F357"/>
      <x:c r="G357" t="str">
        <x:v>قواعد استخدام هذا المورد العام والاستشهاد به وإعادة استخدامه من دون تغيير معنى الأدلة.</x:v>
      </x:c>
    </x:row>
    <x:row r="358">
      <x:c r="A358" t="str">
        <x:v>/terms/</x:v>
      </x:c>
      <x:c r="B358" t="n">
        <x:v>2</x:v>
      </x:c>
      <x:c r="C358"/>
      <x:c r="D358" t="str">
        <x:v>What this resource is</x:v>
      </x:c>
      <x:c r="E358"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58" t="str">
        <x:v>ما طبيعة هذا المورد</x:v>
      </x:c>
      <x:c r="G358"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59">
      <x:c r="A359" t="str">
        <x:v>/terms/</x:v>
      </x:c>
      <x:c r="B359" t="n">
        <x:v>3</x:v>
      </x:c>
      <x:c r="C359"/>
      <x:c r="D359" t="str">
        <x:v>Reuse</x:v>
      </x:c>
      <x:c r="E359"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x:v>
      </x:c>
      <x:c r="F359" t="str">
        <x:v>إعادة الاستخدام</x:v>
      </x:c>
      <x:c r="G359"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x:v>
      </x:c>
    </x:row>
    <x:row r="360">
      <x:c r="A360" t="str">
        <x:v>/terms/</x:v>
      </x:c>
      <x:c r="B360" t="n">
        <x:v>4</x:v>
      </x:c>
      <x:c r="C360"/>
      <x:c r="D360" t="str">
        <x:v>Preserve evidence meaning</x:v>
      </x:c>
      <x:c r="E360"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60" t="str">
        <x:v>حافظ على معنى الدليل</x:v>
      </x:c>
      <x:c r="G360"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والأدلة المقتصرة على جزء من السكان أو على منطقة أو برنامج غير مقدمة باعتبارها حقيقة وطنية.</x:v>
      </x:c>
    </x:row>
    <x:row r="361">
      <x:c r="A361" t="str">
        <x:v>/terms/</x:v>
      </x:c>
      <x:c r="B361" t="n">
        <x:v>5</x:v>
      </x:c>
      <x:c r="C361"/>
      <x:c r="D361" t="str">
        <x:v>Citation</x:v>
      </x:c>
      <x:c r="E361" t="str">
        <x:v>Cite the original source. Where CauseWay’s processing, calculation or synthesis materially shapes the result, cite the relevant evidence record or analytical reading as well.</x:v>
      </x:c>
      <x:c r="F361" t="str">
        <x:v>الاستشهاد</x:v>
      </x:c>
      <x:c r="G361" t="str">
        <x:v>استشهد بالمصدر الأصلي. وعندما تكون معالجة CauseWay أو طريقة الاحتساب أو التجميع جزءًا جوهريًا من النتيجة، استشهد أيضًا بسجل الدليل أو القراءة التحليلية ذات الصلة.</x:v>
      </x:c>
    </x:row>
    <x:row r="362">
      <x:c r="A362" t="str">
        <x:v>/terms/</x:v>
      </x:c>
      <x:c r="B362" t="n">
        <x:v>6</x:v>
      </x:c>
      <x:c r="C362"/>
      <x:c r="D362" t="str">
        <x:v>Rights stay with the source</x:v>
      </x:c>
      <x:c r="E362" t="str">
        <x:v>Availability on this resource does not grant rights that the underlying source has not granted.</x:v>
      </x:c>
      <x:c r="F362" t="str">
        <x:v>تبقى الحقوق لمصدرها</x:v>
      </x:c>
      <x:c r="G362" t="str">
        <x:v>إتاحة المحتوى في هذا المورد لا تمنح حقوقًا لم يمنحها المصدر الأصلي.</x:v>
      </x:c>
    </x:row>
    <x:row r="363">
      <x:c r="A363" t="str">
        <x:v>/data/</x:v>
      </x:c>
      <x:c r="B363" t="n">
        <x:v>10</x:v>
      </x:c>
      <x:c r="C363" t="str">
        <x:v>Resource library</x:v>
      </x:c>
      <x:c r="D363" t="str">
        <x:v>Reports, methods and implementation references</x:v>
      </x:c>
      <x:c r="E363" t="str">
        <x:v>The directory includes a deliberately small set of curated primary Yemen reports and international methods and implementation references alongside the full source-locator register.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63"/>
      <x:c r="G363"/>
      <x:c r="H363"/>
    </x:row>
    <x:row r="364">
      <x:c r="A364" t="str">
        <x:v>/data/</x:v>
      </x:c>
      <x:c r="B364" t="n">
        <x:v>10</x:v>
      </x:c>
      <x:c r="C364" t="str">
        <x:v>مكتبة المراجع</x:v>
      </x:c>
      <x:c r="D364"/>
      <x:c r="E364"/>
      <x:c r="F364" t="str">
        <x:v>تقارير ومناهج ومراجع للتنفيذ</x:v>
      </x:c>
      <x:c r="G364"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تُثبت صراحة صلاحية إعادة التوزيع.</x:v>
      </x:c>
      <x:c r="H364"/>
    </x:row>
    <x:row r="365">
      <x:c r="A365" t="str">
        <x:v>/providers/</x:v>
      </x:c>
      <x:c r="B365" t="n">
        <x:v>2</x:v>
      </x:c>
      <x:c r="C365" t="str">
        <x:v>Scope</x:v>
      </x:c>
      <x:c r="D365" t="str">
        <x:v>Whose list is this?</x:v>
      </x:c>
      <x:c r="E365" t="str">
        <x:v>The provider lists and status decisions on this page come from instruments issued by the Central Bank of Yemen – Aden (CBY-Aden); the bank list was checked on 7 September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66">
      <x:c r="A366" t="str">
        <x:v>/providers/</x:v>
      </x:c>
      <x:c r="B366" t="n">
        <x:v>2</x:v>
      </x:c>
      <x:c r="C366" t="str">
        <x:v>النطاق</x:v>
      </x:c>
      <x:c r="F366" t="str">
        <x:v>قائمة مَن هذه؟</x:v>
      </x:c>
      <x:c r="G366" t="str">
        <x:v>تأتي قوائم مقدمي الخدمات والقرارات المتعلقة بأوضاعهم في هذه الصفحة من وثائق صادرة عن البنك المركزي اليمني – عدن، وقد اطُّلع على قائمة البنوك في 7 سبتمبر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في عدن لا يعني أنها غير مرخصة في مكان آخر، كما أن ورودها فيها لا يعني أنها قادرة على العمل في كل أنحاء اليمن.</x:v>
      </x:c>
    </x:row>
    <x:row r="367">
      <x:c r="A367" t="str">
        <x:v>/finance/</x:v>
      </x:c>
      <x:c r="B367" t="n">
        <x:v>4</x:v>
      </x:c>
      <x:c r="C367" t="str">
        <x:v>Analysis</x:v>
      </x:c>
      <x:c r="D367" t="str">
        <x:v>Who provides microfinance: what the lists and panels show</x:v>
      </x:c>
      <x:c r="E367" t="str">
        <x:v>Of the 26 banks on the list of licensed banks issued by the Central Bank of Yemen – Aden (CBY-Aden), as checked on 7 September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68">
      <x:c r="A368" t="str">
        <x:v>/finance/</x:v>
      </x:c>
      <x:c r="B368" t="n">
        <x:v>4</x:v>
      </x:c>
      <x:c r="C368" t="str">
        <x:v>التحليل</x:v>
      </x:c>
      <x:c r="F368" t="str">
        <x:v>من يقدم التمويل الأصغر: ما تبينه القوائم ومجموعات الجهات المُبلِّغة</x:v>
      </x:c>
      <x:c r="G368" t="str">
        <x:v>يحدد وصف المصدر 12 من البنوك الـ26 الواردة في قائمة البنوك المرخصة الصادرة عن البنك المركزي اليمني – عدن، كما اطُّلع عليها في 7 سبتمبر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69">
      <x:c r="A369" t="str">
        <x:v>/methodology/</x:v>
      </x:c>
      <x:c r="B369" t="n">
        <x:v>4</x:v>
      </x:c>
      <x:c r="C369" t="str">
        <x:v>What it means</x:v>
      </x:c>
      <x:c r="D369" t="str">
        <x:v>What the evidence covers — and what it does not</x:v>
      </x:c>
      <x:c r="E369" t="str">
        <x:v>Coverage differs by topic. A few topics have current observations: the formal status of providers under CBY-Aden lists, bank credit and other monetary statistics, and remittance prices in two corridors. Most people-side topics rest on the latest representative survey wave (fieldwork 2022–23) or on 2014 values, and several — frequency of use, financial resilience, digital capability, affordability and age — are defined in the 2021 survey data but not yet estimated. Payments, regulation and consumer protection are evidenced mainly through administrative and regulatory records, which show systems and rules rather than use or outcomes. There is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70">
      <x:c r="A370" t="str">
        <x:v>/methodology/</x:v>
      </x:c>
      <x:c r="B370" t="n">
        <x:v>4</x:v>
      </x:c>
      <x:c r="C370" t="str">
        <x:v>ماذا يعني ذلك</x:v>
      </x:c>
      <x:c r="F370" t="str">
        <x:v>ما الذي تغطيه الأدلة وما الذي لا تغطيه</x:v>
      </x:c>
      <x:c r="G370"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مسح ممثلة (نُفذ عملها الميداني خلال 2022–2023) أو إلى قيم 2014، كما أن عددًا منها — كتكرار الاستخدام والصمود المالي والقدرات الرقمية والقدرة على تحمل التكلفة والعمر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توجد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71">
      <x:c r="A371" t="str">
        <x:v>/methodology/</x:v>
      </x:c>
      <x:c r="B371" t="n">
        <x:v>5</x:v>
      </x:c>
      <x:c r="C371" t="str">
        <x:v>Analysis</x:v>
      </x:c>
      <x:c r="D371" t="str">
        <x:v>How evidence is accepted, and in what role</x:v>
      </x:c>
      <x:c r="E371" t="str">
        <x:v>A source enters the evidence base when its original locator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72">
      <x:c r="A372" t="str">
        <x:v>/methodology/</x:v>
      </x:c>
      <x:c r="B372" t="n">
        <x:v>5</x:v>
      </x:c>
      <x:c r="C372" t="str">
        <x:v>التحليل</x:v>
      </x:c>
      <x:c r="F372" t="str">
        <x:v>كيف تُقبل الأدلة، وبأي دور</x:v>
      </x:c>
      <x:c r="G372"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ويسند الدليل الأولي المصدر والأحداث المؤرخة المتعلقة بالوضع الأرقامَ العامة مباشرة، أما الرقم الذي لا يُعرف إلا من مصدر ثانوي فلا يظهر إلا منسوبًا إلى مصدره وموسومًا بأنه ثانوي. وتُنسب الأدبيات التحليلية إلى أصحابها، وتفيد المراجع الدولية المنهجَ من دون أن تحل محل الأدلة اليمنية. ويُحجب الرقم الذي يتعذر التحقق منه مقابل مصدره المعلن.</x:v>
      </x:c>
    </x:row>
    <x:row r="373">
      <x:c r="A373" t="str">
        <x:v>/methodology/</x:v>
      </x:c>
      <x:c r="B373" t="n">
        <x:v>6</x:v>
      </x:c>
      <x:c r="C373" t="str">
        <x:v>System context</x:v>
      </x:c>
      <x:c r="D373" t="str">
        <x:v>Measuring in a divided, conflict-affected setting</x:v>
      </x:c>
      <x:c r="E373"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74">
      <x:c r="A374" t="str">
        <x:v>/methodology/</x:v>
      </x:c>
      <x:c r="B374" t="n">
        <x:v>6</x:v>
      </x:c>
      <x:c r="C374" t="str">
        <x:v>سياق المنظومة</x:v>
      </x:c>
      <x:c r="F374" t="str">
        <x:v>القياس في بيئة منقسمة ومتأثرة بالنزاع</x:v>
      </x:c>
      <x:c r="G374"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75">
      <x:c r="A375" t="str">
        <x:v>/payments/</x:v>
      </x:c>
      <x:c r="B375" t="n">
        <x:v>5</x:v>
      </x:c>
      <x:c r="C375" t="str">
        <x:v>Evidence</x:v>
      </x:c>
      <x:c r="D375" t="str">
        <x:v>E-wallet subscribers: figures from two reports that do not form one series</x:v>
      </x:c>
      <x:c r="E375"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x:v>
      </x:c>
    </x:row>
    <x:row r="376">
      <x:c r="A376" t="str">
        <x:v>/payments/</x:v>
      </x:c>
      <x:c r="B376" t="n">
        <x:v>5</x:v>
      </x:c>
      <x:c r="C376" t="str">
        <x:v>الدليل</x:v>
      </x:c>
      <x:c r="F376" t="str">
        <x:v>مشتركو المحافظ الإلكترونية: أرقام من تقريرين لا تشكل سلسلة واحدة</x:v>
      </x:c>
      <x:c r="G376"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x:v>
      </x:c>
    </x:row>
    <x:row r="377">
      <x:c r="A377" t="str">
        <x:v>/access/</x:v>
      </x:c>
      <x:c r="B377" t="n">
        <x:v>3</x:v>
      </x:c>
      <x:c r="C377" t="str">
        <x:v>Evidence</x:v>
      </x:c>
      <x:c r="D377" t="str">
        <x:v>Lists show who is registered, not where services operate</x:v>
      </x:c>
      <x:c r="E377" t="str">
        <x:v>Official lists document a substantial exchange and remittance provider presence relevant to the access question. The 2026 roster of the Central Bank of Yemen – Aden (CBY-Aden) lists 98 exchange companies, 225 individual exchange establishments and 106 remittance agents — three source categories, not a deduplicated count of firms — and the CBY-Aden list of licensed banks, as checked on 7 September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a project definition that the evidence base does not document. None of these figures shows where services operate or how far people are from them.</x:v>
      </x:c>
    </x:row>
    <x:row r="378">
      <x:c r="A378" t="str">
        <x:v>/access/</x:v>
      </x:c>
      <x:c r="B378" t="n">
        <x:v>3</x:v>
      </x:c>
      <x:c r="C378" t="str">
        <x:v>الدليل</x:v>
      </x:c>
      <x:c r="F378" t="str">
        <x:v>القوائم الرسمية تبيّن الجهات المسجلة، لا أماكن تقديم الخدمة</x:v>
      </x:c>
      <x:c r="G378" t="str">
        <x:v>توثق القوائم الرسمية حضورًا كبيرًا لمقدمي خدمات الصرافة والحوالات يتصل بسؤال الوصول: فقائمة البنك المركزي اليمني – عدن لعام 2026 تضم 98 شركة صرافة و225 منشأة صرافة فردية و106 وكلاء حوالات — وهي ثلاث فئات يحددها المصدر، لا عددًا لمنشآت فريدة بعد إزالة الازدواج — كما تضم قائمته للبنوك المرخصة، كما اطُّلع عليها في 7 سبتمبر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للمشروع لا توثقه قاعدة الأدلة. ولا يبين أي من هذه الأرقام أين تعمل الخدمات ولا مدى بُعد الناس عنها.</x:v>
      </x:c>
    </x:row>
    <x:row r="379">
      <x:c r="A379" t="str">
        <x:v>/firms/</x:v>
      </x:c>
      <x:c r="B379" t="n">
        <x:v>5</x:v>
      </x:c>
      <x:c r="C379" t="str">
        <x:v>Evidence</x:v>
      </x:c>
      <x:c r="D379" t="str">
        <x:v>Formal firms in this sample: most held a bank account, but banks financed almost none of their working capital</x:v>
      </x:c>
      <x:c r="E379"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80">
      <x:c r="A380" t="str">
        <x:v>/firms/</x:v>
      </x:c>
      <x:c r="B380" t="n">
        <x:v>5</x:v>
      </x:c>
      <x:c r="C380" t="str">
        <x:v>الدليل</x:v>
      </x:c>
      <x:c r="F380" t="str">
        <x:v>المنشآت الرسمية في هذه العينة: لدى أغلبها حساب مصرفي، لكن البنوك لم تموّل إلا جزءًا ضئيلًا جدًا من رأس مالها العامل</x:v>
      </x:c>
      <x:c r="G380"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(المرابين)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81">
      <x:c r="A381" t="str">
        <x:v>/evidence/compare/</x:v>
      </x:c>
      <x:c r="B381" t="n">
        <x:v>2</x:v>
      </x:c>
      <x:c r="C381" t="str">
        <x:v>Analysis</x:v>
      </x:c>
      <x:c r="D381" t="str">
        <x:v>Three measures that cannot be combined</x:v>
      </x:c>
      <x:c r="E381"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82">
      <x:c r="A382" t="str">
        <x:v>/evidence/compare/</x:v>
      </x:c>
      <x:c r="B382" t="n">
        <x:v>2</x:v>
      </x:c>
      <x:c r="C382" t="str">
        <x:v>التحليل</x:v>
      </x:c>
      <x:c r="F382" t="str">
        <x:v>ثلاثة مقاييس لا يصح الجمع بينها</x:v>
      </x:c>
      <x:c r="G382"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83">
      <x:c r="A383" t="str">
        <x:v>/methodology/</x:v>
      </x:c>
      <x:c r="B383" t="n">
        <x:v>7</x:v>
      </x:c>
      <x:c r="C383" t="str">
        <x:v>Analysis</x:v>
      </x:c>
      <x:c r="D383" t="str">
        <x:v>Uncertainty is stated, not manufactured</x:v>
      </x:c>
      <x:c r="E383"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A derived value, such as the difference between two percentages, keeps the precision of its inputs, with no added decimal places, and small differences between estimates are not read as a ranking.</x:v>
      </x:c>
    </x:row>
    <x:row r="384">
      <x:c r="A384" t="str">
        <x:v>/methodology/</x:v>
      </x:c>
      <x:c r="B384" t="n">
        <x:v>7</x:v>
      </x:c>
      <x:c r="C384" t="str">
        <x:v>التحليل</x:v>
      </x:c>
      <x:c r="F384" t="str">
        <x:v>عدم اليقين يُبيَّن ولا يُصطنع</x:v>
      </x:c>
      <x:c r="G384"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وتحتفظ القيمة المشتقة، كالفرق بين نسبتين، بدقة مدخلاتها من دون منازل عشرية إضافية، ولا تُقرأ الفروق الطفيفة بين التقديرات على أنها ترتيب.</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Explore</x:v>
      </x:c>
      <x:c r="C6" s="24" t="str">
        <x:v>استكشف</x:v>
      </x:c>
      <x:c r="D6" s="24" t="str">
        <x:v>{"id":"NAV-EXPLORE","label":{"en":"Explore","ar":"استكشف"},"route":"/explore","kind":"DIRECT"}</x:v>
      </x:c>
    </x:row>
    <x:row r="7">
      <x:c r="A7" s="24" t="n">
        <x:v>2</x:v>
      </x:c>
      <x:c r="B7" s="24" t="str">
        <x:v>Evidence</x:v>
      </x:c>
      <x:c r="C7" s="24" t="str">
        <x:v>الأدلة</x:v>
      </x:c>
      <x:c r="D7" s="24" t="str">
        <x:v>{"id":"NAV-EVIDENCE","label":{"en":"Evidence","ar":"الأدلة"},"route":"/evidence","kind":"DIRECT"}</x:v>
      </x:c>
    </x:row>
    <x:row r="8">
      <x:c r="A8" s="24" t="n">
        <x:v>3</x:v>
      </x:c>
      <x:c r="B8" s="24" t="str">
        <x:v>Evidence Readings</x:v>
      </x:c>
      <x:c r="C8" s="24" t="str">
        <x:v>قراءات الأدلة</x:v>
      </x:c>
      <x:c r="D8" s="24" t="str">
        <x:v>{"id":"NAV-READINGS","label":{"en":"Evidence Readings","ar":"قراءات الأدلة"},"route":"/readings","kind":"DIRECT"}</x:v>
      </x:c>
    </x:row>
    <x:row r="9">
      <x:c r="A9" s="24" t="n">
        <x:v>4</x:v>
      </x:c>
      <x:c r="B9" s="24" t="str">
        <x:v>Data &amp; sources</x:v>
      </x:c>
      <x:c r="C9" s="24" t="str">
        <x:v>البيانات والمصادر</x:v>
      </x:c>
      <x:c r="D9" s="24" t="str">
        <x:v>{"id":"NAV-DATA","label":{"en":"Data &amp; sources","ar":"البيانات والمصادر"},"route":"/data","kind":"DIRECT"}</x:v>
      </x:c>
    </x:row>
    <x:row r="10">
      <x:c r="A10" s="24" t="n">
        <x:v>5</x:v>
      </x:c>
      <x:c r="B10" s="24" t="str">
        <x:v>Method &amp; Measurement</x:v>
      </x:c>
      <x:c r="C10" s="24" t="str">
        <x:v>المنهج والقياس</x:v>
      </x:c>
      <x:c r="D10" s="24" t="str">
        <x:v>{"id":"NAV-METHOD-MEASUREMENT","label":{"en":"Method &amp; Measurement","ar":"المنهج والقياس"},"kind":"GROUP","children":[{"id":"NAV-METHODOLOGY","label":{"en":"Methodology","ar":"المنهجية"},"route":"/methodology"},{"id":"NAV-MEASUREMENT","label":{"en":"Measurement Agenda","ar":"أولويات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Explore</x:v>
      </x:c>
      <x:c r="D16" s="24" t="str">
        <x:v>استكشف</x:v>
      </x:c>
      <x:c r="E16" s="24" t="str">
        <x:v>static</x:v>
      </x:c>
      <x:c r="F16" s="38" t="b">
        <x:v>1</x:v>
      </x:c>
      <x:c r="G16" s="24"/>
      <x:c r="H16" s="24" t="str">
        <x:v>Question-led exploration.</x:v>
      </x:c>
    </x:row>
    <x:row r="17">
      <x:c r="A17" s="24" t="str">
        <x:v>R-003</x:v>
      </x:c>
      <x:c r="B17" s="24" t="str">
        <x:v>/people</x:v>
      </x:c>
      <x:c r="C17" s="24" t="str">
        <x:v>People &amp; Needs</x:v>
      </x:c>
      <x:c r="D17" s="24" t="str">
        <x:v>الناس والاحتياجات</x:v>
      </x:c>
      <x:c r="E17" s="24" t="str">
        <x:v>static</x:v>
      </x:c>
      <x:c r="F17" s="38" t="b">
        <x:v>0</x:v>
      </x:c>
      <x:c r="G17" s="24"/>
      <x:c r="H17" s="24" t="str">
        <x:v>Population access, use, gaps and evidence clocks.</x:v>
      </x:c>
    </x:row>
    <x:row r="18">
      <x:c r="A18" s="24" t="str">
        <x:v>R-004</x:v>
      </x:c>
      <x:c r="B18" s="24" t="str">
        <x:v>/firms</x:v>
      </x:c>
      <x:c r="C18" s="24" t="str">
        <x:v>Firms &amp; Finance</x:v>
      </x:c>
      <x:c r="D18" s="24" t="str">
        <x:v>المنشآت والتمويل</x:v>
      </x:c>
      <x:c r="E18" s="24" t="str">
        <x:v>static</x:v>
      </x:c>
      <x:c r="F18" s="38" t="b">
        <x:v>0</x:v>
      </x:c>
      <x:c r="G18" s="24"/>
      <x:c r="H18" s="24" t="str">
        <x:v>Firm constraints, finance paths and bounded programme evidence.</x:v>
      </x:c>
    </x:row>
    <x:row r="19">
      <x:c r="A19" s="24" t="str">
        <x:v>R-005</x:v>
      </x:c>
      <x:c r="B19" s="24" t="str">
        <x:v>/finance</x:v>
      </x:c>
      <x:c r="C19" s="24" t="str">
        <x:v>Finance &amp; Institutions</x:v>
      </x:c>
      <x:c r="D19" s="24" t="str">
        <x:v>التمويل والمؤسسات</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 &amp; Flows</x:v>
      </x:c>
      <x:c r="D21" s="24" t="str">
        <x:v>المدفوعات والتدفقات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 &amp; Infrastructure</x:v>
      </x:c>
      <x:c r="D23" s="24" t="str">
        <x:v>الوصول والبنية التحتية</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 &amp; Programmes</x:v>
      </x:c>
      <x:c r="D24" s="24" t="str">
        <x:v>الإصلاحات والبرامج</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Evidence Readings</x:v>
      </x:c>
      <x:c r="D28" s="24" t="str">
        <x:v>قراءات الأدلة</x:v>
      </x:c>
      <x:c r="E28" s="24" t="str">
        <x:v>static</x:v>
      </x:c>
      <x:c r="F28" s="38" t="b">
        <x:v>1</x:v>
      </x:c>
      <x:c r="G28" s="24"/>
      <x:c r="H28" s="24" t="str">
        <x:v>Bounded cross-source evidence arguments.</x:v>
      </x:c>
    </x:row>
    <x:row r="29">
      <x:c r="A29" s="24" t="str">
        <x:v>R-015</x:v>
      </x:c>
      <x:c r="B29" s="24" t="str">
        <x:v>/readings/[reading_id]</x:v>
      </x:c>
      <x:c r="C29" s="24" t="str">
        <x:v>Reading detail</x:v>
      </x:c>
      <x:c r="D29" s="24" t="str">
        <x:v>تفاصيل القراءة</x:v>
      </x:c>
      <x:c r="E29" s="24" t="str">
        <x:v>dynamic</x:v>
      </x:c>
      <x:c r="F29" s="38" t="b">
        <x:v>0</x:v>
      </x:c>
      <x:c r="G29" s="24"/>
      <x:c r="H29" s="24" t="str">
        <x:v>Reconstructable long-form interpretation.</x:v>
      </x:c>
    </x:row>
    <x:row r="30">
      <x:c r="A30" s="24" t="str">
        <x:v>R-016</x:v>
      </x:c>
      <x:c r="B30" s="24" t="str">
        <x:v>/measurement</x:v>
      </x:c>
      <x:c r="C30" s="24" t="str">
        <x:v>Measurement Agenda</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Data &amp; sources</x:v>
      </x:c>
      <x:c r="D31" s="24" t="str">
        <x:v>البيانات والمصادر</x:v>
      </x:c>
      <x:c r="E31" s="24" t="str">
        <x:v>static</x:v>
      </x:c>
      <x:c r="F31" s="38" t="b">
        <x:v>1</x:v>
      </x:c>
      <x:c r="G31" s="24"/>
      <x:c r="H31" s="24" t="str">
        <x:v>Approved reusable data, metadata, sources, versions, rights and citations.</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عن الموقع</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فتحقق من كل سجل مرتبط مقابل مصدره الخاص.</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وتحقق منه مقابل مصدره الخاص.</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فلا تُعامل أرقامه على أنها صالحة لإعادة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carried by an Evidence Record. Follow a record to its original sources before reusing a figure.</x:v>
      </x:c>
      <x:c r="C84" s="24" t="str">
        <x:v>كل مقولة تعتمد عليها هذه القراءة يحملها سجل دليل.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source material with no public original locator recorded here; it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source material for which no public original locator is recorded. That material is held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ليس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موثَّقة لهذه الفترة — ليست صفرًا</x:v>
      </x:c>
      <x:c r="D103" s="24" t="str">
        <x:v>Pre-Tranche-C P3 visual grammar. Missing observation kept as a gap.</x:v>
      </x:c>
    </x:row>
    <x:row r="104">
      <x:c r="A104" s="24" t="str">
        <x:v>UI-VIS-DISAGREEMENT</x:v>
      </x:c>
      <x:c r="B104" s="24" t="str">
        <x:v>Source figures disagree — both are shown</x:v>
      </x:c>
      <x:c r="C104" s="24" t="str">
        <x:v>أرقام المصدر غير متسقة — يُعرض الرقمان</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وفق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ليس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is not a status elsewhere.</x:v>
      </x:c>
      <x:c r="C120" s="24" t="str">
        <x:v>وضعٌ كما سجلته الجهة المسماة وحدها؛ وعدم الإدراج في قائمتها لا يحدد وضعًا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original locator,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original locator,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نقاط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informal competitors</x:v>
      </x:c>
      <x:c r="C175" s="24" t="str">
        <x:v>ممارسات المنافسين غير الرسميين</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starts</x:v>
      </x:c>
      <x:c r="C180" s="24" t="str">
        <x:v>بدء مشروع FMIIP</x:v>
      </x:c>
      <x:c r="D180" s="24" t="str">
        <x:v>Pre-Tranche-C P4 (V-D5). Chart label: event value 'FMIIP starts'.</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support for developing a Fast Payment System</x:v>
      </x:c>
      <x:c r="C182" s="24" t="str">
        <x:v>مكوّن في مشروع FMIIP: دعم تطوير نظام الدفع السريع</x:v>
      </x:c>
      <x:c r="D182" s="24" t="str">
        <x:v>Pre-Tranche-C P4 (V-D5). Chart label: event value 'Fast Payment System'.</x:v>
      </x:c>
    </x:row>
    <x:row r="183">
      <x:c r="A183" s="24" t="str">
        <x:v>UI-VIS-CAT-EVT-RTGS-CORE</x:v>
      </x:c>
      <x:c r="B183" s="24" t="str">
        <x:v>FMIIP component: support for establishing a real-time gross settlement (RTGS) system and upgrading CBY-Aden core banking</x:v>
      </x:c>
      <x:c r="C183" s="24" t="str">
        <x:v>مكوّن في مشروع FMIIP: دعم إنشاء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access-point database</x:v>
      </x:c>
      <x:c r="C184" s="24" t="str">
        <x:v>مكوّن في مشروع FMIIP: قاعدة بيانات لنقاط الوصول</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ومساهمة البنك المركزي في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ومنشآتها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'SOURCE_LISTED_ROWS__98_COMPANIES__225_ESTABLISHMENTS__106_REMITTANCE_AGENTS'.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is held</x:v>
      </x:c>
      <x:c r="C202" s="24" t="str">
        <x:v>لا توجد قائمة مضبوطة بأسماء الجهات المرخصة</x:v>
      </x:c>
      <x:c r="D202" s="24" t="str">
        <x:v>Pre-Tranche-C P4 (V-D5). Chart label: provider_named_state value 'POSITIVE_NAMES_NOT_CONTROLLED'.</x:v>
      </x:c>
    </x:row>
    <x:row r="203">
      <x:c r="A203" s="24" t="str">
        <x:v>UI-VIS-CAT-PRV-NAMED-PARTIAL</x:v>
      </x:c>
      <x:c r="B203" s="24" t="str">
        <x:v>Partial network membership, not the regulated universe</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أحداث 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أحداث وضع مختارة لعام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held in this evidence base</x:v>
      </x:c>
      <x:c r="C207" s="24" t="str">
        <x:v>لا تتضمن قاعدة الأدلة أحداثًا لوضع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429 is the arithmetic sum of rows listed in the source across three classes, not a count of unique providers or of operating providers.</x:v>
      </x:c>
      <x:c r="C209" s="24" t="str">
        <x:v>الرقم 429 مجموع حسابي لصفوف مدرجة في المصدر عبر ثلاث فئات، وليس عددًا لمقدمي خدمات فريدين ولا لمقدمي خدمات عاملين.</x:v>
      </x:c>
      <x:c r="D209" s="24" t="str">
        <x:v>Pre-Tranche-C P4 (V-D5). Chart label: provider_limit value '429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(2025-09-10) and more than 9 event participants (2026-01-22).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(2025-09-10)، وأكثر من 9 مشاركين في فعالية (2026-01-22). وتبقى هذه الأعداد منفصلة، ولم تُحسم بعد قائمة حالية مسماة بالمحافظ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منشآت شركة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حُظر التعامل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Events, not people</x:v>
      </x:c>
      <x:c r="C235" s="24" t="str">
        <x:v>أحداث،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مؤشر،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أو قاعدة الاحتساب عند الحاجة، والفترة، والجغرافيا،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provider set not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المساران المؤشَّران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لا يُقارن بنشرة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Content version of 26 September 2026</x:v>
      </x:c>
      <x:c r="C256" s="24" t="str">
        <x:v>إصدار المحتوى بتاريخ 26 سبتمبر 2026</x:v>
      </x:c>
      <x:c r="D256" s="24" t="str">
        <x:v>Tranche C TC-F (VER-07/TOOL-14). Content version cited with every record; changes only with a governed release.</x:v>
      </x:c>
    </x:row>
    <x:row r="257">
      <x:c r="A257" s="24" t="str">
        <x:v>UI-NOSCRIPT-NOTE</x:v>
      </x:c>
      <x:c r="B257" s="24" t="str">
        <x:v>Search, Compare and the copy buttons need JavaScript. Every page of evidence remains readable without it.</x:v>
      </x:c>
      <x:c r="C257" s="24" t="str">
        <x:v>يحتاج البحث والمقارنة وأزرار النسخ إلى JavaScript، وتبقى كل صفحات الأدلة قابلة للقراءة من دونه.</x:v>
      </x:c>
      <x:c r="D257" s="24" t="str">
        <x:v>Tranche C TC-F (TOOL-17).</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وراء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عد إلى السؤال</x:v>
      </x:c>
      <x:c r="D280" s="24" t="str">
        <x:v>Tranche C TC-F (JRN-02).</x:v>
      </x:c>
    </x:row>
    <x:row r="282">
      <x:c r="A282" s="24" t="str">
        <x:v>Trust navigation</x:v>
      </x:c>
    </x:row>
    <x:row r="283">
      <x:c r="A283" s="24" t="str">
        <x:v>item_order</x:v>
      </x:c>
      <x:c r="B283" s="24" t="str">
        <x:v>label_en</x:v>
      </x:c>
      <x:c r="C283" s="24" t="str">
        <x:v>label_ar</x:v>
      </x:c>
      <x:c r="D283" s="24" t="str">
        <x:v>route</x:v>
      </x:c>
    </x:row>
    <x:row r="284">
      <x:c r="A284" s="24" t="n">
        <x:v>1</x:v>
      </x:c>
      <x:c r="B284" s="24" t="str">
        <x:v>About</x:v>
      </x:c>
      <x:c r="C284" s="24" t="str">
        <x:v>عن الموقع</x:v>
      </x:c>
      <x:c r="D284" s="24" t="str">
        <x:v>/about</x:v>
      </x:c>
    </x:row>
    <x:row r="285">
      <x:c r="A285" s="24" t="n">
        <x:v>2</x:v>
      </x:c>
      <x:c r="B285" s="24" t="str">
        <x:v>Corrections</x:v>
      </x:c>
      <x:c r="C285" s="24" t="str">
        <x:v>التصحيحات</x:v>
      </x:c>
      <x:c r="D285" s="24" t="str">
        <x:v>/corrections</x:v>
      </x:c>
    </x:row>
    <x:row r="286">
      <x:c r="A286" s="24" t="n">
        <x:v>3</x:v>
      </x:c>
      <x:c r="B286" s="24" t="str">
        <x:v>Rights &amp; reuse</x:v>
      </x:c>
      <x:c r="C286" s="24" t="str">
        <x:v>الحقوق وإعادة الاستخدام</x:v>
      </x:c>
      <x:c r="D286" s="24" t="str">
        <x:v>/rights</x:v>
      </x:c>
    </x:row>
    <x:row r="287">
      <x:c r="A287" s="24" t="n">
        <x:v>4</x:v>
      </x:c>
      <x:c r="B287" s="24" t="str">
        <x:v>Accessibility</x:v>
      </x:c>
      <x:c r="C287" s="24" t="str">
        <x:v>إتاحة الوصول</x:v>
      </x:c>
      <x:c r="D287" s="24" t="str">
        <x:v>/accessibility</x:v>
      </x:c>
    </x:row>
    <x:row r="288">
      <x:c r="A288" s="24" t="n">
        <x:v>5</x:v>
      </x:c>
      <x:c r="B288" s="24" t="str">
        <x:v>Privacy</x:v>
      </x:c>
      <x:c r="C288" s="24" t="str">
        <x:v>الخصوصية</x:v>
      </x:c>
      <x:c r="D288" s="24" t="str">
        <x:v>/privacy</x:v>
      </x:c>
    </x:row>
    <x:row r="289">
      <x:c r="A289" s="24" t="n">
        <x:v>6</x:v>
      </x:c>
      <x:c r="B289" s="24" t="str">
        <x:v>Terms</x:v>
      </x:c>
      <x:c r="C289" s="24" t="str">
        <x:v>شروط الاستخدام</x:v>
      </x:c>
      <x:c r="D289" s="24" t="str">
        <x:v>/terms</x:v>
      </x:c>
    </x:row>
    <x:row r="290">
      <x:c r="A290" s="24" t="n">
        <x:v>7</x:v>
      </x:c>
      <x:c r="B290" s="24" t="str">
        <x:v>Contact</x:v>
      </x:c>
      <x:c r="C290" s="24" t="str">
        <x:v>التواصل</x:v>
      </x:c>
      <x:c r="D290" s="24" t="str">
        <x:v>/contact</x:v>
      </x:c>
    </x:row>
    <x:row r="292">
      <x:c r="A292" s="24" t="str">
        <x:v>Search aliases</x:v>
      </x:c>
    </x:row>
    <x:row r="293">
      <x:c r="A293" s="24" t="str">
        <x:v>alias_id</x:v>
      </x:c>
      <x:c r="B293" s="24" t="str">
        <x:v>terms_en</x:v>
      </x:c>
      <x:c r="C293" s="24" t="str">
        <x:v>terms_ar</x:v>
      </x:c>
      <x:c r="D293" s="24" t="str">
        <x:v>targets</x:v>
      </x:c>
      <x:c r="E293" s="24" t="str">
        <x:v>boundary_note_en</x:v>
      </x:c>
      <x:c r="F293" s="38" t="str">
        <x:v>boundary_note_ar</x:v>
      </x:c>
    </x:row>
    <x:row r="294">
      <x:c r="A294" s="24" t="str">
        <x:v>SEARCH-ALIAS-001</x:v>
      </x:c>
      <x:c r="B294" s="24" t="str">
        <x:v>law; laws</x:v>
      </x:c>
      <x:c r="C294" s="24" t="str">
        <x:v>قانون; قوانين</x:v>
      </x:c>
      <x:c r="D294" s="24" t="str">
        <x:v>document_type:law | route:/reforms/ | route:/data/</x:v>
      </x:c>
    </x:row>
    <x:row r="295">
      <x:c r="A295" s="24" t="str">
        <x:v>SEARCH-ALIAS-002</x:v>
      </x:c>
      <x:c r="B295" s="24" t="str">
        <x:v>decision; decisions</x:v>
      </x:c>
      <x:c r="C295" s="24" t="str">
        <x:v>قرار; قرارات</x:v>
      </x:c>
      <x:c r="D295" s="24" t="str">
        <x:v>document_type:decision/enforcement | route:/providers/ | route:/reforms/</x:v>
      </x:c>
    </x:row>
    <x:row r="296">
      <x:c r="A296" s="24" t="str">
        <x:v>SEARCH-ALIAS-003</x:v>
      </x:c>
      <x:c r="B296" s="24" t="str">
        <x:v>circular; circulars</x:v>
      </x:c>
      <x:c r="C296" s="24" t="str">
        <x:v>تعميم; تعاميم</x:v>
      </x:c>
      <x:c r="D296" s="24" t="str">
        <x:v>document_type:instruction/circular | route:/reforms/</x:v>
      </x:c>
    </x:row>
    <x:row r="297">
      <x:c r="A297" s="24" t="str">
        <x:v>SEARCH-ALIAS-004</x:v>
      </x:c>
      <x:c r="B297" s="24" t="str">
        <x:v>regulation; regulations; instructions</x:v>
      </x:c>
      <x:c r="C297" s="24" t="str">
        <x:v>لائحة; لوائح; تعليمات</x:v>
      </x:c>
      <x:c r="D297" s="24" t="str">
        <x:v>document_type:regulation | document_type:instruction/circular | route:/reforms/ | route:/data/</x:v>
      </x:c>
    </x:row>
    <x:row r="298">
      <x:c r="A298" s="24" t="str">
        <x:v>SEARCH-ALIAS-005</x:v>
      </x:c>
      <x:c r="B298" s="24" t="str">
        <x:v>remittance; remittances</x:v>
      </x:c>
      <x:c r="C298" s="24" t="str">
        <x:v>حوالة; حوالات; تحويلات</x:v>
      </x:c>
      <x:c r="D298" s="24" t="str">
        <x:v>route:/remittances/</x:v>
      </x:c>
    </x:row>
    <x:row r="299">
      <x:c r="A299" s="24" t="str">
        <x:v>SEARCH-ALIAS-006</x:v>
      </x:c>
      <x:c r="B299" s="24" t="str">
        <x:v>exchange company; exchange companies</x:v>
      </x:c>
      <x:c r="C299" s="24" t="str">
        <x:v>صرافة; شركات الصرافة; منشآت الصرافة</x:v>
      </x:c>
      <x:c r="D299" s="24" t="str">
        <x:v>route:/providers/</x:v>
      </x:c>
    </x:row>
    <x:row r="300">
      <x:c r="A300" s="24" t="str">
        <x:v>SEARCH-ALIAS-007</x:v>
      </x:c>
      <x:c r="B300" s="24" t="str">
        <x:v>wallet; e-wallet; e-wallets; electronic wallet</x:v>
      </x:c>
      <x:c r="C300" s="24" t="str">
        <x:v>محفظة; محافظ; المحافظ الإلكترونية; المحفظة الإلكترونية</x:v>
      </x:c>
      <x:c r="D300" s="24" t="str">
        <x:v>route:/payments/</x:v>
      </x:c>
    </x:row>
    <x:row r="301">
      <x:c r="A301" s="24" t="str">
        <x:v>SEARCH-ALIAS-008</x:v>
      </x:c>
      <x:c r="B301" s="24" t="str">
        <x:v>POS; point of sale; POS terminals</x:v>
      </x:c>
      <x:c r="C301" s="24" t="str">
        <x:v>نقاط البيع; نقطة بيع</x:v>
      </x:c>
      <x:c r="D301" s="24" t="str">
        <x:v>route:/payments/</x:v>
      </x:c>
    </x:row>
    <x:row r="302">
      <x:c r="A302" s="24" t="str">
        <x:v>SEARCH-ALIAS-009</x:v>
      </x:c>
      <x:c r="B302" s="24" t="str">
        <x:v>microfinance; MFB; MFI</x:v>
      </x:c>
      <x:c r="C302" s="24" t="str">
        <x:v>التمويل الأصغر; تمويل أصغر</x:v>
      </x:c>
      <x:c r="D302" s="24" t="str">
        <x:v>route:/finance/</x:v>
      </x:c>
    </x:row>
    <x:row r="303">
      <x:c r="A303" s="24" t="str">
        <x:v>SEARCH-ALIAS-010</x:v>
      </x:c>
      <x:c r="B303" s="24" t="str">
        <x:v>exchange rate</x:v>
      </x:c>
      <x:c r="C303" s="24" t="str">
        <x:v>سعر الصرف; أسعار الصرف</x:v>
      </x:c>
      <x:c r="D303" s="24" t="str">
        <x:v>route:/finance/</x:v>
      </x:c>
    </x:row>
    <x:row r="304">
      <x:c r="A304" s="24" t="str">
        <x:v>SEARCH-ALIAS-011</x:v>
      </x:c>
      <x:c r="B304" s="24" t="str">
        <x:v>measurement; measurement agenda; measurement priorities</x:v>
      </x:c>
      <x:c r="C304" s="24" t="str">
        <x:v>أولويات القياس; أجندة القياس; القياس</x:v>
      </x:c>
      <x:c r="D304" s="24" t="str">
        <x:v>route:/measurement/</x:v>
      </x:c>
    </x:row>
    <x:row r="305">
      <x:c r="A305" s="24" t="str">
        <x:v>SEARCH-ALIAS-012</x:v>
      </x:c>
      <x:c r="B305" s="24" t="str">
        <x:v>financial literacy; financial education</x:v>
      </x:c>
      <x:c r="C305" s="24" t="str">
        <x:v>الثقافة المالية; التثقيف المالي</x:v>
      </x:c>
      <x:c r="D305" s="24" t="str">
        <x:v>route:/people/ | route:/reforms/</x:v>
      </x:c>
      <x:c r="E305" s="24" t="str">
        <x:v>Discovery aid only: financial-education activity is not literacy, capability or behaviour.</x:v>
      </x:c>
      <x:c r="F305" s="38" t="str">
        <x:v>وسيلة للعثور على المحتوى فقط: النشاط التثقيفي المالي ليس ثقافة مالية ولا قدرة ولا سلوكًا.</x:v>
      </x:c>
    </x:row>
    <x:row r="306">
      <x:c r="A306" s="24" t="str">
        <x:v>SEARCH-ALIAS-013</x:v>
      </x:c>
      <x:c r="B306" s="24" t="str">
        <x:v>income; income gap</x:v>
      </x:c>
      <x:c r="C306" s="24" t="str">
        <x:v>الدخل; فجوة الدخل</x:v>
      </x:c>
      <x:c r="D306" s="24" t="str">
        <x:v>route:/people/</x:v>
      </x:c>
    </x:row>
    <x:row r="307">
      <x:c r="A307" s="24" t="str">
        <x:v>SEARCH-ALIAS-014</x:v>
      </x:c>
      <x:c r="B307" s="24" t="str">
        <x:v>credit; lending</x:v>
      </x:c>
      <x:c r="C307" s="24" t="str">
        <x:v>الائتمان; الإقراض</x:v>
      </x:c>
      <x:c r="D307" s="24" t="str">
        <x:v>route:/finance/ | route:/firms/</x:v>
      </x:c>
    </x:row>
    <x:row r="308">
      <x:c r="A308" s="24" t="str">
        <x:v>SEARCH-ALIAS-015</x:v>
      </x:c>
      <x:c r="B308" s="24" t="str">
        <x:v>licensed banks; licensed bank; bank list</x:v>
      </x:c>
      <x:c r="C308" s="24" t="str">
        <x:v>البنوك المرخصة; بنوك مرخصة; قائمة البنوك</x:v>
      </x:c>
      <x:c r="D308" s="24" t="str">
        <x:v>route:/providers/</x:v>
      </x:c>
    </x:row>
    <x:row r="309">
      <x:c r="A309" s="24" t="str">
        <x:v>SEARCH-ALIAS-016</x:v>
      </x:c>
      <x:c r="B309" s="24" t="str">
        <x:v>remittance cost; remittance prices; transfer cost</x:v>
      </x:c>
      <x:c r="C309" s="24" t="str">
        <x:v>تكلفة التحويل; تكلفة الحوالات; رسوم التحويل</x:v>
      </x:c>
      <x:c r="D309" s="24" t="str">
        <x:v>route:/remittances/</x:v>
      </x:c>
    </x:row>
    <x:row r="310">
      <x:c r="A310" s="24" t="str">
        <x:v>SEARCH-ALIAS-017</x:v>
      </x:c>
      <x:c r="B310" s="24" t="str">
        <x:v>Aden; CBY Aden; CBY-Aden</x:v>
      </x:c>
      <x:c r="C310" s="24" t="str">
        <x:v>عدن; البنك المركزي في عدن</x:v>
      </x:c>
      <x:c r="D310" s="24" t="str">
        <x:v>route:/providers/ | route:/data/</x:v>
      </x:c>
      <x:c r="E310" s="24" t="str">
        <x:v>Discovery aid only: CBY-Aden lists, decisions and statistics carry the scope of that authority; they do not describe all of Yemen.</x:v>
      </x:c>
      <x:c r="F310" s="38" t="str">
        <x:v>وسيلة للعثور على المحتوى فقط: قوائم البنك المركزي اليمني في عدن وقراراته وإحصاءاته تحمل نطاق تلك السلطة، ولا تصف اليمن كله.</x:v>
      </x:c>
    </x:row>
    <x:row r="311">
      <x:c r="A311" s="24" t="str">
        <x:v>SEARCH-ALIAS-018</x:v>
      </x:c>
      <x:c r="B311" s="24" t="str">
        <x:v>deposits; deposit; bank deposits</x:v>
      </x:c>
      <x:c r="C311" s="24" t="str">
        <x:v>الودائع; ودائع; الودائع المصرفية</x:v>
      </x:c>
      <x:c r="D311" s="24" t="str">
        <x:v>route:/finance/</x:v>
      </x:c>
    </x:row>
    <x:row r="312">
      <x:c r="A312" s="24" t="str">
        <x:v>SEARCH-ALIAS-019</x:v>
      </x:c>
      <x:c r="B312" s="24" t="str">
        <x:v>SME finance; SME; SMEs; MSME; MSMEs; MSME finance; small business finance</x:v>
      </x:c>
      <x:c r="C312" s="24" t="str">
        <x:v>المنشآت الصغيرة والمتوسطة; تمويل المنشآت الصغيرة والمتوسطة; المنشآت الأصغر والصغيرة والمتوسطة; المنشآت الصغرى والصغيرة والمتوسطة</x:v>
      </x:c>
      <x:c r="D312" s="24" t="str">
        <x:v>route:/firms/</x:v>
      </x:c>
    </x:row>
    <x:row r="313">
      <x:c r="A313" s="24" t="str">
        <x:v>SEARCH-ALIAS-020</x:v>
      </x:c>
      <x:c r="B313" s="24" t="str">
        <x:v>RTGS; real-time gross settlement; real time gross settlement</x:v>
      </x:c>
      <x:c r="C313" s="24" t="str">
        <x:v>التسوية الإجمالية الفورية; نظام التسوية الإجمالية الفورية</x:v>
      </x:c>
      <x:c r="D313" s="24" t="str">
        <x:v>route:/payments/ | route:/reforms/</x:v>
      </x:c>
    </x:row>
    <x:row r="314">
      <x:c r="A314" s="24" t="str">
        <x:v>SEARCH-ALIAS-021</x:v>
      </x:c>
      <x:c r="B314" s="24" t="str">
        <x:v>FPS; fast payment system; fast payments</x:v>
      </x:c>
      <x:c r="C314" s="24" t="str">
        <x:v>نظام الدفع السريع; الدفع السريع; المدفوعات السريعة</x:v>
      </x:c>
      <x:c r="D314" s="24" t="str">
        <x:v>route:/payments/ | route:/reforms/</x:v>
      </x:c>
    </x:row>
    <x:row r="315">
      <x:c r="A315" s="24" t="str">
        <x:v>SEARCH-ALIAS-022</x:v>
      </x:c>
      <x:c r="B315" s="24" t="str">
        <x:v>consumer protection; financial consumer protection</x:v>
      </x:c>
      <x:c r="C315" s="24" t="str">
        <x:v>حماية المستهلك; حماية المستهلك المالي</x:v>
      </x:c>
      <x:c r="D315" s="24" t="str">
        <x:v>route:/reforms/</x:v>
      </x:c>
    </x:row>
    <x:row r="316">
      <x:c r="A316" s="24" t="str">
        <x:v>SEARCH-ALIAS-023</x:v>
      </x:c>
      <x:c r="B316" s="24" t="str">
        <x:v>complaints; complaint; complaint handling; redress</x:v>
      </x:c>
      <x:c r="C316" s="24" t="str">
        <x:v>الشكاوى; شكوى; معالجة الشكاوى; التظلم</x:v>
      </x:c>
      <x:c r="D316" s="24" t="str">
        <x:v>route:/reforms/</x:v>
      </x:c>
      <x:c r="E316" s="24" t="str">
        <x:v>Discovery aid only: official guidance and instructions describe a complaint path and time limits, not how complaints are handled in practice.</x:v>
      </x:c>
      <x:c r="F316" s="38" t="str">
        <x:v>وسيلة للعثور على المحتوى فقط: تصف الإرشادات والتعليمات الرسمية مسار الشكوى ومهلها، لا طريقة معالجة الشكاوى فعليًا.</x:v>
      </x:c>
    </x:row>
    <x:row r="317">
      <x:c r="A317" s="24" t="str">
        <x:v>SEARCH-ALIAS-024</x:v>
      </x:c>
      <x:c r="B317" s="24" t="str">
        <x:v>FMIIP; Financial Market Infrastructure and Inclusion Project</x:v>
      </x:c>
      <x:c r="C317" s="24" t="str">
        <x:v>FMIIP; مشروع البنية التحتية للأسواق المالية والشمول المالي; مشروع البنية التحتية للأسواق والشمول المالي</x:v>
      </x:c>
      <x:c r="D317" s="24" t="str">
        <x:v>route:/reforms/ | route:/payments/</x:v>
      </x:c>
    </x:row>
    <x:row r="318">
      <x:c r="A318" s="24" t="str">
        <x:v>SEARCH-ALIAS-025</x:v>
      </x:c>
      <x:c r="B318" s="24" t="str">
        <x:v>women; woman; female; gender; gender gap</x:v>
      </x:c>
      <x:c r="C318" s="24" t="str">
        <x:v>المرأة; امرأة; النساء; نساء; الإناث; النوع الاجتماعي; فجوة النوع الاجتماعي; الفجوة بين الجنسين</x:v>
      </x:c>
      <x:c r="D318" s="24" t="str">
        <x:v>route:/people/</x:v>
      </x:c>
      <x:c r="E318" s="24" t="str">
        <x:v>Discovery aid only: the measured gap comes from one survey wave (the 2021 Findex wave; Yemen fieldwork 2022–23); it is not a 2026 figure and does not establish causes.</x:v>
      </x:c>
      <x:c r="F318"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319">
      <x:c r="A319" s="24" t="str">
        <x:v>SEARCH-ALIAS-026</x:v>
      </x:c>
      <x:c r="B319" s="24" t="str">
        <x:v>humanitarian; cash transfer; cash transfers; social protection; G2P</x:v>
      </x:c>
      <x:c r="C319" s="24" t="str">
        <x:v>إنساني; المساعدات الإنسانية; التحويلات النقدية; الحماية الاجتماعية; مدفوعات الحكومة للأفراد</x:v>
      </x:c>
      <x:c r="D319" s="24" t="str">
        <x:v>route:/readings/after-transfer-persistence/ | route:/payments/</x:v>
      </x:c>
    </x:row>
    <x:row r="320">
      <x:c r="A320" s="24" t="str">
        <x:v>SEARCH-ALIAS-027</x:v>
      </x:c>
      <x:c r="B320" s="24" t="str">
        <x:v>licence; license; licensing; suspension; closure</x:v>
      </x:c>
      <x:c r="C320" s="24" t="str">
        <x:v>ترخيص; تراخيص; إيقاف; تعليق; إغلاق</x:v>
      </x:c>
      <x:c r="D320" s="24" t="str">
        <x:v>route:/providers/ | document_type:decision/enforcement</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same-wave disparities and what the evidence cannot explain.</x:v>
      </x:c>
      <x:c r="G6" s="28" t="str">
        <x:v>القياسات السكانية، والفجوات داخل الموجة نفسها،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مستدام،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المستدام.</x:v>
      </x:c>
    </x:row>
    <x:row r="9">
      <x:c r="A9" s="24" t="str">
        <x:v>QE-005</x:v>
      </x:c>
      <x:c r="B9" s="24" t="str">
        <x:v>For firms, how serious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finance severity for a filtered group,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والمحفظة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والمحفظة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الحوالات والتدفقات المالية الأخرى عن صلة الأسر بالنظام المالي؟</x:v>
      </x:c>
      <x:c r="D11" s="24" t="str">
        <x:v>/remittances</x:v>
      </x:c>
      <x:c r="E11" s="24" t="str">
        <x:v>MONEY_FLOW_TO_USE</x:v>
      </x:c>
      <x:c r="F11" s="24" t="str">
        <x:v>Macro-flow vintages,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أرني الدليل الذي تقوم عليه الخلاصة، واشرح أوجه الاختلاف بين الأرقام، ومكّنني من إعادة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وطريقة الاحتساب، وتاريخ الإصدارات، والاستشهاد، وإعادة الاستخدام الآمن.</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row>
    <x:row r="5">
      <x:c r="A5" s="24" t="str">
        <x:v>CLM-001</x:v>
      </x:c>
      <x:c r="B5" s="24" t="str">
        <x:v>CLAIM</x:v>
      </x:c>
      <x:c r="C5" s="24" t="str">
        <x:v>/people/ | / | /evidence/compare/</x:v>
      </x:c>
      <x:c r="D5" s="24" t="str">
        <x:v>Latest representative account-ownership measure available</x:v>
      </x:c>
      <x:c r="E5" s="28" t="str">
        <x:v>أحدث قياس سكاني ممثل متاح لامتلاك الحساب</x:v>
      </x:c>
      <x:c r="F5" s="24" t="str">
        <x:v>The World Bank’s latest representative Yemen account-ownership observation remains 11.9%. World Bank Data reports it for 2022; it comes from the Yemen Global Findex 2021 study, fielded from 7 November 2022 to 9 January 2023. The Global Findex 2025 edition adds 2024 observations for many economies, but no newer Yemen observation.</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November 2022 –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نوفمبر 2022 إلى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x:v>
      </x:c>
      <x:c r="O5" s="28" t="str">
        <x:v>تقدير مسحي موزون وفق تصميم المسح وأوزانه.</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1,473 in January 2026, within CBY-Aden's reporting scope. The December 2025 total of 1,357 and the January 2026 total of 1,473 imply growth of 8.55%, while the January source graphic displays +11%; both are kept as a discrepancy within the source.</x:v>
      </x:c>
      <x:c r="G6" s="28" t="str">
        <x:v>ارتفع عدد أجهزة نقاط البيع التي يُبلغ عنها البنك المركزي اليمني – عدن من 561 جهازًا في مارس 2025 إلى 1,473 جهازًا في يناير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وتُحفظ القيمتان بوصفهما اختلافًا داخل المصدر نفسه.</x:v>
      </x:c>
      <x:c r="H6" s="24" t="str">
        <x:v>The monthly number of point-of-sale (POS) terminals reported by the Central Bank of Yemen – Aden (CBY-Aden) within its reporting scope, March 2025 to January 2026.</x:v>
      </x:c>
      <x:c r="I6" s="28" t="str">
        <x:v>العدد الشهري لأجهزة نقاط البيع التي يُبلغ عنها البنك المركزي اليمني – عدن ضمن نطاق الإبلاغ لديه، من مارس 2025 إلى يناير 2026.</x:v>
      </x:c>
      <x:c r="J6" s="24" t="str">
        <x:v>Mar-2025–Jan-2026</x:v>
      </x:c>
      <x:c r="K6" s="28" t="str">
        <x:v>مارس 2025 – يناير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release shows material discrepancies between its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 يناير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January 2026; the series runs monthly from March 2025. January 2026 was the latest monthly POS release on the payments page of the Central Bank of Yemen – Aden (CBY-Aden) when checked on 26 September 2026. The figures should not be read as describing a later period unless a newer comparable release is published.</x:v>
      </x:c>
      <x:c r="S6" s="28" t="str">
        <x:v>تعود أحدث مشاهدة في هذا السجل إلى يناير 2026، وتمتد السلسلة شهريًا منذ مارس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x:v>
      </x:c>
      <x:c r="Z6" t="str">
        <x:v>BOUND_EXACT</x:v>
      </x:c>
    </x:row>
    <x:row r="7">
      <x:c r="A7" s="24" t="str">
        <x:v>CLM-009</x:v>
      </x:c>
      <x:c r="B7" s="24" t="str">
        <x:v>CLAIM</x:v>
      </x:c>
      <x:c r="C7" s="24" t="str">
        <x:v>/providers/ | /evidence/ | /access/</x:v>
      </x:c>
      <x:c r="D7" s="24" t="str">
        <x:v>The official 2026 exchange and remittance roster is countable; current operation is a separate question</x:v>
      </x:c>
      <x:c r="E7" s="28" t="str">
        <x:v>يمكن عدّ القائمة الرسمية للصرافة والحوالات لعام 2026؛ أما التشغيل الحالي فسؤال مختلف</x:v>
      </x:c>
      <x:c r="F7" s="24" t="str">
        <x:v>The official 2026 roster of exchange and remittance providers issued by the Central Bank of Yemen – Aden (CBY-Aden) lists 98 exchange companies, 225 individual exchange establishments and 106 remittance agents. These are roster entries counted by the roster's own classes: the three class totals are not a count of unique providers, nor a verified count of providers operating now. Because the roster does not state its issue date, CBY-Aden's 2026 decisions suspending, withdrawing or closing named entities (dated January to September 2026) are matched with the roster entity by entity in both directions: a decision may or may not already be reflected in it.</x:v>
      </x:c>
      <x:c r="G7" s="28" t="str">
        <x:v>تضم القائمة الرسمية لعام 2026 لمقدمي خدمات الصرافة والحوالات، الصادرة عن البنك المركزي اليمني – عدن، كلًّا من 98 شركة صرافة و225 منشأة صرافة فردية و106 وكلاء 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تُطابَق قرارات البنك المركزي في عدن الصادرة خلال 2026 (بين يناير وسبتمبر 2026) بتعليق تراخيص جهات مسماة أو سحبها أو إغلاقها مع القائمة جهةً جهة وفي الاتجاهين، إذ قد يكون أثر القرار منعكسًا فيها وقد لا يكون.</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rows are counted separately by the three classes used in the official roster.</x:v>
      </x:c>
      <x:c r="M7" s="28" t="str">
        <x:v>شركات الصرافة ومنشآت الصرافة الفردية ووكلاء الحوالات المدرجون في المصدر، مع عدّ الصفوف بصورة منفصلة وفق الفئات الثلاث التي تستخدمها القائمة الرسمية.</x:v>
      </x:c>
      <x:c r="N7" s="24" t="str">
        <x:v>Entries were counted from the official 11-page roster of the Central Bank of Yemen – Aden (CBY-Aden) by reading the document visually, using its own class headings and serial numbering; the numbering in the three classes ends at 98, 225 and 106.</x:v>
      </x:c>
      <x:c r="O7" s="28" t="str">
        <x:v>عُدّت القيود من القائمة الرسمية للبنك المركزي اليمني – عدن المكونة من 11 صفحة بقراءة الوثيقة بصريًا، وباستخدام عناوين الفئات وترقيمها التسلسلي كما وردت فيها؛ وينتهي الترقيم في الفئات الثلاث عند 98 و225 و106.</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x:v>
      </x:c>
      <x:c r="Y7" s="24" t="str">
        <x:v>[{"source_id": "SRC-CBY-EXCH-LIST-2026-001", "url": "https://www.cby-ye.com/files/6a87039fd05bb.pdf", "audit_state": "PRIMARY_AUTHORITY_ROSTER_VISUALLY_EXTRACTED"}]</x:v>
      </x:c>
      <x:c r="Z7" t="str">
        <x:v>BOUND_EXACT</x:v>
      </x:c>
    </x:row>
    <x:row r="8">
      <x:c r="A8" s="24" t="str">
        <x:v>CLM-010</x:v>
      </x:c>
      <x:c r="B8" s="24" t="str">
        <x:v>CLAIM</x:v>
      </x:c>
      <x:c r="C8" s="24" t="str">
        <x:v>/evidence/compare/ | /payments/ | /providers/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same two payment reports give e-wallet subscriber counts of 414,631, 507,585 and 581,075 for the first three quarters of 2024 (2024 Q3 report) and 2,102,484 for 2025 H1 (H1 2025 infographic).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تقريرا المدفوعات نفسهما أعداد مشتركي المحافظ الإلكترونية: 414,631 و507,585 و581,075 للأرباع الثلاثة الأولى من 2024 (تقرير الربع الثالث 2024)، و2,102,484 للنصف الأول من 2025 (إنفوغرافيك النصف الأول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row>
    <x:row r="9">
      <x:c r="A9" s="24" t="str">
        <x:v>CLM-011</x:v>
      </x:c>
      <x:c r="B9" s="24" t="str">
        <x:v>CLAIM</x:v>
      </x:c>
      <x:c r="C9" s="24" t="str">
        <x:v>/reforms/</x:v>
      </x:c>
      <x:c r="D9" s="24" t="str">
        <x:v>The complaint path is documented; performance remains open</x:v>
      </x:c>
      <x:c r="E9" s="28" t="str">
        <x:v>مسار الشكوى معروف ونتائج الأداء ما تزال مفتوحة</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القائمة الإيجابية الكاملة للجهات المرخصة.</x:v>
      </x:c>
      <x:c r="N10" s="24" t="str">
        <x:v>The names are taken from the text of the circular issued by the Central Bank of Yemen – Aden (CBY-Aden) on 26 June 2024 and recorded by name and date.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x:v>
      </x:c>
      <x:c r="Y10" s="24" t="str">
        <x:v>[]</x:v>
      </x:c>
      <x:c r="Z10" t="str">
        <x:v>BOUND_EXACT</x:v>
      </x:c>
      <x:c r="AB10" t="str">
        <x:v>SRC-CBY-UNLICENSED-EWALLET-2024-001=status event</x:v>
      </x:c>
    </x:row>
    <x:row r="11">
      <x:c r="A11" s="24" t="str">
        <x:v>VIS-INCLUSION-TRANSMISSION</x:v>
      </x:c>
      <x:c r="B11" s="24" t="str">
        <x:v>VISUAL</x:v>
      </x:c>
      <x:c r="C11" s="24" t="str">
        <x:v>/</x:v>
      </x:c>
      <x:c r="D11" s="24" t="str">
        <x:v>Financial inclusion is a connected system, not a sector score</x:v>
      </x:c>
      <x:c r="E11" s="28" t="str">
        <x:v>الشمول المالي منظومة مترابطة، لا درجة واحدة</x:v>
      </x:c>
      <x:c r="F11" s="24" t="str">
        <x:v>Financial inclusion in Yemen is described here as connected parts: people and capability, firms and income, providers, payment rails, remittance and capital flows, regulation and protection, and enabling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والقيود المُمكِّنة أو المعطِّلة.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rails, flows, rules, enabling constraints</x:v>
      </x:c>
      <x:c r="M11" s="28" t="str">
        <x:v>الأشخاص والمنشآت ومقدمو الخدمات وبنية المدفوعات والتدفقات والقواعد التنظيمية والقيود المُمكِّنة أو المعطلة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مجمَّعة من العلاقات بين أجزاء المنظومة الموثقة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وتحقق منه مقابل مصدره الخاص.</x:v>
      </x:c>
      <x:c r="X11" s="24"/>
      <x:c r="Y11" s="24" t="str">
        <x:v>[]</x:v>
      </x:c>
      <x:c r="Z11" t="str">
        <x:v>COMPOSITE_OF_OBJECTS</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سكانية تمثيلية أساسية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held in the content version dated 26 September 2026.</x:v>
      </x:c>
      <x:c r="I12" s="28" t="str">
        <x:v>تواريخ الرصد أو النشر وأنواع الأدلة لسجلات الأدلة في كل مجال، كما وردت في نسخة المحتوى المؤرخة في 26 سبتمبر 2026.</x:v>
      </x:c>
      <x:c r="J12" s="24" t="str">
        <x:v>Content version dated 26 September 2026; each item keeps the period its source gives</x:v>
      </x:c>
      <x:c r="K12" s="28" t="str">
        <x:v>نسخة المحتوى المؤرخة في 26 سبتمبر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vintage and evidence class;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البيانات الإدارية لا تجعلها نتيجة سكانية راهنة.</x:v>
      </x:c>
      <x:c r="R12" s="24" t="str">
        <x:v>This comparison reflects the evidence held in the content version dated 26 September 2026 and changes whenever a newer record is added; each item keeps the date its source gives.</x:v>
      </x:c>
      <x:c r="S12" s="28" t="str">
        <x:v>تعكس هذه المقارنة الأدلة الواردة في نسخة المحتوى المؤرخة في 26 سبتمبر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summarises other evidence records, which are not yet linked individually here. Before reusing a figure, open the evidence record that reports it and check that record against its own source.</x:v>
      </x:c>
      <x:c r="W12" s="28" t="str">
        <x:v>يلخص هذا العرض سجلات أدلة أخرى لم تُربط بعدُ هنا كلٌّ على حدة. وقبل إعادة استخدام أي رقم، افتح سجل الدليل الذي يورده وتحقق منه مقابل مصدره الخاص.</x:v>
      </x:c>
      <x:c r="X12" s="24"/>
      <x:c r="Y12" s="24" t="str">
        <x:v>[]</x:v>
      </x:c>
      <x:c r="Z12" t="str">
        <x:v>COMPOSITE_OF_OBJECTS</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period, population or calculation base, source scope and method, and on geography and unit where these are recorded.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والفترة والمجتمع أو قاعدة الاحتساب ونطاق المصدر والطريقة، ومن حيث الجغرافيا والوحدة حيث تكون مسجلة.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source-native / 2025 baseline-admin comparison</x:v>
      </x:c>
      <x:c r="K13" s="28" t="str">
        <x:v>بحسب فترات المصادر / مقارنة إدارية مرجعية لعام 2025</x:v>
      </x:c>
      <x:c r="L13" s="24" t="str">
        <x:v>The documented crosswalk of measures and the evidence records being compared</x:v>
      </x:c>
      <x:c r="M13" s="28" t="str">
        <x:v>المقاييس الخاضعة للمطابقة وسجلات الدليل التي تسمح بفحص التعريف والفترة والجغرافيا وقاعدة القياس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تُجري المقارنة مطابقة مُصطنعة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وتحقق منه مقابل مصدره الخاص.</x:v>
      </x:c>
      <x:c r="X13" s="24"/>
      <x:c r="Y13" s="24" t="str">
        <x:v>[]</x:v>
      </x:c>
      <x:c r="Z13" t="str">
        <x:v>COMPOSITE_OF_OBJECTS</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98 exchange companies, 225 individual exchange establishments and 106 remittance agents. Selected CBY-Aden Governor's decisions dated January to September 2026 suspend, withdraw or close named entities; they are kept separate from the roster and matched to it entity by entity, because the roster's issue date is not stated. Listing or licensing is not evidence of current operation.</x:v>
      </x:c>
      <x:c r="G14" s="28" t="str">
        <x:v>تضم القائمة الرسمية لعام 2026 للصرافة والحوالات، الصادرة عن البنك المركزي اليمني – عدن، كلًّا من 98 شركة صرافة و225 منشأة صرافة فردية و106 وكلاء 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وتُطابَق معها جهةً جهة، لأن القائمة لا تذكر تاريخ صدورها.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The 2026 decisions are matched to named entities one by one, in both directions, because the roster does not state its issue date;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وتُطابَق قرارات 2026 مع الجهات المسماة جهةً جهة وفي الاتجاهين، لأن القائمة لا تذكر تاريخ صدورها؛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فتحقق من كل سجل مرتبط مقابل مصدره الخاص.</x:v>
      </x:c>
      <x:c r="X14" s="24" t="str">
        <x:v>CLM-009; CLM-019</x:v>
      </x:c>
      <x:c r="Y14" s="24" t="str">
        <x:v>[]</x:v>
      </x:c>
      <x:c r="Z14" t="str">
        <x:v>COMPOSITE_OF_OBJECTS</x:v>
      </x:c>
      <x:c r="AA14" t="str">
        <x:v>NO_GOVERNED_CONTRACT__TABLE_ONLY</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no data on complaint volumes, resolution quality or enforcement are held.</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فعالية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ومحفزات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فعالية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No data on complaint outcomes are held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x:v>
      </x:c>
      <x:c r="Y15" s="24" t="str">
        <x:v>[]</x:v>
      </x:c>
      <x:c r="Z15" t="str">
        <x:v>BOUND_EXACT</x:v>
      </x:c>
    </x:row>
    <x:row r="16">
      <x:c r="A16" s="24" t="str">
        <x:v>VIS-E-MONEY-RULE-STACK</x:v>
      </x:c>
      <x:c r="B16" s="24" t="str">
        <x:v>VISUAL</x:v>
      </x:c>
      <x:c r="C16" s="24" t="str">
        <x:v>/payments/</x:v>
      </x:c>
      <x:c r="D16" s="24" t="str">
        <x:v>What must sit underneath a mobile wallet?</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إلى عملة أجنبية ضمن نطاقه، ويضع سقوفًا لحسابات الأفراد: 1,000,000 ريال للمعاملة الواحدة، و2,000,000 يوميًا، و5,000,000 شهريًا، و50,000,000 سنويًا؛ و400 و500 و1,000 و10,000 دولار أو ما يعادلها لحسابات العملة الأجنبية؛ وحدًّا أقصى للرصيد قدره 8,000,000 ريال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A consolidated register of later amendments is not held here,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primary-verification needs that have an explicit supported relationship.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source-bounded / multi-period</x:v>
      </x:c>
      <x:c r="K17" s="28" t="str">
        <x:v>مقيد بنطاق المصدر / فترات متعددة</x:v>
      </x:c>
      <x:c r="L17" s="24" t="str">
        <x:v>One quantitative measure, linked only to qualitative mechanisms with a documented relationship</x:v>
      </x:c>
      <x:c r="M17" s="28" t="str">
        <x:v>مؤشر كمي واحد لا يرتبط إلا بآليات أو سياقات نوعية ذات صلة مؤهلة ومحددة.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وتحقق منه مقابل مصدره الخاص.</x:v>
      </x:c>
      <x:c r="X17" s="24"/>
      <x:c r="Y17" s="24" t="str">
        <x:v>[]</x:v>
      </x:c>
      <x:c r="Z17" t="str">
        <x:v>COMPOSITE_OF_OBJECTS</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7 September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or close named entities. E-wallets: CBY-Aden publications give counts of licensed e-wallets for 2024 and 2025, and a June 2024 circular names wallets, entities or services as unlicensed; no current named list of licensed wallets is held. Non-bank microfinance institutions: only network membership pages are held, not a licensing list. Payment-system operators: no named list is held.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7 سبتمبر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 المحافظ الإلكترونية المرخصة في 2024 و2025،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أوضاع مؤرخة كما سجلتها الجهة المختصة،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والقائمة المسماة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7 September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7 سبتمبر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وتحقق منه مقابل مصدره الخاص.</x:v>
      </x:c>
      <x:c r="X18" s="24"/>
      <x:c r="Y18" s="24" t="str">
        <x:v>[]</x:v>
      </x:c>
      <x:c r="Z18" t="str">
        <x:v>COMPOSITE_OF_OBJECTS</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with no evidence held.</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complaint/redress architecture does not establish that consumers use it, that cases are resolved on time, or that redress outcomes are effective.</x:v>
      </x:c>
      <x:c r="Q19" s="28" t="str">
        <x:v>وجود بنية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source-qualified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Entries/categories in the official 2025 roster; categories are not proven unique legal entities across sections</x:v>
      </x:c>
      <x:c r="M21" s="28" t="str">
        <x:v>المدخلات والفئات الواردة في القائمة الرسمية لعام 2025؛ ولا يثبت ظهور الاسم في أكثر من قسم أنها كيانات قانونية فريدة.</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row>
    <x:row r="22">
      <x:c r="A22" s="24" t="str">
        <x:v>CLM-017</x:v>
      </x:c>
      <x:c r="B22" s="24" t="str">
        <x:v>CLAIM</x:v>
      </x:c>
      <x:c r="C22" s="24" t="str">
        <x:v>/payments/ | /methodology/</x:v>
      </x:c>
      <x:c r="D22" s="24" t="str">
        <x:v>January 2026 was the latest monthly POS release on the CBY-Aden payments page when checked on 26 September 2026</x:v>
      </x:c>
      <x:c r="E22" s="28" t="str">
        <x:v>كان يناير 2026 أحدث إصدار شهري لنقاط البيع في صفحة المدفوعات لدى البنك المركزي اليمني – عدن كما اطُّلع عليها في 26 سبتمبر 2026</x:v>
      </x:c>
      <x:c r="F22" s="24" t="str">
        <x:v>The payments page of the Central Bank of Yemen – Aden (CBY-Aden) lists monthly POS releases from March 2025 to January 2026. January 2026 was the latest monthly POS release on the CBY-Aden payments page when checked on 26 September 2026; no later month is inferred.</x:v>
      </x:c>
      <x:c r="G22" s="28" t="str">
        <x:v>تعرض صفحة المدفوعات لدى البنك المركزي اليمني – عدن إصدارات شهرية لنقاط البيع من مارس 2025 إلى يناير 2026. كان يناير 2026 أحدث إصدار شهري لنقاط البيع في صفحة المدفوعات لدى البنك المركزي اليمني – عدن كما اطُّلع عليها في 26 سبتمبر 2026، من دون استنتاج أي شهر لاحق.</x:v>
      </x:c>
      <x:c r="H22" s="24" t="str">
        <x:v>The most recent month covered by a monthly point-of-sale (POS) release on the payments page of the Central Bank of Yemen – Aden (CBY-Aden), as checked on 26 September 2026.</x:v>
      </x:c>
      <x:c r="I22" s="28" t="str">
        <x:v>أحدث شهر يغطيه إصدار شهري لنقاط البيع في صفحة المدفوعات لدى البنك المركزي اليمني – عدن، كما اطُّلع عليها في 26 سبتمبر 2026.</x:v>
      </x:c>
      <x:c r="J22" s="24" t="str">
        <x:v>Monthly releases for March 2025 to January 2026; page checked on 26 September 2026</x:v>
      </x:c>
      <x:c r="K22" s="28" t="str">
        <x:v>إصدارات شهرية من مارس 2025 إلى يناير 2026؛ واطُّلع على الصفحة في 26 سبتمبر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الإبلاغ لديه</x:v>
      </x:c>
      <x:c r="N22" s="24" t="str">
        <x:v>The list of monthly POS releases on the payments page of the Central Bank of Yemen – Aden (CBY-Aden) was checked on 26 September 2026; the latest release listed was January 2026. Values are taken as published, and arithmetic discrepancies within the releases are kept.</x:v>
      </x:c>
      <x:c r="O22" s="28" t="str">
        <x:v>اطُّلع في 26 سبتمبر 2026 على قائمة الإصدارات الشهرية لنقاط البيع في صفحة المدفوعات لدى البنك المركزي اليمني – عدن، وكان آخر إصدار مدرج هو إصدار يناير 2026. وتُؤخذ القيم كما نُشرت، مع الإبقاء على الفروق الحسابية الواردة في الإصدارات.</x:v>
      </x:c>
      <x:c r="P22" s="24" t="str">
        <x:v>It does not show that POS activity stopped after January 2026; it identifies only the latest monthly release listed on the payments page of the Central Bank of Yemen – Aden (CBY-Aden) when checked on 26 September 2026.</x:v>
      </x:c>
      <x:c r="Q22" s="28" t="str">
        <x:v>لا يعني ذلك توقف نشاط نقاط البيع بعد يناير 2026؛ بل يحدد فقط أحدث إصدار شهري مدرج في صفحة المدفوعات لدى البنك المركزي اليمني – عدن كما اطُّلع عليها في 26 سبتمبر 2026.</x:v>
      </x:c>
      <x:c r="R22" s="24" t="str">
        <x:v>January 2026 was the latest monthly POS release on the payments page of the Central Bank of Yemen – Aden (CBY-Aden) when checked on 26 September 2026. A later release, once listed, would replace it as the latest observation.</x:v>
      </x:c>
      <x:c r="S22" s="28" t="str">
        <x:v>كان يناير 2026 أحدث إصدار شهري لنقاط البيع في صفحة المدفوعات لدى البنك المركزي اليمني – عدن كما اطُّلع عليها في 26 سبتمبر 2026.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SRC-CBY-POS-2026-01; SRC-CBY-POS-PUBLICATION-PAGE-2026-001</x:v>
      </x:c>
      <x:c r="Y22" s="24" t="str">
        <x:v>[{"source_id":"SRC-CBY-POS-2026-01","url":"https://www.cby-ye.com/files/69b058d4bc306.pdf","audit_state":"PASS_AUTHORITY_OR_PROVIDER_LOCATOR"}]</x:v>
      </x:c>
      <x:c r="Z22" t="str">
        <x:v>BOUND_EXACT</x:v>
      </x:c>
    </x:row>
    <x:row r="23">
      <x:c r="A23" s="24" t="str">
        <x:v>CLM-018</x:v>
      </x:c>
      <x:c r="B23" s="24" t="str">
        <x:v>CLAIM</x:v>
      </x:c>
      <x:c r="C23" s="24" t="str">
        <x:v>/payments/ | /reforms/</x:v>
      </x:c>
      <x:c r="D23" s="24" t="str">
        <x:v>Institutional progress is not operation or outcome</x:v>
      </x:c>
      <x:c r="E23" s="28" t="str">
        <x:v>تقدم مؤسسي لا يساوي تشغيلًا أو أثرًا</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Source-stated institutions/events; not user, transaction or system-availability universe</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x:v>
      </x:c>
      <x:c r="Y23" s="24" t="str">
        <x:v>[]</x:v>
      </x:c>
      <x:c r="Z23" t="str">
        <x:v>BOUND_EXACT</x:v>
      </x:c>
    </x:row>
    <x:row r="24">
      <x:c r="A24" s="24" t="str">
        <x:v>CLM-019</x:v>
      </x:c>
      <x:c r="B24" s="24" t="str">
        <x:v>CLAIM</x:v>
      </x:c>
      <x:c r="C24" s="24" t="str">
        <x:v>/providers/ | /evidence/</x:v>
      </x:c>
      <x:c r="D24" s="24" t="str">
        <x:v>Enforcement decisions are events, not a market census</x:v>
      </x:c>
      <x:c r="E24" s="28" t="str">
        <x:v>قرارات الإنفاذ طبقة أحداث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matched with it entity by entity and are not subtracted from it to produce a count of providers operating now.</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تُطابَق معها جهةً جهة، ولا تُطرح منها لاستخراج عدد لمقدمي الخدمات العاملين حاليًا.</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(for Decision No. 18, the named entities have not yet been transcribed); not the full set of exchange and remittance providers</x:v>
      </x:c>
      <x:c r="M24" s="28" t="str">
        <x:v>الجهات المسماة في القرارات التي يشملها هذا السجل فقط (ولم تُنقل بعد أسماء الجهات الواردة في القرار رقم 18)؛ ولا تمثل المجموعة الكاملة لمقدمي خدمات الصرافة والحوالات.</x:v>
      </x:c>
      <x:c r="N24" s="24" t="str">
        <x:v>Each decision is taken from its official publication by the Central Bank of Yemen – Aden (CBY-Aden) and recorded by date, action and the entity or class of entity it names. The entities named in Decision No. 18 of 24 September 2026 have not yet been transcribed.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ونوع الإجراء والجهة أو فئة الجهات المسماة فيه. ولم تُنقل بعد أسماء الجهات الواردة في القرار رقم 18 المؤرخ في 24 سبتمبر 2026.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decision is matched to named entities one by one, in both directions.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يُطابَق كل قرار مع الجهات المسماة جهةً جهة وفي الاتجاهين.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row>
    <x:row r="25">
      <x:c r="A25" s="24" t="str">
        <x:v>CLM-020</x:v>
      </x:c>
      <x:c r="B25" s="24" t="str">
        <x:v>CLAIM</x:v>
      </x:c>
      <x:c r="C25" s="24" t="str">
        <x:v>/finance/</x:v>
      </x:c>
      <x:c r="D25" s="24" t="str">
        <x:v>1997 and 1998 are distinct milestones</x:v>
      </x:c>
      <x:c r="E25" s="28" t="str">
        <x:v>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row>
    <x:row r="26">
      <x:c r="A26" s="24" t="str">
        <x:v>CLM-021</x:v>
      </x:c>
      <x:c r="B26" s="24" t="str">
        <x:v>CLAIM</x:v>
      </x:c>
      <x:c r="C26" s="24" t="str">
        <x:v>/finance/</x:v>
      </x:c>
      <x:c r="D26" s="24" t="str">
        <x:v>Observed fall in microfinance borrowers and portfolio during 2015</x:v>
      </x:c>
      <x:c r="E26" s="28" t="str">
        <x:v>تراجع مرصود في المقترضين ومحفظة التمويل الأصغر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المحفظة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المحفظة في نهاية 2015 متعارضة داخل المصدر نفسه، فلا تُعتمد قيمة واحدة لمحفظة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row>
    <x:row r="27">
      <x:c r="A27" s="24" t="str">
        <x:v>VIS-MFI-SPINE</x:v>
      </x:c>
      <x:c r="B27" s="24" t="str">
        <x:v>VISUAL</x:v>
      </x:c>
      <x:c r="C27" s="24" t="str">
        <x:v>/finance/</x:v>
      </x:c>
      <x:c r="D27" s="24" t="str">
        <x:v>Microfinance observations by date, with gaps and breaks shown</x:v>
      </x:c>
      <x:c r="E27" s="28" t="str">
        <x:v>مشاهدات التمويل الأصغر بحسب التاريخ، مع إظهار الفجوات والانقطاعات</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joined to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المحفظة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يُوصل بهذه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2010–2024 evidence horizon available here</x:v>
      </x:c>
      <x:c r="K27" s="28" t="str">
        <x:v>أفق الأدلة المعتمدة 2010–2024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غير موجودة.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المحفظة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pointer,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إحالة ثانوية،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row>
    <x:row r="28">
      <x:c r="A28" s="24" t="str">
        <x:v>CLM-002</x:v>
      </x:c>
      <x:c r="B28" s="24" t="str">
        <x:v>CLAIM</x:v>
      </x:c>
      <x:c r="C28" s="24" t="str">
        <x:v>/people/ | /</x:v>
      </x:c>
      <x:c r="D28" s="24" t="str">
        <x:v>A measured gender gap</x:v>
      </x:c>
      <x:c r="E28" s="28" t="str">
        <x:v>فجوة مقاسة بين النساء والرجال</x:v>
      </x:c>
      <x:c r="F28" s="24" t="str">
        <x:v>In the 2021 Global Findex wave for Yemen (fieldwork 7 November 2022 – 9 January 2023; World Bank data year 2022), 18.35% of men and 5.44% of women aged 15 and over in the areas the survey covered had an account, a difference of 12.91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18.35% بين الرجال و5.44% بين النساء بعمر 15 سنة فأكثر في المناطق التي شملها المسح، بفارق 12.91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Yemen fieldwork 2022-11-07 to 2023-01-09</x:v>
      </x:c>
      <x:c r="K28" s="28" t="str">
        <x:v>موجة Findex 2021؛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18.35% minus women 5.44% (World Bank series FX.OWN.TOTL.MA.ZS minus FX.OWN.TOTL.FE.ZS, data year 2022).</x:v>
      </x:c>
      <x:c r="O28" s="28" t="str">
        <x:v>احتسبه هذا المورد بوصفه الفارق بين تقديرين موزونين نشرهما البنك الدولي للموجة نفسها: 18.35% للرجال ناقص 5.44% للنساء (سلسلة البنك الدولي FX.OWN.TOTL.MA.ZS ناقص FX.OWN.TOTL.FE.ZS، سنة البيانات 2022).</x:v>
      </x:c>
      <x:c r="P28" s="24" t="str">
        <x:v>It does not establish why the gap exists, and it is not the gender gap in 2026. | The survey frame excludes areas holding about 23% of the population, and more than a quarter of primary sampling units were replaced. No standard errors or confidence intervals are published with these values; the Yemen sample is 1,000 respondents, so subgroup values and the gap carry sampling uncertainty that is not quantified here.</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والفجوة بينها على عدم يقين ناتج عن المعاينة لا يُقدَّر كميًا هنا.</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x:v>
      </x:c>
      <x:c r="Y28" s="24" t="str">
        <x:v>[{"source_id":"SRC-WB-FINDEX-AGG-2022","url":"https://data.worldbank.org/indicator/FX.OWN.TOTL.ZS?locations=YE","audit_state":"PASS_AUTHORITY_OR_PROVIDER_LOCATOR"}]</x:v>
      </x:c>
      <x:c r="Z28" t="str">
        <x:v>BOUND_EXACT</x:v>
      </x:c>
    </x:row>
    <x:row r="29">
      <x:c r="A29" s="24" t="str">
        <x:v>CLM-007</x:v>
      </x:c>
      <x:c r="B29" s="24" t="str">
        <x:v>CLAIM</x:v>
      </x:c>
      <x:c r="C29" s="24" t="str">
        <x:v>/remittances/</x:v>
      </x:c>
      <x:c r="D29" s="24" t="str">
        <x:v>Reported history, estimates and projections remain separate</x:v>
      </x:c>
      <x:c r="E29" s="28" t="str">
        <x:v>القيم التاريخية المنشورة والتقديرات والتوقعات تبقى منفصلة</x:v>
      </x:c>
      <x:c r="F29" s="24" t="str">
        <x:v>The history in the IMF 2025 Article IV staff report shows materially higher remittance inflows in 2024 than in 2018 (both values from the same document); the 2025 estimate and the 2026–2030 projections come from a later supplement and are a separate evidence state. The IMF series covers the IMF's analytical scope for areas under the internationally recognized government, so its level is not a whole-of-Yemen figure and is not comparable in level with the annual-report values of the Central Bank of Yemen – Aden (CBY-Aden).</x:v>
      </x:c>
      <x:c r="G29" s="28" t="str">
        <x:v>تُظهر القيم التاريخية الواردة في تقرير خبراء صندوق النقد الدولي لمشاورات المادة الرابعة لعام 2025 أن التحويلات الواردة في ميزان المدفوعات كانت في 2024 أعلى بصورة جوهرية منها في 2018 (والقيمتان من الوثيقة نفسها)، أما تقدير 2025 وتوقعات 2026–2030 فمصدرها ملحق لاحق، وهي نوع دليل مختلف.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التحويلات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الحوالة غير الرسمية،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الحوالة غير الرسمية.</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row>
    <x:row r="31">
      <x:c r="A31" s="24" t="str">
        <x:v>CLM-012</x:v>
      </x:c>
      <x:c r="B31" s="24" t="str">
        <x:v>CLAIM</x:v>
      </x:c>
      <x:c r="C31" s="24" t="str">
        <x:v>/payments/ | /reforms/</x:v>
      </x:c>
      <x:c r="D31" s="24" t="str">
        <x:v>E-money rules are not observed usage</x:v>
      </x:c>
      <x:c r="E31" s="28" t="str">
        <x:v>قواعد النقود الإلكترونية ليست قيم 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 e-money issuers within instrument scope</x:v>
      </x:c>
      <x:c r="M31" s="28" t="str">
        <x:v>المؤسسات المالية غير المصرفية ومصدرو النقود الإلكترونية الذين تقع أنشطتهم ضمن نطاق الأداة التنظيمية.</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توافر مقدمي الخدمة،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A consolidated register of later amendments is not held here,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row>
    <x:row r="32">
      <x:c r="A32" s="24" t="str">
        <x:v>XW-FMIIP-005</x:v>
      </x:c>
      <x:c r="B32" s="24" t="str">
        <x:v>CROSSWALK_OBJECT</x:v>
      </x:c>
      <x:c r="C32" s="24" t="str">
        <x:v>/reforms/ | /payments/ | /access/</x:v>
      </x:c>
      <x:c r="D32" s="24" t="str">
        <x:v>FMIIP access-point target compared with ATM, POS and agent counts</x:v>
      </x:c>
      <x:c r="E32" s="28" t="str">
        <x:v>مستهدف نقاط الوصول في مشروع FMIIP 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unless the project's access-point definitions and deduplication rules are documented.</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ما لم تُوثَّق تعريفات المشروع لنقاط الوصول وقواعد 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project's access-point definitions and deduplication rules are not documented in the evidence base, no combined or comparable figure is produced.</x:v>
      </x:c>
      <x:c r="O32" s="28" t="str">
        <x:v>يُقارن تعريف مؤشر المشروع بتعريفات الأعداد الإدارية وقواعد عدّها؛ ولأن تعريفات المشروع لنقاط الوصول وقواعد إزالة الازدواج غير موثقة في قاعدة الأدلة، لا يُنتَج أي رقم مجمّع أو قابل للمقارنة.</x:v>
      </x:c>
      <x:c r="P32" s="24" t="str">
        <x:v>No valid way to add these measures together, or to compare them directly, is established. The 1,021 target has meaning only against the 817 baseline under the same project definition; no result against the target is held, so no progress percentage exists.</x:v>
      </x:c>
      <x:c r="Q32" s="28" t="str">
        <x:v>لا توجد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No observed result against the target is held.</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row>
    <x:row r="33">
      <x:c r="A33" s="24" t="str">
        <x:v>QUAL-001</x:v>
      </x:c>
      <x:c r="B33" s="24" t="str">
        <x:v>QUALITATIVE</x:v>
      </x:c>
      <x:c r="C33" s="24" t="str">
        <x:v>/finance/ | /evidence/</x:v>
      </x:c>
      <x:c r="D33" s="24" t="str">
        <x:v>OECD: institutional fragility and weak formal access (qualitative interpretation)</x:v>
      </x:c>
      <x:c r="E33" s="28" t="str">
        <x:v>OECD: الهشاشة المؤسسية وضعف الوصول الرسمي (تفسير نوعي)</x:v>
      </x:c>
      <x:c r="F33" s="24" t="str">
        <x:v>The Organisation for Economic Co-operation and Development (OECD) links fragmented institutions, supervisory gaps and weak formal access to financial-sector fragility and low trust. The evidence is contextual interpretation, not measured prevalence or a causal effect estimate.</x:v>
      </x:c>
      <x:c r="G33" s="28" t="str">
        <x:v>يربط تحليل منظمة التعاون والتنمية في الميدان الاقتصادي (OECD) بين تفتت المؤسسات وفجوات الرقابة وضعف الوصول الرسمي وبين هشاشة القطاع المالي وانخفاض الثقة.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x:v>
      </x:c>
      <x:c r="I33" s="28" t="str">
        <x:v>تفسير نوعي نشرته منظمة التعاون والتنمية في الميدان الاقتصادي (OECD) في 2026 للعلاقة بين تفتت المؤسسات وفجوات الرقابة وضعف الوصول الرسمي من جهة، وهشاشة القطاع المالي وانخفاض الثقة في اليمن من جهة أخرى.</x:v>
      </x:c>
      <x:c r="J33" s="24" t="str">
        <x:v>Published 2026; underlying periods vary</x:v>
      </x:c>
      <x:c r="K33" s="28" t="str">
        <x:v>منشور في 2026؛ وتختلف الفترات الأساسية</x:v>
      </x:c>
      <x:c r="L33" s="24" t="str">
        <x:v>OECD/EU institutional analysis based on consultations, workshops and sector analysis.</x:v>
      </x:c>
      <x:c r="M33" s="28" t="str">
        <x:v>تحليل مؤسسي ضمن مشروع OECD/EU يستند إلى مشاورات وورش وتحليل قطاعي.</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x:v>
      </x:c>
      <x:c r="O33" s="28" t="str">
        <x:v>تركيب نوعي ورد في فصل القطاع المالي (الفصل الثاني) من تقرير «تعزيز المرونة الاقتصادية في اليمن» الصادر عن منظمة التعاون والتنمية في الميدان الاقتصادي (OECD) في 2026، ويستند إلى مشاورات وورش عمل وتحليل قطاعي ضمن مشروع مشترك بين المنظمة والاتحاد الأوروبي.</x:v>
      </x:c>
      <x:c r="P33" s="24" t="str">
        <x:v>Cannot establish prevalence, quantified trust or causal effect size.</x:v>
      </x:c>
      <x:c r="Q33" s="28" t="str">
        <x:v>لا يثبت الانتشار أو مستوى ثقة كميًا أو حجم أثر سببي.</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x:v>
      </x:c>
      <x:c r="Y33" s="24" t="str">
        <x:v>[{"source_id":"SRC-OECD-YEM-RESILIENCE-001","url":"https://doi.org/10.1787/81ed2898-en","audit_state":"SECONDARY_RESEARCH_LOCATOR"}]</x:v>
      </x:c>
      <x:c r="Z33" t="str">
        <x:v>BOUND_EXACT</x:v>
      </x:c>
    </x:row>
    <x:row r="34">
      <x:c r="A34" s="24" t="str">
        <x:v>NEG-EW-011</x:v>
      </x:c>
      <x:c r="B34" s="24" t="str">
        <x:v>NEGATIVE_AUTHORITY_OBJECT</x:v>
      </x:c>
      <x:c r="C34" s="24" t="str">
        <x:v>/providers/ | /payments/</x:v>
      </x:c>
      <x:c r="D34" s="24" t="str">
        <x:v>Wallet service named in a June 2024 CBY-Aden list of unlicensed services</x:v>
      </x:c>
      <x:c r="E34" s="28" t="str">
        <x:v>خدمة محفظة وردت في قائمة البنك المركزي اليمني – عدن للخدمات غير المرخصة (يونيو 2024)</x:v>
      </x:c>
      <x:c r="F34" s="24" t="str">
        <x:v>We Cash electronic payment services is one of 12 names in a 26 June 2024 circular of the Central Bank of Yemen – Aden (CBY-Aden) listing services that CBY-Aden considered unlicensed on that date and with which banks and exchange businesses were told not to deal. Its status under any other authority, and its status after that date, are not established here.</x:v>
      </x:c>
      <x:c r="G34" s="28" t="str">
        <x:v>ترد خدمة وي كاش للدفع الإلكتروني ضمن 12 اسمًا في تعميم للبنك المركزي اليمني – عدن بتاريخ 26 يونيو 2024 يسرد خدمات اعتبرها غير مرخصة في ذلك التاريخ، ويوجّه البنوك وشركات الصرافة إلى عدم التعامل معها. ولا يثبت هذا الدليل وضعها لدى أي سلطة أخرى، ولا وضعها بعد ذلك التاريخ.</x:v>
      </x:c>
      <x:c r="H34" s="24" t="str">
        <x:v>One service named as unlicensed in a circular of the Central Bank of Yemen – Aden (CBY-Aden) dated 26 June 2024.</x:v>
      </x:c>
      <x:c r="I34" s="28" t="str">
        <x:v>خدمة واحدة سمّاها تعميم البنك المركزي اليمني – عدن المؤرخ في 26 يونيو 2024 بوصفها غير مرخصة.</x:v>
      </x:c>
      <x:c r="J34" s="24" t="str">
        <x:v>26 June 2024</x:v>
      </x:c>
      <x:c r="K34" s="28" t="str">
        <x:v>26 يونيو 2024</x:v>
      </x:c>
      <x:c r="L34" s="24" t="str">
        <x:v>Only this one of the 12 names listed in the circular.</x:v>
      </x:c>
      <x:c r="M34" s="28" t="str">
        <x:v>هذا الاسم وحده من بين الأسماء الـ12 الواردة في التعميم.</x:v>
      </x:c>
      <x:c r="N34" s="24" t="str">
        <x:v>Taken from the text of the circular of the Central Bank of Yemen – Aden (CBY-Aden) dated 26 June 2024, which names 12 wallets, entities or services.</x:v>
      </x:c>
      <x:c r="O34" s="28" t="str">
        <x:v>مأخوذ من نص تعميم البنك المركزي اليمني – عدن المؤرخ في 26 يونيو 2024، الذي يسمّي 12 محفظة أو جهة أو خدمة.</x:v>
      </x:c>
      <x:c r="P34" s="24" t="str">
        <x:v>The unlicensed status applies to 26 June 2024 and is not a 2026 status; later status, including any licensing, is not tracked here. A list of unlicensed names does not identify which services are licensed, and the circular does not establish the service's status under any other authority.</x:v>
      </x:c>
      <x:c r="Q34" s="28" t="str">
        <x:v>يخص وصف عدم الترخيص تاريخ 26 يونيو 2024، ولا يمثل وضعًا لعام 2026؛ ولا يتتبع هذا السجل الوضع اللاحق، بما في ذلك أي ترخيص. ولا تحدد قائمة الأسماء غير المرخصة الخدمات المرخصة، ولا يثبت التعميم وضع الخدمة لدى أي سلطة أخرى.</x:v>
      </x:c>
      <x:c r="R34" s="24" t="str">
        <x:v>The circular is dated 26 June 2024. It does not describe the service's status after that date.</x:v>
      </x:c>
      <x:c r="S34" s="28" t="str">
        <x:v>التعميم مؤرخ في 26 يونيو 2024، ولا يصف وضع الخدمة بعد ذلك التاريخ.</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SRC-CBY-UNLICENSED-EWALLET-2024-001</x:v>
      </x:c>
      <x:c r="Y34" s="24" t="str">
        <x:v>[{"source_id":"SRC-CBY-UNLICENSED-EWALLET-2024-001","url":"https://cby-ye.com/files/667c32dabd223.pdf","audit_state":"PASS_AUTHORITY_OR_PROVIDER_LOCATOR"}]</x:v>
      </x:c>
      <x:c r="Z34" t="str">
        <x:v>BOUND_EXACT</x:v>
      </x:c>
      <x:c r="AB34" t="str">
        <x:v>SRC-CBY-UNLICENSED-EWALLET-2024-001=status event</x:v>
      </x:c>
    </x:row>
    <x:row r="35">
      <x:c r="A35" s="24" t="str">
        <x:v>MFI-SPINE-2015-Q4</x:v>
      </x:c>
      <x:c r="B35" s="24" t="str">
        <x:v>TEMPORAL_OBSERVATION</x:v>
      </x:c>
      <x:c r="C35" s="24" t="str">
        <x:v>/finance/</x:v>
      </x:c>
      <x:c r="D35" s="24" t="str">
        <x:v>2015 Q4 microfinance observation with a portfolio contradiction</x:v>
      </x:c>
      <x:c r="E35" s="28" t="str">
        <x:v>مشاهدة التمويل الأصغر للربع الرابع 2015 مع تعارض في قيمة المحفظة</x:v>
      </x:c>
      <x:c r="F35" s="24" t="str">
        <x:v>For microfinance programmes supported by the Social Fund for Development (SFD), the SFD source dated 31 December 2015 supports 93,118 active borrowers and 509,590 savers. Its portfolio value is contradictory within the source: the table reports YER 6.741 billion and the narrative text a value near YER 9 billion.</x:v>
      </x:c>
      <x:c r="G35" s="28" t="str">
        <x:v>لدى برامج التمويل الأصغر المدعومة من الصندوق الاجتماعي للتنمية، يدعم مصدر الصندوق المؤرخ في 31 ديسمبر 2015 عدد 93,118 مقترضًا نشطًا و509,590 مدخرًا. أما قيمة المحفظة فمتعارضة داخل المصدر: يورد الجدول 6.741 مليار ريال، ويشير النص السردي إلى قيمة تقارب 9 مليارات ريال.</x:v>
      </x:c>
      <x:c r="H35" s="24" t="str">
        <x:v>Active borrowers, savers and outstanding loan portfolio (nominal Yemeni rials) reported for SFD-supported microfinance programmes at 31 December 2015.</x:v>
      </x:c>
      <x:c r="I35"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5" s="24" t="str">
        <x:v>31 December 2015</x:v>
      </x:c>
      <x:c r="K35" s="28" t="str">
        <x:v>31 ديسمبر 2015</x:v>
      </x:c>
      <x:c r="L35" s="24" t="str">
        <x:v>SFD-supported reporting programmes.</x:v>
      </x:c>
      <x:c r="M35" s="28" t="str">
        <x:v>برامج التمويل الأصغر المدعومة من الصندوق الاجتماعي للتنمية ضمن نطاق الإبلاغ.</x:v>
      </x:c>
      <x:c r="N35" s="24" t="str">
        <x:v>Figures taken from the end-2015 publication of the Social Fund for Development (SFD), which contains a provider table and narrative text; where the two disagree, on the portfolio, both values are recorded and neither is adopted.</x:v>
      </x:c>
      <x:c r="O35" s="28" t="str">
        <x:v>أرقام مأخوذة من إصدار الصندوق الاجتماعي للتنمية لنهاية 2015، الذي يتضمن جدولًا لمقدمي الخدمة ونصًا سرديًا؛ وحيث يختلفان، أي في قيمة المحفظة، تُسجَّل القيمتان ولا تُعتمد أي منهما.</x:v>
      </x:c>
      <x:c r="P35" s="24" t="str">
        <x:v>It does not establish the 2015 Q4 portfolio value: the source's table (YER 6.741 billion) and its narrative (near YER 9 billion) disagree, so neither value is adopted and the series is not smoothed.</x:v>
      </x:c>
      <x:c r="Q35" s="28" t="str">
        <x:v>لا يثبت هذا الدليل قيمة المحفظة في الربع الرابع من 2015: فجدول المصدر (6.741 مليار ريال) وسرده (نحو 9 مليارات ريال) متعارضان، ولذلك لا تُعتمد أي من القيمتين ولا تُنعَّم السلسلة.</x:v>
      </x:c>
      <x:c r="R35" s="24" t="str">
        <x:v>The observation in this record is dated 31 December 2015. It should not be read as describing a later period.</x:v>
      </x:c>
      <x:c r="S35" s="28" t="str">
        <x:v>تعود المشاهدة في هذا السجل إلى 31 ديسمبر 2015، ولا تُقرأ على أنها تصف فترة لاحقة.</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SRC-SFD-Q4-2015-001</x:v>
      </x:c>
      <x:c r="Y35" s="24" t="str">
        <x:v>[{"source_id":"SRC-SFD-Q4-2015-001","url":"https://www.sfd-yemen.org/uploads/issues/72E%282%29-20170212-184036.pdf","audit_state":"PASS_AUTHORITY_OR_PROVIDER_LOCATOR"}]</x:v>
      </x:c>
      <x:c r="Z35" t="str">
        <x:v>BOUND_EXACT</x:v>
      </x:c>
    </x:row>
    <x:row r="36">
      <x:c r="A36" s="24" t="str">
        <x:v>MF-ORIG-001+002</x:v>
      </x:c>
      <x:c r="B36" s="24" t="str">
        <x:v>PAIRED_CHRONOLOGY</x:v>
      </x:c>
      <x:c r="C36" s="24" t="str">
        <x:v>/finance/</x:v>
      </x:c>
      <x:c r="D36" s="24" t="str">
        <x:v>1997 institutional origin and 1998 operational programme start</x:v>
      </x:c>
      <x:c r="E36" s="28" t="str">
        <x:v>الأصل المؤسسي في 1997 وبداية البرنامج التشغيلي في 1998</x:v>
      </x:c>
      <x:c r="F36" s="24" t="str">
        <x:v>History hosted by the Social Fund for Development (SFD) supports two distinct layers: 1997 as institutional/microfinance origin and 1998 as active programme involvement. The two dates answer different historical questions.</x:v>
      </x:c>
      <x:c r="G36" s="28" t="str">
        <x:v>تدعم المصادر المستضافة لدى الصندوق الاجتماعي للتنمية مستويين تاريخيين مختلفين: 1997 كطبقة للأصل المؤسسي/بداية التمويل الأصغر، و1998 كبداية للمشاركة التشغيلية للبرنامج. ويجيب التاريخان عن سؤالين مختلفين.</x:v>
      </x:c>
      <x:c r="H36"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6"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6" s="24" t="str">
        <x:v>1997 / 1998</x:v>
      </x:c>
      <x:c r="K36" s="28" t="str">
        <x:v>1997 / 1998</x:v>
      </x:c>
      <x:c r="L36" s="24" t="str">
        <x:v>SFD institutional and programme history.</x:v>
      </x:c>
      <x:c r="M36" s="28" t="str">
        <x:v>التاريخ المؤسسي والبرنامجي للصندوق الاجتماعي للتنمية.</x:v>
      </x:c>
      <x:c r="N36" s="24" t="str">
        <x:v>Dates taken from SFD's own historical material, a 2012 document hosted by SFD and a 2004 SFD newsletter, and ordered by date; each date is kept at the layer its source describes, and the two are not forced into agreement.</x:v>
      </x:c>
      <x:c r="O36"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6" s="24" t="str">
        <x:v>It does not establish one start date for Yemeni microfinance as a whole.</x:v>
      </x:c>
      <x:c r="Q36" s="28" t="str">
        <x:v>لا يثبت هذا الدليل تاريخًا واحدًا لنشأة التمويل الأصغر في اليمن ككل.</x:v>
      </x:c>
      <x:c r="R36" s="24" t="str">
        <x:v>This record describes historical milestones in 1997 and 1998. It holds no later observation and does not describe the sector today.</x:v>
      </x:c>
      <x:c r="S36" s="28" t="str">
        <x:v>يصف هذا السجل محطتين تاريخيتين في عامي 1997 و1998، ولا يتضمن مشاهدة لاحقة، ولا يصف وضع القطاع اليوم.</x:v>
      </x:c>
      <x:c r="T36" s="24" t="str">
        <x:v>This record is updated when an authoritative source is revised or replaced, a newer comparable observation becomes available, the definition, population or method changes, or the conditions for public use change.</x:v>
      </x:c>
      <x:c r="U3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SRC-SFD-MF-HISTORY-TOR-2012-001; SRC-SFD-HIST-2004-Q3-001</x:v>
      </x:c>
      <x:c r="Y36" s="24" t="str">
        <x:v>[{"source_id":"SRC-SFD-MF-HISTORY-TOR-2012-001","url":"https://www.sfd-yemen.org/uploads/issues/Microfinance%20Islamic%20Products%20Study%28TOR%29-20130109-132034.pdf","audit_state":"PASS_AUTHORITY_OR_PROVIDER_LOCATOR"},{"source_id":"SRC-SFD-HIST-2004-Q3-001","url":"https://www.sfd-yemen.org/uploads/issues/Newsletter-2004-Q3-20120331-111302.pdf","audit_state":"PASS_AUTHORITY_OR_PROVIDER_LOCATOR"}]</x:v>
      </x:c>
      <x:c r="Z36" t="str">
        <x:v>BOUND_EXACT</x:v>
      </x:c>
    </x:row>
    <x:row r="37">
      <x:c r="A37" s="24" t="str">
        <x:v>CLM-013</x:v>
      </x:c>
      <x:c r="B37" s="24" t="str">
        <x:v>CLAIM</x:v>
      </x:c>
      <x:c r="C37" s="24" t="str">
        <x:v>/people/ | /reforms/</x:v>
      </x:c>
      <x:c r="D37" s="24" t="str">
        <x:v>Financial-literacy activity does not establish capability outcomes</x:v>
      </x:c>
      <x:c r="E37" s="28" t="str">
        <x:v>النشاط التوعوي لا يثبت أثرًا على القدرات</x:v>
      </x:c>
      <x:c r="F37"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7"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فعالية البرنامج.</x:v>
      </x:c>
      <x:c r="H37" s="24" t="str">
        <x:v>Two separate measures: the OECD/INFE 2023 financial-literacy and financial well-being scores (out of 100) for the Yemen sample, and records of Global Money Week financial-literacy activities from March 2023 to March 2025.</x:v>
      </x:c>
      <x:c r="I37"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7" s="24" t="str">
        <x:v>OECD/INFE 2023 survey; CBY-Aden programme activity, March 2023 to March 2025</x:v>
      </x:c>
      <x:c r="K37" s="28" t="str">
        <x:v>مسح OECD/INFE لعام 2023؛ وأنشطة البنك المركزي اليمني – عدن من مارس 2023 إلى مارس 2025</x:v>
      </x:c>
      <x:c r="L37" s="24" t="str">
        <x:v>Two separate evidence universes: the Yemen sample in the OECD/INFE 2023 adult financial-literacy survey, and source-stated Global Money Week audiences and participating bodies; not one combined population.</x:v>
      </x:c>
      <x:c r="M37"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7"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7"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7"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7" s="28" t="str">
        <x:v>لا تمثل نتيجتا مسح OECD/INFE، أي 15 من 100 في الرفاه المالي و42 من 100 في الثقافة المالية، نتاجًا لأنشطة الأسبوع العالمي للمال. ولا تثبت هذه الأدلة فعالية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7" s="24" t="str">
        <x:v>The capability scores are from the OECD/INFE 2023 survey; the programme-activity record currently extends through March 2025. Neither is a 2026 capability outcome.</x:v>
      </x:c>
      <x:c r="S37" s="28" t="str">
        <x:v>تعود نتائج القدرات إلى مسح OECD/INFE لعام 2023، وتمتد سجلات نشاط البرنامج المتاحة حاليًا حتى مارس 2025. ولا يمثل أي منهما نتيجة لقدرات السكان في 2026.</x:v>
      </x:c>
      <x:c r="T37" s="24" t="str">
        <x:v>This record is updated when a newer comparable population measure of financial capability, a programme evaluation or a correction to the source evidence is published.</x:v>
      </x:c>
      <x:c r="U37" s="28" t="str">
        <x:v>يُحدَّث هذا السجل عند توفر قياس سكاني أحدث قابل للمقارنة للقدرات، أو تقييم للبرنامج، أو تصحيح في أدلة المصدر.</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SRC-CBY-GMW-2023-001; SRC-CBY-GMW-2024-001; SRC-CBY-GMW-2025-001; SRC-OECD-INFE-2023</x:v>
      </x:c>
      <x:c r="Y37"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7" t="str">
        <x:v>BOUND_EXACT</x:v>
      </x:c>
    </x:row>
    <x:row r="38">
      <x:c r="A38" s="24" t="str">
        <x:v>CLM-023</x:v>
      </x:c>
      <x:c r="B38" s="24" t="str">
        <x:v>CLAIM</x:v>
      </x:c>
      <x:c r="C38" s="24" t="str">
        <x:v>/methodology/ | /people/</x:v>
      </x:c>
      <x:c r="D38" s="24" t="str">
        <x:v>What the Yemen Findex 2021 study contains</x:v>
      </x:c>
      <x:c r="E38" s="28" t="str">
        <x:v>ما تتضمنه دراسة Findex 2021 الخاصة باليمن</x:v>
      </x:c>
      <x:c r="F38" s="24" t="str">
        <x:v>The verified Yemen Global Findex 2021 study has 1,000 respondents and 113 variables; Yemen fieldwork ran from 7 November 2022 to 9 January 2023 and all population estimates require survey weights.</x:v>
      </x:c>
      <x:c r="G38" s="28" t="str">
        <x:v>تضم دراسة اليمن المعتمدة في قاعدة الأدلة لموجة المؤشر العالمي للشمول المالي 2021 عدد 1,000 مستجيب و113 متغيرًا. ونُفذ العمل الميداني من 7 نوفمبر 2022 إلى 9 يناير 2023، وتتطلب جميع تقديرات السكان استخدام أوزان المسح.</x:v>
      </x:c>
      <x:c r="H38" s="24" t="str">
        <x:v>This record describes the Yemen Findex 2021 study file (1,000 respondents, 113 variables, survey weights, documented coverage and fieldwork from 7 November 2022 to 9 January 2023); it reports no population value.</x:v>
      </x:c>
      <x:c r="I38"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8" s="24" t="str">
        <x:v>Global Findex 2021 wave; Yemen fieldwork 7 November 2022 to 9 January 2023.</x:v>
      </x:c>
      <x:c r="K38" s="28" t="str">
        <x:v>موجة Global Findex 2021؛ ونُفذ العمل الميداني في اليمن من 7 نوفمبر 2022 إلى 9 يناير 2023.</x:v>
      </x:c>
      <x:c r="L38" s="24" t="str">
        <x:v>The Yemen Findex study file contains 1,000 respondents and 113 variables; population inference applies only through the survey design, weights and documented coverage.</x:v>
      </x:c>
      <x:c r="M38" s="28" t="str">
        <x:v>يضم ملف دراسة Findex لليمن 1,000 مستجيب و113 متغيرًا؛ ولا تُستنتج نتائج سكانية إلا باستخدام تصميم المسح وأوزانه وتغطيته الموثقة.</x:v>
      </x:c>
      <x:c r="N38" s="24" t="str">
        <x:v>Taken from the World Bank study metadata for the Yemen Findex 2021 file, including its variable documentation. Population estimates are produced only with the survey weights; raw case percentages are not population estimates.</x:v>
      </x:c>
      <x:c r="O38"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8" s="24" t="str">
        <x:v>Raw case percentages in the study documentation are not population estimates.</x:v>
      </x:c>
      <x:c r="Q38" s="28" t="str">
        <x:v>نسب الحالات الخام الواردة في توثيق الدراسة ليست تقديرات سكانية.</x:v>
      </x:c>
      <x:c r="R38" s="24" t="str">
        <x:v>This description applies to the Findex 2021 study of Yemen, with fieldwork from 7 November 2022 to 9 January 2023. It changes only if the World Bank revises the study documentation or file, or a newer Yemen wave is published.</x:v>
      </x:c>
      <x:c r="S38"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[{"source_id":"SRC-WB-FINDEX-001","url":"https://microdata.worldbank.org/catalog/5862","audit_state":"PASS_AUTHORITY_OR_PROVIDER_LOCATOR"}]</x:v>
      </x:c>
      <x:c r="Z38" t="str">
        <x:v>BOUND_EXACT</x:v>
      </x:c>
    </x:row>
    <x:row r="39">
      <x:c r="A39" s="24" t="str">
        <x:v>CLM-024</x:v>
      </x:c>
      <x:c r="B39" s="24" t="str">
        <x:v>CLAIM</x:v>
      </x:c>
      <x:c r="C39" s="24" t="str">
        <x:v>/methodology/ | /evidence/</x:v>
      </x:c>
      <x:c r="D39" s="24" t="str">
        <x:v>Raw case shares are not population estimates</x:v>
      </x:c>
      <x:c r="E39" s="28" t="str">
        <x:v>نسب الحالات الخام ليست تقديرات للسكان</x:v>
      </x:c>
      <x:c r="F39" s="24" t="str">
        <x:v>World Bank variable pages expose raw sample case counts and percentages for the Yemen Findex file, but explicitly warn that those figures cannot be interpreted as summary statistics of the population of interest.</x:v>
      </x:c>
      <x:c r="G39" s="28" t="str">
        <x:v>تعرض صفحات متغيرات البنك الدولي أعداد الحالات الخام ونسبها في ملف اليمن، لكنها تنبه صراحة إلى أن هذه القيم لا يجوز تفسيرها بوصفها إحصاءات موجزة للسكان محل الاهتمام.</x:v>
      </x:c>
      <x:c r="H39" s="24" t="str">
        <x:v>This record sets out a measurement rule for the Yemen Findex 2021 file: the unweighted counts and percentages of respondents shown on World Bank variable pages describe the sample, not the adult population; it reports no value.</x:v>
      </x:c>
      <x:c r="I39"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9" s="24" t="str">
        <x:v>Global Findex 2021 Yemen microdata/DDI variable pages; Yemen fieldwork 2022–2023.</x:v>
      </x:c>
      <x:c r="K39" s="28" t="str">
        <x:v>صفحات المتغيرات وبيانات DDI لملف Findex 2021 الخاص باليمن؛ والعمل الميداني في 2022–2023.</x:v>
      </x:c>
      <x:c r="L39" s="24" t="str">
        <x:v>Raw respondent cases displayed on World Bank variable pages; these are unweighted sample cases, not the population of Yemen.</x:v>
      </x:c>
      <x:c r="M39" s="28" t="str">
        <x:v>الحالات الخام للمستجيبين كما تظهر في صفحات المتغيرات لدى البنك الدولي؛ وهي حالات عينة غير موزونة وليست سكان اليمن.</x:v>
      </x:c>
      <x:c r="N39"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9"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9" s="24" t="str">
        <x:v>The raw, unweighted case percentages shown on the World Bank variable pages are not estimates for Yemen's adult population and are not reported in this resource.</x:v>
      </x:c>
      <x:c r="Q39" s="28" t="str">
        <x:v>نسب الحالات الخام غير الموزونة الظاهرة في صفحات المتغيرات لدى البنك الدولي ليست تقديرات لسكان اليمن البالغين، ولا تُعرض في هذا المورد.</x:v>
      </x:c>
      <x:c r="R39" s="24" t="str">
        <x:v>This rule applies to the World Bank variable pages for the Yemen Findex 2021 file as currently published, and holds until a revised file version or weighted population estimates are published.</x:v>
      </x:c>
      <x:c r="S39"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x:v>
      </x:c>
      <x:c r="Z39" t="str">
        <x:v>BOUND_EXACT</x:v>
      </x:c>
    </x:row>
    <x:row r="40">
      <x:c r="A40" s="24" t="str">
        <x:v>CLM-025</x:v>
      </x:c>
      <x:c r="B40" s="24" t="str">
        <x:v>CLAIM</x:v>
      </x:c>
      <x:c r="C40" s="24" t="str">
        <x:v>/people/ | /methodology/</x:v>
      </x:c>
      <x:c r="D40" s="24" t="str">
        <x:v>Geographic coverage limits of the latest Findex wave</x:v>
      </x:c>
      <x:c r="E40" s="28" t="str">
        <x:v>حدود التغطية الجغرافية لموجة Findex</x:v>
      </x:c>
      <x:c r="F40"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40"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40" s="24" t="str">
        <x:v>A documented limitation on the geographic coverage of the latest Yemen Findex observation.</x:v>
      </x:c>
      <x:c r="I40" s="28" t="str">
        <x:v>قيد موثق على التغطية الجغرافية لأحدث مشاهدة متاحة لليمن في Findex.</x:v>
      </x:c>
      <x:c r="J40" s="24" t="str">
        <x:v>2021 Findex wave; Yemen fieldwork 2022-11-07 to 2023-01-09</x:v>
      </x:c>
      <x:c r="K40" s="28" t="str">
        <x:v>موجة Findex 2021؛ العمل الميداني في اليمن من 2022-11-07 إلى 2023-01-09</x:v>
      </x:c>
      <x:c r="L40" s="24" t="str">
        <x:v>The population of Yemen and the survey frame of the Findex 2021 study</x:v>
      </x:c>
      <x:c r="M40" s="28" t="str">
        <x:v>سكان اليمن وإطار المعاينة في دراسة Findex 2021</x:v>
      </x:c>
      <x:c r="N40" s="24" t="str">
        <x:v>World Bank study metadata for the Yemen Findex 2021 file</x:v>
      </x:c>
      <x:c r="O40" s="28" t="str">
        <x:v>البيانات الوصفية للدراسة لدى البنك الدولي لملف Findex 2021 الخاص باليمن</x:v>
      </x:c>
      <x:c r="P40" s="24" t="str">
        <x:v>The wave does not cover all of Yemen, and its results cannot be used to map financial inclusion by governorate. | The survey frame excludes areas holding about 23% of the population, and more than a quarter of primary sampling units were replaced.</x:v>
      </x:c>
      <x:c r="Q40"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40" s="24" t="str">
        <x:v>These coverage limits apply to the 2021 Findex wave, with Yemen fieldwork from 7 November 2022 to 9 January 2023, the latest wave available for Yemen. They describe that survey only, not any later one.</x:v>
      </x:c>
      <x:c r="S40"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x:v>
      </x:c>
      <x:c r="Y40" s="24" t="str">
        <x:v>[{"source_id":"SRC-WB-FINDEX-001","url":"https://microdata.worldbank.org/catalog/5862","audit_state":"PASS_AUTHORITY_OR_PROVIDER_LOCATOR"}]</x:v>
      </x:c>
      <x:c r="Z40" t="str">
        <x:v>BOUND_EXACT</x:v>
      </x:c>
    </x:row>
    <x:row r="41">
      <x:c r="A41" s="24" t="str">
        <x:v>CLM-026</x:v>
      </x:c>
      <x:c r="B41" s="24" t="str">
        <x:v>CLAIM</x:v>
      </x:c>
      <x:c r="C41" s="24" t="str">
        <x:v>/people/ | /methodology/</x:v>
      </x:c>
      <x:c r="D41" s="24" t="str">
        <x:v>Demand-side measures defined; custom estimates not yet published</x:v>
      </x:c>
      <x:c r="E41" s="28" t="str">
        <x:v>مقاييس جانب الطلب محددة، والتقديرات المخصصة لم تُنشر بعد</x:v>
      </x:c>
      <x:c r="F41" s="24" t="str">
        <x:v>A 32-metric demand-side panel has been specified across access, barriers, digital use, saving, borrowing, resilience, remittances, income flows, financial worry and connectivity. Custom weighted estimates are not published yet because they require authorized respondent-level data, correct survey weights and successful reproduction of the official benchmark values.</x:v>
      </x:c>
      <x:c r="G41" s="28" t="str">
        <x:v>تم تحديد مجموعة من 32 مقياسًا على جانب الطلب تغطي الوصول والعوائق والاستخدام الرقمي والادخار والاقتراض والقدرة على الصمود والحوالات وتدفقات الدخل والقلق المالي والاتصال. ولم تُنشر التقديرات الموزونة المخصصة بعد، لأنها تتطلب بيانات على مستوى المستجيبين مصرحًا باستخدامها، وأوزان المسح الصحيحة، وإعادة إنتاج القيم المرجعية الرسمية بنجاح.</x:v>
      </x:c>
      <x:c r="H41" s="24" t="str">
        <x:v>This record describes a set of 32 defined people-side measures for the Yemen Findex 2021 study whose weighted estimates have not yet been produced; it reports no value.</x:v>
      </x:c>
      <x:c r="I41" s="28" t="str">
        <x:v>يصف هذا السجل مجموعة من 32 مقياسًا محددًا على جانب الأفراد لدراسة Findex 2021 الخاصة باليمن، لم تُنتج بعد تقديراتها الموزونة، ولا يعرض أي قيمة.</x:v>
      </x:c>
      <x:c r="J41" s="24" t="str">
        <x:v>Current demand-side specification for the Yemen Findex 2021 study; custom weighted estimates are not yet public.</x:v>
      </x:c>
      <x:c r="K41" s="28" t="str">
        <x:v>المواصفة الحالية لمقاييس جانب الطلب في دراسة اليمن ضمن Findex 2021؛ ولم تُنشر بعد التقديرات الموزونة المخصصة.</x:v>
      </x:c>
      <x:c r="L41" s="24" t="str">
        <x:v>A pre-specified 32-metric panel to be estimated from authorized respondent-level data using the survey weights; metric definitions exist, while the custom estimates still require computation and validation.</x:v>
      </x:c>
      <x:c r="M41"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1" s="24" t="str">
        <x:v>The variables, definitions and derivations were specified in advance. Numeric estimates are published only after authorized respondent-level data are available, the correct survey weights are applied and the official benchmark values are reproduced.</x:v>
      </x:c>
      <x:c r="O41" s="28" t="str">
        <x:v>تُحدد المتغيرات والتعريفات وطريقة الاحتساب مسبقًا. ولا تُنشر التقديرات الرقمية إلا بعد توفر بيانات المستجيبين المصرح باستخدامها، وتطبيق أوزان المسح الصحيحة، وإعادة إنتاج القيم المرجعية الرسمية.</x:v>
      </x:c>
      <x:c r="P41" s="24" t="str">
        <x:v>The 32 specified measures are planned, not measured: none is yet a published indicator, because the weighted estimates have not been reproduced and checked against official benchmarks.</x:v>
      </x:c>
      <x:c r="Q41" s="28" t="str">
        <x:v>المقاييس المحددة، وعددها 32 مقياسًا، مخططة وليست مقاسة: فلا يمثل أي منها مؤشرًا منشورًا بعد، لأن تقديراتها الموزونة لم يُعَد إنتاجها ولم يُتحقق منها مقابل القيم المرجعية الرسمية.</x:v>
      </x:c>
      <x:c r="R41" s="24" t="str">
        <x:v>The panel specification applies to the Yemen Findex 2021 study. Numeric estimates remain unpublished until the weighted calculations are reproduced and validated; a newer wave would require an updated panel.</x:v>
      </x:c>
      <x:c r="S41" s="28" t="str">
        <x:v>تنطبق مواصفة هذه المجموعة على دراسة اليمن ضمن Findex 2021. وتبقى التقديرات الرقمية غير منشورة حتى تُعاد الحسابات الموزونة ويُتحقق منها؛ وتحتاج أي موجة أحدث إلى تحديث مجموعة المقاييس.</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 SRC-WB-FINDEX-AGG-2022</x:v>
      </x:c>
      <x:c r="Y41" s="24" t="str">
        <x:v>[]</x:v>
      </x:c>
      <x:c r="Z41" t="str">
        <x:v>BOUND_EXACT</x:v>
      </x:c>
    </x:row>
    <x:row r="42">
      <x:c r="A42" s="24" t="str">
        <x:v>VIS-FINDEX-SAMPLE-SUPPORT</x:v>
      </x:c>
      <x:c r="B42" s="24" t="str">
        <x:v>VISUAL</x:v>
      </x:c>
      <x:c r="C42" s="24" t="str">
        <x:v>/methodology/ | /evidence/</x:v>
      </x:c>
      <x:c r="D42" s="24" t="str">
        <x:v>How many respondents answered each Findex question</x:v>
      </x:c>
      <x:c r="E42" s="28" t="str">
        <x:v>عدد المستجيبين عن كل سؤال في مسح Findex</x:v>
      </x:c>
      <x:c r="F42"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2"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2" s="24" t="str">
        <x:v>Counts of respondents in the Yemen Findex 2021 sample who gave valid, missing or invalid answers to each question, and the sub-group each question applies to; these describe the sample, not the adult population.</x:v>
      </x:c>
      <x:c r="I42"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2" s="24" t="str">
        <x:v>2021 Findex wave; Yemen fieldwork November 2022 to January 2023</x:v>
      </x:c>
      <x:c r="K42" s="28" t="str">
        <x:v>موجة Findex 2021؛ العمل الميداني في اليمن من نوفمبر 2022 إلى يناير 2023</x:v>
      </x:c>
      <x:c r="L42" s="24" t="str">
        <x:v>Valid, missing or invalid responses and the conditional sub-populations in the Findex data examined; sample-support information, not population estimates.</x:v>
      </x:c>
      <x:c r="M42" s="28" t="str">
        <x:v>حالات الاستجابة الصالحة والمفقودة/غير الصالحة والمجتمع الشرطي في بيانات Findex محل الفحص؛ وهي بيانات دعم للعينة وليست تقديرات سكانية.</x:v>
      </x:c>
      <x:c r="N42" s="24" t="str">
        <x:v>Counts come from the World Bank study metadata for the Yemen Findex 2021 file (1,000 respondents), which records valid and missing or invalid cases for each variable and the sub-group asked each question.</x:v>
      </x:c>
      <x:c r="O42"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2" s="24" t="str">
        <x:v>Raw case percentages are not population prevalence rates, and indicators are not ranked by them.</x:v>
      </x:c>
      <x:c r="Q42" s="28" t="str">
        <x:v>نسب الحالات الخام ليست معدلات انتشار بين السكان، ولا تُرتَّب المؤشرات بحسبها.</x:v>
      </x:c>
      <x:c r="R42" s="24" t="str">
        <x:v>No values are shown yet. When they are produced, they will refer to the 2021 Findex wave, with Yemen fieldwork from November 2022 to January 2023, the latest wave available for Yemen.</x:v>
      </x:c>
      <x:c r="S42" s="28" t="str">
        <x:v>لا تُعرض أي قيم بعد. وعند إنتاجها ستعود إلى موجة Findex 2021، التي نُفذ عملها الميداني في اليمن من نوفمبر 2022 إلى يناير 2023، وهي أحدث موجة متاحة لليمن.</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x:v>
      </x:c>
      <x:c r="Y42" s="24" t="str">
        <x:v>[]</x:v>
      </x:c>
      <x:c r="Z42" t="str">
        <x:v>BOUND_EXACT</x:v>
      </x:c>
      <x:c r="AA42" t="str">
        <x:v>NO_GOVERNED_CONTRACT__TABLE_ONLY</x:v>
      </x:c>
    </x:row>
    <x:row r="43">
      <x:c r="A43" s="24" t="str">
        <x:v>VIS-FINDEX-ACCESS-USE</x:v>
      </x:c>
      <x:c r="B43" s="24" t="str">
        <x:v>VISUAL</x:v>
      </x:c>
      <x:c r="C43" s="24" t="str">
        <x:v>/people/</x:v>
      </x:c>
      <x:c r="D43" s="24" t="str">
        <x:v>Access is not use — and use is not digital use</x:v>
      </x:c>
      <x:c r="E43" s="28" t="str">
        <x:v>الوصول والاستخدام في المؤشر العالمي للشمول المالي</x:v>
      </x:c>
      <x:c r="F43" s="24" t="str">
        <x:v>In the 2021 Global Findex wave for Yemen (fieldwork November 2022 – January 2023), 11.9% of adults aged 15 and over in the areas the survey covered had an account. Weighted estimates of how many adults used an account, or used one digitally, have not yet been produced for this wave, so ownership is the only level available; owning an account does not show that it is used.</x:v>
      </x:c>
      <x:c r="G43" s="28" t="str">
        <x:v>في موجة 2021 من المؤشر العالمي للشمول المالي (Global Findex) الخاصة باليمن (العمل الميداني من نوفمبر 2022 إلى يناير 2023)، بلغت نسبة البالغين بعمر 15 سنة فأكثر في المناطق التي شملها المسح ممن يملكون حسابًا 11.9%. ولم تُنتج بعد لهذه الموجة تقديرات موزونة لنسبة من استخدموا حسابًا أو استخدموه رقميًا، لذلك يبقى امتلاك الحساب المستوى الوحيد المتاح؛ وامتلاك الحساب لا يدل على استخدامه.</x:v>
      </x:c>
      <x:c r="H43" s="24" t="str">
        <x:v>Three separate Findex measures for adults aged 15 and over in the areas the survey covered in the 2021 wave: account ownership, account use and digital use, each with its own population base; only account ownership has a published value.</x:v>
      </x:c>
      <x:c r="I43"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3" s="24" t="str">
        <x:v>2021 wave / Yemen fieldwork 2022-11 to 2023-01</x:v>
      </x:c>
      <x:c r="K43" s="28" t="str">
        <x:v>موجة 2021 / العمل الميداني في اليمن من 2022-11 إلى 2023-01</x:v>
      </x:c>
      <x:c r="L43" s="24" t="str">
        <x:v>Findex account-ownership, account-use and digital-use indicators, each rung with its own population and measurement base.</x:v>
      </x:c>
      <x:c r="M43" s="28" t="str">
        <x:v>مؤشرات امتلاك الحساب واستخدامه والاستخدام الرقمي في Findex، مع مجتمع وقاعدة قياس منفصلين لكل درجة من درجات العرض.</x:v>
      </x:c>
      <x:c r="N43" s="24" t="str">
        <x:v>Account ownership is the weighted estimate published by the World Bank for the 2021 wave (data year 2022). Account-use and digital-use estimates require weighted calculation from the respondent-level data, which has not yet been completed.</x:v>
      </x:c>
      <x:c r="O43"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بعد.</x:v>
      </x:c>
      <x:c r="P43"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3"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3" s="24" t="str">
        <x:v>The ownership value refers to the 2021 Findex wave, reported by the World Bank for 2022, with Yemen fieldwork from November 2022 to January 2023; the Global Findex 2025 edition adds no newer Yemen observation. Account-use and digital-use values have not yet been produced.</x:v>
      </x:c>
      <x:c r="S43" s="28" t="str">
        <x:v>تعود قيمة امتلاك الحساب إلى موجة Findex 2021، التي نشر البنك الدولي قيمتها لسنة 2022، ونُفذ عملها الميداني في اليمن من نوفمبر 2022 إلى يناير 2023، ولا تضيف نسخة Global Findex 2025 مشاهدة أحدث لليمن. أما قيم استخدام الحساب والاستخدام الرقمي فلم تُنتج بعد.</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row>
    <x:row r="44">
      <x:c r="A44" s="24" t="str">
        <x:v>VIS-FINDEX-BARRIERS</x:v>
      </x:c>
      <x:c r="B44" s="24" t="str">
        <x:v>VISUAL</x:v>
      </x:c>
      <x:c r="C44" s="24" t="str">
        <x:v>/people/</x:v>
      </x:c>
      <x:c r="D44" s="24" t="str">
        <x:v>Reasons adults give for not having an account</x:v>
      </x:c>
      <x:c r="E44" s="28" t="str">
        <x:v>الأسباب التي يذكرها البالغون لعدم امتلاك حساب</x:v>
      </x:c>
      <x:c r="F44"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4"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4" s="24" t="str">
        <x:v>The reasons that adults aged 15 and over without an account, in the areas the survey covered, give for not having one, as asked in the Yemen Findex 2021 survey; no weighted values have yet been produced.</x:v>
      </x:c>
      <x:c r="I44"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Adults without an account, within the measurement base of the Findex barrier indicators.</x:v>
      </x:c>
      <x:c r="M44" s="28" t="str">
        <x:v>البالغون الذين لا يملكون حسابًا ضمن قاعدة القياس الخاصة بمؤشرات العوائق في Findex.</x:v>
      </x:c>
      <x:c r="N44" s="24" t="str">
        <x:v>The estimates require weighted calculation from the respondent-level Findex 2021 data, with adults who do not have an account as the base; that calculation has not yet been completed.</x:v>
      </x:c>
      <x:c r="O44" s="28" t="str">
        <x:v>تتطلب التقديرات احتسابًا موزونًا من بيانات المستجيبين في مسح Findex 2021، على أساس البالغين الذين لا يملكون حسابًا؛ ولم يُستكمل هذا الاحتساب بعد.</x:v>
      </x:c>
      <x:c r="P44" s="24" t="str">
        <x:v>Raw case percentages from the study documentation describe the sample, not the weighted population. A reason that adults give for not having an account does not establish that it is what keeps them without one.</x:v>
      </x:c>
      <x:c r="Q44"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4" s="24" t="str">
        <x:v>No values are shown yet. When they are produced, they will refer to the 2021 Findex wave, with Yemen fieldwork from November 2022 to January 2023, the latest wave available for Yemen.</x:v>
      </x:c>
      <x:c r="S44" s="28" t="str">
        <x:v>لا تُعرض أي قيم بعد. وعند إنتاجها ستعود إلى موجة Findex 2021، التي نُفذ عملها الميداني في اليمن من نوفمبر 2022 إلى يناير 2023، وهي أحدث موجة متاحة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row>
    <x:row r="45">
      <x:c r="A45" s="24" t="str">
        <x:v>VIS-FINDEX-RESILIENCE</x:v>
      </x:c>
      <x:c r="B45" s="24" t="str">
        <x:v>VISUAL</x:v>
      </x:c>
      <x:c r="C45" s="24" t="str">
        <x:v>/people/</x:v>
      </x:c>
      <x:c r="D45" s="24" t="str">
        <x:v>Can an adult raise emergency funds — in 7 days versus 30?</x:v>
      </x:c>
      <x:c r="E45" s="28" t="str">
        <x:v>هل يستطيع البالغ تدبير أموال للطوارئ خلال 7 أيام مقارنة بـ30 يومًا؟</x:v>
      </x:c>
      <x:c r="F45"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5"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القياس والإجابات المفقودة، ولن يُقارن الأفقان الزمنيان إلا بعد احتساب موزون صالح؛ ولن تُدمج الفئات في درجة واحدة للصمود.</x:v>
      </x:c>
      <x:c r="H45" s="24" t="str">
        <x:v>Whether adults aged 15 and over in the areas the survey covered could raise emergency funds within 7 days or within 30 days, in the answer categories of the Yemen Findex 2021 survey; no weighted values have yet been produced.</x:v>
      </x:c>
      <x:c r="I45"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5" s="24" t="str">
        <x:v>2021 Findex wave; Yemen fieldwork November 2022 to January 2023</x:v>
      </x:c>
      <x:c r="K45" s="28" t="str">
        <x:v>موجة Findex 2021؛ العمل الميداني في اليمن من نوفمبر 2022 إلى يناير 2023</x:v>
      </x:c>
      <x:c r="L45" s="24" t="str">
        <x:v>The populations and categories defined by the Findex questions on raising money and financial resilience, with the measurement base and missing answers kept for each question.</x:v>
      </x:c>
      <x:c r="M45" s="28" t="str">
        <x:v>المجتمعات والفئات التي تعرفها أسئلة القدرة على تدبير المال والصمود المالي في Findex، مع الحفاظ على قاعدة القياس والمفقودات لكل سؤال.</x:v>
      </x:c>
      <x:c r="N45" s="24" t="str">
        <x:v>The estimates require weighted calculation from the respondent-level Findex 2021 data, keeping the source's answer categories, the inability to raise money, the population base and missing answers; that calculation has not yet been completed.</x:v>
      </x:c>
      <x:c r="O45" s="28" t="str">
        <x:v>تتطلب التقديرات احتسابًا موزونًا من بيانات المستجيبين في مسح Findex 2021، مع الحفاظ على فئات الإجابة في المصدر وحالة عدم القدرة على تدبير المال وقاعدة القياس والإجابات المفقودة؛ ولم يُستكمل هذا الاحتساب بعد.</x:v>
      </x:c>
      <x:c r="P45" s="24" t="str">
        <x:v>The ordered answer categories do not form a resilience score, and no separately approved method for combining them is used here.</x:v>
      </x:c>
      <x:c r="Q45" s="28" t="str">
        <x:v>لا تشكل فئات الإجابة الترتيبية درجة مركبة للصمود، ولا تُستخدم هنا طريقة معتمدة مستقلة لدمجها.</x:v>
      </x:c>
      <x:c r="R45" s="24" t="str">
        <x:v>No values are shown yet. When they are produced, they will refer to the 2021 Findex wave, with Yemen fieldwork from November 2022 to January 2023, the latest wave available for Yemen.</x:v>
      </x:c>
      <x:c r="S45" s="28" t="str">
        <x:v>لا تُعرض أي قيم بعد. وعند إنتاجها ستعود إلى موجة Findex 2021، التي نُفذ عملها الميداني في اليمن من نوفمبر 2022 إلى يناير 2023، وهي أحدث موجة متاحة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row>
    <x:row r="46">
      <x:c r="A46" s="24" t="str">
        <x:v>VIS-FINDEX-FLOW-CHANNELS</x:v>
      </x:c>
      <x:c r="B46" s="24" t="str">
        <x:v>VISUAL</x:v>
      </x:c>
      <x:c r="C46" s="24" t="str">
        <x:v>/people/ | /remittances/</x:v>
      </x:c>
      <x:c r="D46" s="24" t="str">
        <x:v>How money reaches people — wages, transfers, agriculture and domestic remittances</x:v>
      </x:c>
      <x:c r="E46" s="28" t="str">
        <x:v>قنوات التدفقات المالية على جانب الأفراد</x:v>
      </x:c>
      <x:c r="F46"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6" s="28" t="str">
        <x:v>لم تُنتج بعد تقديرات موزونة لموجة 2021 عن كيفية تلقي البالغين للأجور والتحويلات النقدية الحكومية ومدفوعات الزراعة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6"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6" s="28" t="str">
        <x:v>القنوات التي تلقى عبرها البالغون بعمر 15 سنة فأكثر، في المناطق التي شملها المسح، أجورهم أو تحويلاتهم النقدية الحكومية أو مدفوعاتهم الزراعية أو حوالاتهم المحلية، بين من تلقوا كلًّا منها، كما وردت في مسح Findex 2021 لليمن؛ ولم تُنتج بعد قيم موزونة لها.</x:v>
      </x:c>
      <x:c r="J46" s="24" t="str">
        <x:v>2021 wave / Yemen fieldwork 2022-23</x:v>
      </x:c>
      <x:c r="K46" s="28" t="str">
        <x:v>موجة 2021 / العمل الميداني في اليمن 2022–2023</x:v>
      </x:c>
      <x:c r="L46" s="24" t="str">
        <x:v>Conditional populations for wages, government transfers, agricultural payments and remittances in Findex; not shares of all adults unless the source says so.</x:v>
      </x:c>
      <x:c r="M46" s="28" t="str">
        <x:v>المجتمعات الشرطية الخاصة بالأجور والتحويلات الحكومية والمدفوعات الزراعية والحوالات في Findex؛ ولا تُعامل كنسبة من جميع البالغين ما لم ينص المصدر على ذلك.</x:v>
      </x:c>
      <x:c r="N46"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6"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6" s="24" t="str">
        <x:v>Channel shares among recipients are not shares of all adults, and they do not measure programme outcomes or remittance volumes for the economy as a whole.</x:v>
      </x:c>
      <x:c r="Q46" s="28" t="str">
        <x:v>حصص القنوات بين المتلقين ليست نسبًا من جميع البالغين، ولا تقيس نتائج البرامج ولا حجم التحويلات على المستوى الكلي.</x:v>
      </x:c>
      <x:c r="R46" s="24" t="str">
        <x:v>No values are shown yet. When they are produced, they will refer to the 2021 Findex wave, with Yemen fieldwork from November 2022 to January 2023, the latest wave available for Yemen.</x:v>
      </x:c>
      <x:c r="S46" s="28" t="str">
        <x:v>لا تُعرض أي قيم بعد. وعند إنتاجها ستعود إلى موجة Findex 2021، التي نُفذ عملها الميداني في اليمن من نوفمبر 2022 إلى يناير 2023، وهي أحدث موجة متاحة لليمن.</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SRC-WB-FINDEX-001</x:v>
      </x:c>
      <x:c r="Y46" s="24" t="str">
        <x:v>[]</x:v>
      </x:c>
      <x:c r="Z46" t="str">
        <x:v>BOUND_EXACT</x:v>
      </x:c>
      <x:c r="AA46" t="str">
        <x:v>NO_GOVERNED_CONTRACT__TABLE_ONLY</x:v>
      </x:c>
    </x:row>
    <x:row r="47">
      <x:c r="A47" s="24" t="str">
        <x:v>CLM-027</x:v>
      </x:c>
      <x:c r="B47" s="24" t="str">
        <x:v>CLAIM</x:v>
      </x:c>
      <x:c r="C47" s="24" t="str">
        <x:v>/people/</x:v>
      </x:c>
      <x:c r="D47" s="24" t="str">
        <x:v>Three observed survey waves, not an annual series</x:v>
      </x:c>
      <x:c r="E47" s="28" t="str">
        <x:v>ثلاث موجات مسحية مرصودة، لا سلسلة سنوية</x:v>
      </x:c>
      <x:c r="F47"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7"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7" s="24" t="str">
        <x:v>Account ownership among adults aged 15 and over in Yemen, as published by the World Bank for three separate survey waves (2011, 2014 and 2022); the three values do not form an annual series.</x:v>
      </x:c>
      <x:c r="I47"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7" s="24" t="str">
        <x:v>2011 / 2014 / 2022</x:v>
      </x:c>
      <x:c r="K47" s="28" t="str">
        <x:v>2011 / 2014 / 2022</x:v>
      </x:c>
      <x:c r="L47" s="24" t="str">
        <x:v>Adults 15+ under each source wave's survey coverage</x:v>
      </x:c>
      <x:c r="M47" s="28" t="str">
        <x:v>الأشخاص بعمر 15 سنة فأكثر ضمن التغطية الخاصة بكل موجة مسحية.</x:v>
      </x:c>
      <x:c r="N47" s="24" t="str">
        <x:v>Official weighted public aggregates; no annual interpolation</x:v>
      </x:c>
      <x:c r="O47" s="28" t="str">
        <x:v>إجماليات عامة موزونة ورسمية؛ من دون استيفاء سنوي بين الموجات.</x:v>
      </x:c>
      <x:c r="P47"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in November 2022 to January 2023 that excluded areas holding about 23% of the population.</x:v>
      </x:c>
      <x:c r="Q47"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بين نوفمبر 2022 ويناير 2023 واستبعد مناطق يقطنها نحو 23% من السكان.</x:v>
      </x:c>
      <x:c r="R47" s="24" t="str">
        <x:v>The latest of the three waves is the 2021 Findex wave, reported by the World Bank for 2022 (Yemen fieldwork November 2022 – January 2023); the Global Findex 2025 edition adds no newer Yemen observation. The series should not be read as describing any later year.</x:v>
      </x:c>
      <x:c r="S47" s="28" t="str">
        <x:v>أحدث الموجات الثلاث هي موجة Findex 2021، التي نشر البنك الدولي قيمتها لسنة 2022 (العمل الميداني في اليمن من نوفمبر 2022 إلى يناير 2023)، ولا تضيف نسخة Global Findex 2025 مشاهدة أحدث لليمن. ولا تُقرأ هذه القيم على أنها تصف أي سنة لاحقة.</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 SRC-WB-FINDEX-AGG-2022</x:v>
      </x:c>
      <x:c r="Y47" s="24" t="str">
        <x:v>[]</x:v>
      </x:c>
      <x:c r="Z47" t="str">
        <x:v>BOUND_EXACT</x:v>
      </x:c>
    </x:row>
    <x:row r="48">
      <x:c r="A48" s="24" t="str">
        <x:v>CLM-028</x:v>
      </x:c>
      <x:c r="B48" s="24" t="str">
        <x:v>CLAIM</x:v>
      </x:c>
      <x:c r="C48" s="24" t="str">
        <x:v>/people/</x:v>
      </x:c>
      <x:c r="D48" s="24" t="str">
        <x:v>Historical borrowing patterns in 2014</x:v>
      </x:c>
      <x:c r="E48" s="28" t="str">
        <x:v>أنماط اقتراض تاريخية في 2014</x:v>
      </x:c>
      <x:c r="F48" s="24" t="str">
        <x:v>In the 2014 World Bank weighted country profile, 65.9% of adults reported borrowing any money, while 51.7% reported borrowing from family or friends, 15.0% from a private informal lender and 0.4% from a financial institution.</x:v>
      </x:c>
      <x:c r="G48"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8" s="24" t="str">
        <x:v>Shares of adults aged 15 and over who reported borrowing any money, or borrowing from particular sources, as published in the World Bank's 2014 weighted country profile for Yemen.</x:v>
      </x:c>
      <x:c r="I48"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sender/recipient/account-holder sub-universes</x:v>
      </x:c>
      <x:c r="M48" s="28" t="str">
        <x:v>السكان المدنيون غير المقيمين في مؤسسات بعمر 15 سنة فأكثر؛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 and remittance-channel values are shares of a sub-group, not of all adults.</x:v>
      </x:c>
      <x:c r="Q48"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 وقيم قنوات الحوالات نسب من فئة فرعية لا من جميع البالغين.</x:v>
      </x:c>
      <x:c r="R48"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8"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row>
    <x:row r="49">
      <x:c r="A49" s="24" t="str">
        <x:v>CLM-029</x:v>
      </x:c>
      <x:c r="B49" s="24" t="str">
        <x:v>CLAIM</x:v>
      </x:c>
      <x:c r="C49" s="24" t="str">
        <x:v>/people/</x:v>
      </x:c>
      <x:c r="D49" s="24" t="str">
        <x:v>Historical saving patterns in 2014</x:v>
      </x:c>
      <x:c r="E49" s="28" t="str">
        <x:v>أنماط ادخار تاريخية في 2014</x:v>
      </x:c>
      <x:c r="F49" s="24" t="str">
        <x:v>In the 2014 World Bank weighted country profile, 20.6% of adults reported saving any money, compared with 0.9% reporting saving at a financial institution and 4.5% using a savings club or person outside the family.</x:v>
      </x:c>
      <x:c r="G49"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9" s="24" t="str">
        <x:v>Shares of adults aged 15 and over who reported saving any money, or saving in particular ways, as published in the World Bank's 2014 weighted country profile for Yemen.</x:v>
      </x:c>
      <x:c r="I49"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9" s="24" t="str">
        <x:v>2014</x:v>
      </x:c>
      <x:c r="K49" s="28" t="str">
        <x:v>2014</x:v>
      </x:c>
      <x:c r="L49" s="24" t="str">
        <x:v>Civilian non-institutionalized population age 15+; some channel measures use sender/recipient/account-holder sub-universes</x:v>
      </x:c>
      <x:c r="M49" s="28" t="str">
        <x:v>السكان المدنيون غير المقيمين في مؤسسات بعمر 15 سنة فأكثر؛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gap between saving any money and saving at a financial institution is not an 'informal saving share', and the saving methods are not a complete breakdown of savers. | Historical, not current. '..' means no observation, and saving and borrowing indicators can overlap.</x:v>
      </x:c>
      <x:c r="Q49" s="28" t="str">
        <x:v>لا يمثل الفرق بين ادخار أي مبلغ والادخار لدى مؤسسة مالية «حصة الادخار غير الرسمي»، ولا تمثل طرق الادخار توزيعًا شاملًا لكل المدخرين. | هذه أدلة تاريخية؛ والرمز «..» يعني عدم وجود ملاحظة، ويمكن أن تتداخل مؤشرات الادخار والاقتراض.</x:v>
      </x:c>
      <x:c r="R49"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9"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row>
    <x:row r="50">
      <x:c r="A50" s="24" t="str">
        <x:v>CLM-030</x:v>
      </x:c>
      <x:c r="B50" s="24" t="str">
        <x:v>CLAIM</x:v>
      </x:c>
      <x:c r="C50" s="24" t="str">
        <x:v>/people/ | /remittances/</x:v>
      </x:c>
      <x:c r="D50" s="24" t="str">
        <x:v>Domestic-remittance pathways in 2014</x:v>
      </x:c>
      <x:c r="E50" s="28" t="str">
        <x:v>مسار الحوالات المحلية في 2014</x:v>
      </x:c>
      <x:c r="F50" s="24" t="str">
        <x:v>The 2014 World Bank weighted country profile reports 18.3% of adults receiving domestic remittances. Among recipients, 31.1% received via a money transfer operator, 2.0% via a financial institution and 0.0% via mobile phone in that source profile.</x:v>
      </x:c>
      <x:c r="G50"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50"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50"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50" s="24" t="str">
        <x:v>2014</x:v>
      </x:c>
      <x:c r="K50" s="28" t="str">
        <x:v>2014</x:v>
      </x:c>
      <x:c r="L50" s="24" t="str">
        <x:v>Civilian non-institutionalized population age 15+; some channel measures use sender/recipient/account-holder sub-universes</x:v>
      </x:c>
      <x:c r="M50" s="28" t="str">
        <x:v>السكان المدنيون غير المقيمين في مؤسسات بعمر 15 سنة فأكثر؛ وبعض مؤشرات القنوات تستخدم مجتمعات فرعية من المرسلين أو المستلمين أو أصحاب الحسابات.</x:v>
      </x:c>
      <x:c r="N50" s="24" t="str">
        <x:v>Official weighted public country-profile aggregates</x:v>
      </x:c>
      <x:c r="O50" s="28" t="str">
        <x:v>إجماليات موزونة منشورة رسميًا في ملف الدولة.</x:v>
      </x:c>
      <x:c r="P50" s="24" t="str">
        <x:v>The channel values are shares of adults who received domestic remittances, not of all adults; they do not show what share of the money flowed through each channel, and the profile does not describe the current situation. | Historical, not current. '..' means no observation, and remittance-channel values are shares of a conditional sub-population, not of all adults.</x:v>
      </x:c>
      <x:c r="Q50"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أدلة تاريخية؛ والرمز «..» يعني عدم وجود ملاحظة، وقيم قنوات الحوالات نسب من فئة فرعية مشروطة لا من جميع البالغين.</x:v>
      </x:c>
      <x:c r="R50"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0"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record is drawn from the source(s) listed on this page. Open a source record to reach the original document, and check that the definition, period, population and geography match what is stated here.</x:v>
      </x:c>
      <x:c r="W5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0" s="24" t="str">
        <x:v>SRC-WB-FINDEX-LDB-2015-001</x:v>
      </x:c>
      <x:c r="Y50" s="24" t="str">
        <x:v>[]</x:v>
      </x:c>
      <x:c r="Z50" t="str">
        <x:v>BOUND_EXACT</x:v>
      </x:c>
    </x:row>
    <x:row r="51">
      <x:c r="A51" s="24" t="str">
        <x:v>CLM-031</x:v>
      </x:c>
      <x:c r="B51" s="24" t="str">
        <x:v>CLAIM</x:v>
      </x:c>
      <x:c r="C51" s="24" t="str">
        <x:v>/people/ | /evidence/</x:v>
      </x:c>
      <x:c r="D51" s="24" t="str">
        <x:v>There is no single latest year for all people-side evidence</x:v>
      </x:c>
      <x:c r="E51" s="28" t="str">
        <x:v>لا توجد سنة واحدة هي الأحدث لكل أدلة الأفراد</x:v>
      </x:c>
      <x:c r="F51" s="24" t="str">
        <x:v>The people-side evidence here does not have one latest year: account ownership has a latest verified Yemen aggregate in 2022, while weighted public evidence currently available here for account use, saving, borrowing and domestic-remittance behavior is centered on 2014; latest-wave resilience and barrier values remain unpublished until the required weighted computation is complete. Historical results stay separate from any newer estimate until that computation and its verification are complete.</x:v>
      </x:c>
      <x:c r="G51"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1" s="24" t="str">
        <x:v>An evidence-timing comparison showing that different people-side measures have different latest observation dates.</x:v>
      </x:c>
      <x:c r="I51" s="28" t="str">
        <x:v>مقارنة في توقيت الأدلة توضح أن مقاييس جانب الأفراد لا تشترك جميعها في أحدث سنة قياس واحدة.</x:v>
      </x:c>
      <x:c r="J51" s="24" t="str">
        <x:v>Function-specific people-side evidence: weighted public behavior evidence centered on 2014, with the latest verified account-ownership anchor from the Findex 2021 wave and Yemen fieldwork in 2022–2023.</x:v>
      </x:c>
      <x:c r="K51"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1" s="24" t="str">
        <x:v>People-side evidence by financial function; each function keeps its own survey wave, population base, denominator and publication state.</x:v>
      </x:c>
      <x:c r="M51" s="28" t="str">
        <x:v>أدلة تخص الأشخاص بحسب الوظيفة المالية، مع احتفاظ كل وظيفة بموجة المسح ومجتمع القياس وقاعدة الاحتساب وحالة النشر الخاصة بها.</x:v>
      </x:c>
      <x:c r="N51"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1"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1" s="24" t="str">
        <x:v>The 2014 behaviour values do not describe current behaviour, and raw case percentages from the 2021 wave are not a substitute for weighted population estimates.</x:v>
      </x:c>
      <x:c r="Q51" s="28" t="str">
        <x:v>لا تصف قيم السلوك لعام 2014 السلوك الحالي، ولا تُعد نسب الحالات الخام في موجة 2021 بديلًا عن التقديرات السكانية الموزونة.</x:v>
      </x:c>
      <x:c r="R51" s="24" t="str">
        <x:v>Each function has its own latest observation: account ownership refers to the 2021 Findex wave, with Yemen fieldwork from November 2022 to January 2023; account use, saving, borrowing and domestic remittances refer to 2014. Each is updated separately when newer comparable evidence is published.</x:v>
      </x:c>
      <x:c r="S51" s="28" t="str">
        <x:v>لكل وظيفة أحدث مشاهدة خاصة بها: يعود امتلاك الحساب إلى موجة Findex 2021، التي نُفذ عملها الميداني في اليمن من نوفمبر 2022 إلى يناير 2023، ويعود استخدام الحساب والادخار والاقتراض والحوالات المحلية إلى 2014. ويُحدَّث كل منها على حدة عند نشر دليل أحدث قابل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view assembles other evidence records. Check each linked record against its own source.</x:v>
      </x:c>
      <x:c r="W51" s="28" t="str">
        <x:v>يجمع هذا العرض سجلات أدلة أخرى، فتحقق من كل سجل مرتبط مقابل مصدره الخاص.</x:v>
      </x:c>
      <x:c r="X51" s="24" t="str">
        <x:v>CLM-001; CLM-027; CLM-028; CLM-029; CLM-030</x:v>
      </x:c>
      <x:c r="Y51" s="24" t="str">
        <x:v>[]</x:v>
      </x:c>
      <x:c r="Z51" t="str">
        <x:v>COMPOSITE_OF_OBJECTS</x:v>
      </x:c>
    </x:row>
    <x:row r="52">
      <x:c r="A52" s="24" t="str">
        <x:v>VIS-FINDEX-OBSERVED-WAVES</x:v>
      </x:c>
      <x:c r="B52" s="24" t="str">
        <x:v>VISUAL</x:v>
      </x:c>
      <x:c r="C52" s="24" t="str">
        <x:v>/people/</x:v>
      </x:c>
      <x:c r="D52" s="24" t="str">
        <x:v>Account ownership — observed waves, not an annual line</x:v>
      </x:c>
      <x:c r="E52" s="28" t="str">
        <x:v>موجات Findex المرصودة لليمن</x:v>
      </x:c>
      <x:c r="F52" s="24" t="str">
        <x:v>The World Bank has published three observations of account ownership for Yemen: 3.7% in 2011 (accounts at financial institutions only), 6.4% in 2014 and 11.9% in the 2021 Findex wave, reported for 2022 from fieldwork in November 2022 to January 2023 that excluded areas holding about 23% of the population. The years between these waves were not observed.</x:v>
      </x:c>
      <x:c r="G52"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بين نوفمبر 2022 ويناير 2023 واستبعد مناطق يقطنها نحو 23% من السكان. ولم تُرصد السنوات الواقعة بين هذه الموجات.</x:v>
      </x:c>
      <x:c r="H52" s="24" t="str">
        <x:v>Account ownership among adults aged 15 and over in Yemen at each observed Global Findex wave (2011, 2014 and 2022), in the areas each survey covered, as published by the World Bank.</x:v>
      </x:c>
      <x:c r="I52"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2" s="24" t="str">
        <x:v>2011 / 2014 / 2022</x:v>
      </x:c>
      <x:c r="K52" s="28" t="str">
        <x:v>2011 / 2014 / 2022</x:v>
      </x:c>
      <x:c r="L52" s="24" t="str">
        <x:v>Verified Yemen Findex wave points only, each with its scope, period and coverage.</x:v>
      </x:c>
      <x:c r="M52" s="28" t="str">
        <x:v>نقاط موجات Findex اليمنية التي تم التحقق منها فقط، مع نطاق كل موجة وفترتها وتغطيتها.</x:v>
      </x:c>
      <x:c r="N52" s="24" t="str">
        <x:v>Weighted aggregates published by the World Bank for each observed wave: 2011 and 2014 from The Little Data Book on Financial Inclusion 2015, and the 2021 wave from World Bank Data. No values are estimated for the years between waves.</x:v>
      </x:c>
      <x:c r="O52"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2" s="24" t="str">
        <x:v>It does not establish values for the years between waves, an average annual growth rate or the causes of the change, and it is not a 2026 value. There is no Yemen observation for 2017 or 2024.</x:v>
      </x:c>
      <x:c r="Q52"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2" s="24" t="str">
        <x:v>The latest observation is from the 2021 Findex wave, reported by the World Bank for 2022 (Yemen fieldwork November 2022 – January 2023); the Global Findex 2025 edition adds no newer Yemen observation. It should not be read as describing a later period unless a newer comparable observation is published.</x:v>
      </x:c>
      <x:c r="S52" s="28" t="str">
        <x:v>تعود أحدث مشاهدة إلى موجة Findex 2021، التي نشر البنك الدولي قيمتها لسنة 2022 (العمل الميداني في اليمن من نوفمبر 2022 إلى يناير 2023)، ولا تضيف نسخة Global Findex 2025 مشاهدة أحدث لليمن. ولا تُقرأ على أنها تصف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record is drawn from the source(s) listed on this page. Open a source record to reach the original document, and check that the definition, period, population and geography match what is stated here.</x:v>
      </x:c>
      <x:c r="W5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2" s="24" t="str">
        <x:v>SRC-WB-FINDEX-LDB-2015-001; SRC-WB-FINDEX-AGG-2022</x:v>
      </x:c>
      <x:c r="Y52" s="24" t="str">
        <x:v>[]</x:v>
      </x:c>
      <x:c r="Z52" t="str">
        <x:v>BOUND_EXACT</x:v>
      </x:c>
      <x:c r="AA52" t="str">
        <x:v>NO_GOVERNED_CONTRACT__TABLE_ONLY</x:v>
      </x:c>
    </x:row>
    <x:row r="53">
      <x:c r="A53" s="24" t="str">
        <x:v>VIS-DEMAND-VINTAGE-LADDER</x:v>
      </x:c>
      <x:c r="B53" s="24" t="str">
        <x:v>VISUAL</x:v>
      </x:c>
      <x:c r="C53" s="24" t="str">
        <x:v>/people/ | /evidence/</x:v>
      </x:c>
      <x:c r="D53" s="24" t="str">
        <x:v>Latest observation for each people-side financial function</x:v>
      </x:c>
      <x:c r="E53" s="28" t="str">
        <x:v>أحدث مشاهدة لكل وظيفة مالية على جانب الأفراد</x:v>
      </x:c>
      <x:c r="F53" s="24" t="str">
        <x:v>The latest weighted evidence differs by financial function: account ownership has a value from the 2021 Findex wave (11.9%, reported for 2022), while the latest weighted values for saving, borrowing and domestic remittances date from 2014 (20.6% of adults saved any money, 65.9% borrowed any money and 18.3% received domestic remittances), and weighted estimates of resilience and of the reasons for not having an account have not yet been calculated for the 2021 wave.</x:v>
      </x:c>
      <x:c r="G53" s="28" t="str">
        <x:v>يختلف أحدث دليل موزون بحسب الوظيفة المالية: فلامتلاك الحساب قيمة من موجة Findex 2021 (11.9%، منشورة لسنة 2022)، بينما تعود أحدث القيم الموزونة للادخار والاقتراض والحوالات المحلية إلى 2014 (ادخر 20.6% من البالغين أي مبلغ، واقترض 65.9% أي مبلغ، وتلقى 18.3% حوالات محلية)، ولا تزال تقديرات الصمود المالي وأسباب عدم امتلاك الحساب لموجة 2021 بانتظار الاحتساب.</x:v>
      </x:c>
      <x:c r="H53" s="24" t="str">
        <x:v>The latest observation period available for each people-side financial function (account ownership, saving, borrowing, domestic remittances, resilience and reasons for not having an account), drawn from the Global Findex evidence for Yemen.</x:v>
      </x:c>
      <x:c r="I53"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3" s="24" t="str">
        <x:v>2011 to 2022; no weighted values yet for some measures in the 2021 wave</x:v>
      </x:c>
      <x:c r="K53" s="28" t="str">
        <x:v>من 2011 إلى 2022؛ ولا توجد بعد قيم موزونة لبعض مقاييس موجة 2021</x:v>
      </x:c>
      <x:c r="L53" s="24" t="str">
        <x:v>The latest supported numeric period for each demand-side financial function, with access, saving, borrowing, remittances, resilience and barriers kept separate.</x:v>
      </x:c>
      <x:c r="M53" s="28" t="str">
        <x:v>أحدث فترة رقمية معتمدة لكل وظيفة مالية على جانب الطلب، مع فصل الوصول والادخار والاقتراض والحوالات والصمود والعوائق.</x:v>
      </x:c>
      <x:c r="N53" s="24" t="str">
        <x:v>Compiled from the evidence records listed on this page: each function is matched to its own latest weighted Findex evidence, and no value or date is carried from one function to another.</x:v>
      </x:c>
      <x:c r="O53" s="28" t="str">
        <x:v>مجمّع من سجلات الأدلة المدرجة في هذه الصفحة: تُربط كل وظيفة بأحدث دليل موزون خاص بها من مسح Findex، ولا تُنقل قيمة أو تاريخ من وظيفة إلى أخرى.</x:v>
      </x:c>
      <x:c r="P53" s="24" t="str">
        <x:v>It is not a composite inclusion score. There is no single latest year for people-side evidence, and a recent date for one function does not make the evidence for another function current.</x:v>
      </x:c>
      <x:c r="Q53" s="28" t="str">
        <x:v>ليس هذا درجة مركبة للشمول المالي. ولا توجد سنة واحدة هي الأحدث لأدلة جانب الأفراد، وحداثة تاريخ وظيفة ما لا تجعل أدلة وظيفة أخرى حديثة.</x:v>
      </x:c>
      <x:c r="R53" s="24" t="str">
        <x:v>The latest observations differ by function: 2022 for account ownership (2021 Findex wave, fieldwork November 2022 – January 2023) and 2014 for saving, borrowing and domestic remittances; resilience and reasons for not having an account have no weighted value yet. None of them describes a later period unless a newer comparable observation is published.</x:v>
      </x:c>
      <x:c r="S53" s="28" t="str">
        <x:v>تختلف أحدث المشاهدات بحسب الوظيفة: 2022 لامتلاك الحساب (موجة Findex 2021، والعمل الميداني من نوفمبر 2022 إلى يناير 2023)، و2014 للادخار والاقتراض والحوالات المحلية؛ ولا توجد بعد قيمة موزونة للصمود المالي ولأسباب عدم امتلاك الحساب. ولا يصف أي منها فترة لاحقة ما لم تُنشر مشاهدة أحدث قابلة للمقارنة.</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view assembles other evidence records. Check each linked record against its own source.</x:v>
      </x:c>
      <x:c r="W53" s="28" t="str">
        <x:v>يجمع هذا العرض سجلات أدلة أخرى، فتحقق من كل سجل مرتبط مقابل مصدره الخاص.</x:v>
      </x:c>
      <x:c r="X53" s="24" t="str">
        <x:v>CLM-001; CLM-027; CLM-028; CLM-029; CLM-030; VIS-FINDEX-RESILIENCE; VIS-FINDEX-BARRIERS</x:v>
      </x:c>
      <x:c r="Y53" s="24" t="str">
        <x:v>[]</x:v>
      </x:c>
      <x:c r="Z53" t="str">
        <x:v>COMPOSITE_OF_OBJECTS</x:v>
      </x:c>
      <x:c r="AA53" t="str">
        <x:v>NO_GOVERNED_CONTRACT__TABLE_ONLY</x:v>
      </x:c>
    </x:row>
    <x:row r="54">
      <x:c r="A54" s="24" t="str">
        <x:v>VIS-BORROWING-SOURCES-2014</x:v>
      </x:c>
      <x:c r="B54" s="24" t="str">
        <x:v>VISUAL</x:v>
      </x:c>
      <x:c r="C54" s="24" t="str">
        <x:v>/people/</x:v>
      </x:c>
      <x:c r="D54" s="24" t="str">
        <x:v>Borrowing and its sources in 2014</x:v>
      </x:c>
      <x:c r="E54" s="28" t="str">
        <x:v>الاقتراض ومصادره في 2014</x:v>
      </x:c>
      <x:c r="F54"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4"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4" s="24" t="str">
        <x:v>Shares of adults aged 15 and over in Yemen who reported borrowing any money, and borrowing from particular sources or for particular purposes, in 2014, as published by the World Bank.</x:v>
      </x:c>
      <x:c r="I54" s="28" t="str">
        <x:v>نسب البالغين بعمر 15 سنة فأكثر في اليمن الذين أفادوا باقتراض أي مبلغ، وبالاقتراض من مصادر محددة أو لأغراض محددة، في 2014، كما نشرها البنك الدولي.</x:v>
      </x:c>
      <x:c r="J54" s="24" t="str">
        <x:v>2014</x:v>
      </x:c>
      <x:c r="K54" s="28" t="str">
        <x:v>2014</x:v>
      </x:c>
      <x:c r="L54" s="24" t="str">
        <x:v>Adults in the 2014 Yemen Findex evidence; borrowing from any source is shown separately from source or purpose indicators.</x:v>
      </x:c>
      <x:c r="M54" s="28" t="str">
        <x:v>البالغون في دليل Findex اليمني لعام 2014؛ ويُعرض الاقتراض من أي مصدر منفصلًا عن مؤشرات المصدر أو الغرض.</x:v>
      </x:c>
      <x:c r="N54" s="24" t="str">
        <x:v>Weighted aggregates published in the World Bank's 2014 country profile for Yemen (The Little Data Book on Financial Inclusion 2015); each indicator is a share of all adults.</x:v>
      </x:c>
      <x:c r="O54" s="28" t="str">
        <x:v>إجماليات موزونة منشورة في الملف القطري لليمن الذي أصدره البنك الدولي لعام 2014 (The Little Data Book on Financial Inclusion 2015)؛ وكل مؤشر نسبة من جميع البالغين.</x:v>
      </x:c>
      <x:c r="P54" s="24" t="str">
        <x:v>Each source is a separate share of all adults, not of borrowers. The shares overlap, so they do not add up to a total or to 100%, and no 'informal borrowing share' can be derived by subtracting one from another.</x:v>
      </x:c>
      <x:c r="Q54"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4"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4"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row>
    <x:row r="55">
      <x:c r="A55" s="24" t="str">
        <x:v>VIS-DOMESTIC-REMITTANCE-PATH-2014</x:v>
      </x:c>
      <x:c r="B55" s="24" t="str">
        <x:v>VISUAL</x:v>
      </x:c>
      <x:c r="C55" s="24" t="str">
        <x:v>/people/ | /remittances/</x:v>
      </x:c>
      <x:c r="D55" s="24" t="str">
        <x:v>Domestic remittances in 2014 — population reach vs recipient channels</x:v>
      </x:c>
      <x:c r="E55" s="28" t="str">
        <x:v>الحوالات المحلية في 2014: نطاق الإرسال والاستلام وقنوات المستلمين</x:v>
      </x:c>
      <x:c r="F55"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5"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وليست صفرًا.</x:v>
      </x:c>
      <x:c r="H55" s="24" t="str">
        <x:v>The shares of adults aged 15 and over in Yemen who sent or received domestic remittances in 2014 and, among senders and recipients, the channels they used, as published by the World Bank.</x:v>
      </x:c>
      <x:c r="I55"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5" s="24" t="str">
        <x:v>2014</x:v>
      </x:c>
      <x:c r="K55" s="28" t="str">
        <x:v>2014</x:v>
      </x:c>
      <x:c r="L55" s="24" t="str">
        <x:v>The 2014 Findex population for sending and receiving, then the conditional sender or recipient populations for the channel analysis.</x:v>
      </x:c>
      <x:c r="M55" s="28" t="str">
        <x:v>سكان Findex لعام 2014 في مرحلة الإرسال/الاستلام، ثم مجتمعات المرسلين أو المستلمين الشرطية عند تحليل القنوات.</x:v>
      </x:c>
      <x:c r="N55"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5"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5" s="24" t="str">
        <x:v>Shares of all adults and channel shares among recipients use different bases and cannot be read on one scale. They do not show how much money flowed through each channel or the composition of remittances in the economy as a whole.</x:v>
      </x:c>
      <x:c r="Q55"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التحويلات على المستوى الكلي.</x:v>
      </x:c>
      <x:c r="R55"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5"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A55" t="str">
        <x:v>NO_GOVERNED_CONTRACT__TABLE_ONLY</x:v>
      </x:c>
    </x:row>
    <x:row r="56">
      <x:c r="A56" s="24" t="str">
        <x:v>DS-FINDEX-PUBLIC-HISTORY</x:v>
      </x:c>
      <x:c r="B56" s="24" t="str">
        <x:v>DATASET</x:v>
      </x:c>
      <x:c r="C56" s="24" t="str">
        <x:v>/people/ | /evidence/</x:v>
      </x:c>
      <x:c r="D56" s="24" t="str">
        <x:v>Published historical Findex results for Yemen</x:v>
      </x:c>
      <x:c r="E56" s="28" t="str">
        <x:v>نتائج Findex التاريخية المنشورة لليمن</x:v>
      </x:c>
      <x:c r="F56" s="24" t="str">
        <x:v>Weighted Findex values for Yemen from the 2011 and 2014 waves, one value per measure and wave, each with its population base, missing values and publication state, so older measures stay interpretable without being presented as current.</x:v>
      </x:c>
      <x:c r="G56"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6" s="24" t="str">
        <x:v>Weighted Global Findex values for Yemen published by the World Bank for the 2011 and 2014 waves, covering account ownership, account use, digital payments, domestic remittances, saving and borrowing among adults aged 15 and over.</x:v>
      </x:c>
      <x:c r="I56"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6" s="24" t="str">
        <x:v>2011 to 2014</x:v>
      </x:c>
      <x:c r="K56" s="28" t="str">
        <x:v>2011 إلى 2014</x:v>
      </x:c>
      <x:c r="L56" s="24" t="str">
        <x:v>Adults aged 15 and over in Yemen in the 2011 and 2014 Findex waves; some channel values apply only to adults who sent or received domestic remittances or who have an account.</x:v>
      </x:c>
      <x:c r="M56"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6" s="24" t="str">
        <x:v>Published weighted Findex observations are preserved by wave, source definition and reporting year; no values are interpolated between waves.</x:v>
      </x:c>
      <x:c r="O56" s="28" t="str">
        <x:v>تُحفظ مشاهدات Findex الموزونة المنشورة بحسب الموجة وتعريف المصدر وسنة الإبلاغ، من دون استيفاء قيم بين الموجات.</x:v>
      </x:c>
      <x:c r="P56" s="24" t="str">
        <x:v>Historical weighted values hold for their stated wave and base, but they do not establish current 2026 behaviour and do not describe later years unless newer comparable evidence is published.</x:v>
      </x:c>
      <x:c r="Q56"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6" s="24" t="str">
        <x:v>The latest observations in this dataset refer to 2014, with selected 2011 comparators. They should not be read as describing a later period unless a newer comparable observation is published.</x:v>
      </x:c>
      <x:c r="S56"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record is drawn from the source(s) listed on this page. Open a source record to reach the original document, and check that the definition, period, population and geography match what is stated here.</x:v>
      </x:c>
      <x:c r="W5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6" s="24" t="str">
        <x:v>SRC-WB-FINDEX-LDB-2015-001</x:v>
      </x:c>
      <x:c r="Y56" s="24" t="str">
        <x:v>[]</x:v>
      </x:c>
      <x:c r="Z56" t="str">
        <x:v>BOUND_EXACT</x:v>
      </x:c>
    </x:row>
    <x:row r="57">
      <x:c r="A57" s="24" t="str">
        <x:v>DS-FINDEX-HISTORY-CROSSWALK</x:v>
      </x:c>
      <x:c r="B57" s="24" t="str">
        <x:v>DATASET</x:v>
      </x:c>
      <x:c r="C57" s="24" t="str">
        <x:v>/people/ | /methodology/</x:v>
      </x:c>
      <x:c r="D57" s="24" t="str">
        <x:v>Which historical Findex measures can be compared with the latest wave</x:v>
      </x:c>
      <x:c r="E57" s="28" t="str">
        <x:v>مقاييس Findex التاريخية التي يمكن مقارنتها بأحدث موجة</x:v>
      </x:c>
      <x:c r="F57" s="24" t="str">
        <x:v>A comparability map linking 36 historical Findex measures to the measures specified for the latest wave, while separating publishable historical values from latest-wave measures whose required computation is not yet complete.</x:v>
      </x:c>
      <x:c r="G57"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7" s="24" t="str">
        <x:v>For each of 36 historical Findex measures for Yemen, whether a comparable measure exists in the latest (2021) wave and whether its values can be compared; it reports no new value.</x:v>
      </x:c>
      <x:c r="I57"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7" s="24" t="str">
        <x:v>2011 to 2022</x:v>
      </x:c>
      <x:c r="K57" s="28" t="str">
        <x:v>من 2011 إلى 2022</x:v>
      </x:c>
      <x:c r="L57" s="24" t="str">
        <x:v>The 36 historical Findex measures for Yemen published for 2011 and 2014, and the measures specified for the 2021 wave.</x:v>
      </x:c>
      <x:c r="M57" s="28" t="str">
        <x:v>مقاييس Findex التاريخية الـ36 لليمن المنشورة لعامي 2011 و2014، والمقاييس المحددة لموجة 2021.</x:v>
      </x:c>
      <x:c r="N57" s="24" t="str">
        <x:v>Cross-wave comparison uses published Findex definitions and methodological notes to identify which concepts can be compared and which require qualification.</x:v>
      </x:c>
      <x:c r="O57" s="28" t="str">
        <x:v>تستخدم المقارنة بين موجات Findex التعريفات المنشورة والملاحظات المنهجية لتحديد المفاهيم القابلة للمقارنة وتلك التي تحتاج إلى تأهيل.</x:v>
      </x:c>
      <x:c r="P57" s="24" t="str">
        <x:v>A crosswalk identifies conceptual comparability; it does not make every historical and current metric numerically interchangeable, and current calculations remain unavailable until the required computation and quality checks are complete.</x:v>
      </x:c>
      <x:c r="Q57" s="28" t="str">
        <x:v>تحدد المطابقة قابلية المقارنة المفاهيمية، لكنها لا تجعل كل مقياس تاريخي وحالي قابلًا للاستبدال رقميًا. ولا تُنشر القيم الأحدث حتى تكتمل الحسابات المطلوبة وتنجح فحوص الجودة.</x:v>
      </x:c>
      <x:c r="R57" s="24" t="str">
        <x:v>It compares published values for 2011 and 2014 with the 2021 Findex wave, the latest wave available for Yemen (fieldwork November 2022 – January 2023). It should not be read as describing a later wave unless one is published.</x:v>
      </x:c>
      <x:c r="S57" s="28" t="str">
        <x:v>يقارن هذا السجل القيم المنشورة لعامي 2011 و2014 بموجة Findex 2021، وهي أحدث موجة متاحة لليمن (العمل الميداني من نوفمبر 2022 إلى يناير 2023). ولا يُقرأ على أنه يصف موجة لاحقة ما لم تُنشر موجة أحدث.</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assembles other evidence records. Check each linked record against its own source.</x:v>
      </x:c>
      <x:c r="W57" s="28" t="str">
        <x:v>يجمع هذا العرض سجلات أدلة أخرى، فتحقق من كل سجل مرتبط مقابل مصدره الخاص.</x:v>
      </x:c>
      <x:c r="X57" s="24" t="str">
        <x:v>DS-FINDEX-PUBLIC-HISTORY; CLM-026</x:v>
      </x:c>
      <x:c r="Y57" s="24" t="str">
        <x:v>[]</x:v>
      </x:c>
      <x:c r="Z57" t="str">
        <x:v>COMPOSITE_OF_OBJECTS</x:v>
      </x:c>
    </x:row>
    <x:row r="58">
      <x:c r="A58" s="24" t="str">
        <x:v>DS-DEMAND-VINTAGE-LENS</x:v>
      </x:c>
      <x:c r="B58" s="24" t="str">
        <x:v>DATASET</x:v>
      </x:c>
      <x:c r="C58" s="24" t="str">
        <x:v>/people/ | /evidence/</x:v>
      </x:c>
      <x:c r="D58" s="24" t="str">
        <x:v>How recent the people-side evidence is, by financial function</x:v>
      </x:c>
      <x:c r="E58" s="28" t="str">
        <x:v>حداثة أدلة الأفراد بحسب الوظيفة المالية</x:v>
      </x:c>
      <x:c r="F58" s="24" t="str">
        <x:v>For ten financial functions, which evidence period applies to each, so that the people-side answer does not imply one common latest year.</x:v>
      </x:c>
      <x:c r="G58" s="28" t="str">
        <x:v>لعشر وظائف مالية، الفترة التي يعود إليها دليل كل منها، حتى لا توحي الإجابة الخاصة بالأفراد بسنة واحدة مشتركة بوصفها الأحدث.</x:v>
      </x:c>
      <x:c r="H58" s="24" t="str">
        <x:v>For each of ten people-side financial functions, the period of the latest evidence available and whether a numeric value is available; it reports no new value.</x:v>
      </x:c>
      <x:c r="I58" s="28" t="str">
        <x:v>يبين لكل من عشر وظائف مالية على جانب الأفراد فترة أحدث دليل متاح وما إذا كانت تتوفر لها قيمة رقمية، ولا يعرض أي قيمة جديدة.</x:v>
      </x:c>
      <x:c r="J58" s="24" t="str">
        <x:v>2014 to 2022; no newer weighted values yet</x:v>
      </x:c>
      <x:c r="K58" s="28" t="str">
        <x:v>من 2014 إلى 2022؛ ولا توجد بعد قيم موزونة أحدث</x:v>
      </x:c>
      <x:c r="L58" s="24" t="str">
        <x:v>Ten people-side financial functions covered by Global Findex evidence for Yemen.</x:v>
      </x:c>
      <x:c r="M58" s="28" t="str">
        <x:v>عشر وظائف مالية على جانب الأفراد تغطيها أدلة المؤشر العالمي للشمول المالي (Global Findex) لليمن.</x:v>
      </x:c>
      <x:c r="N58" s="24" t="str">
        <x:v>Cross-wave synthesis of admitted Findex evidence that preserves each financial function’s source wave, definition and availability. It is an evidence-vintage map, not a new population estimate.</x:v>
      </x:c>
      <x:c r="O58" s="28" t="str">
        <x:v>تركيب عبر موجات Findex المعتمدة يحافظ لكل وظيفة مالية على موجة المصدر وتعريفها ومدى توافرها. وهو خريطة لاختلاف توقيت الأدلة، وليس تقديرًا سكانيًا جديدًا.</x:v>
      </x:c>
      <x:c r="P58" s="24" t="str">
        <x:v>The currentness map does not make older evidence current, and a function with no newer numeric observation remains an evidence gap rather than zero or an interpolated value.</x:v>
      </x:c>
      <x:c r="Q58"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8" s="24" t="str">
        <x:v>The latest evidence differs by function, from 2014 to 2022 (the 2021 Findex wave, fieldwork November 2022 – January 2023); for a function with no newer value, the older evidence is not current. None of it describes a later period unless a newer comparable observation is published.</x:v>
      </x:c>
      <x:c r="S58" s="28" t="str">
        <x:v>يختلف أحدث دليل بحسب الوظيفة، من 2014 إلى 2022 (موجة Findex 2021، والعمل الميداني من نوفمبر 2022 إلى يناير 2023)؛ وأي وظيفة لا تتوفر لها قيمة أحدث يبقى دليلها الأقدم غير حديث. ولا يصف أي منها فترة لاحقة ما لم تُنشر مشاهدة أحدث قابلة للمقارنة.</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view summarises other evidence records, which are not yet linked individually here. Before reusing a figure, open the evidence record that reports it and check that record against its own source.</x:v>
      </x:c>
      <x:c r="W58" s="28" t="str">
        <x:v>يلخص هذا العرض سجلات أدلة أخرى لم تُربط بعدُ هنا كلٌّ على حدة. وقبل إعادة استخدام أي رقم، افتح سجل الدليل الذي يورده وتحقق منه مقابل مصدره الخاص.</x:v>
      </x:c>
      <x:c r="X58" s="24"/>
      <x:c r="Y58" s="24" t="str">
        <x:v>[]</x:v>
      </x:c>
      <x:c r="Z58" t="str">
        <x:v>COMPOSITE_OF_OBJECTS</x:v>
      </x:c>
    </x:row>
    <x:row r="59">
      <x:c r="A59" s="24" t="str">
        <x:v>CLM-004</x:v>
      </x:c>
      <x:c r="B59" s="24" t="str">
        <x:v>CLAIM</x:v>
      </x:c>
      <x:c r="C59" s="24" t="str">
        <x:v>/payments/ | /methodology/</x:v>
      </x:c>
      <x:c r="D59" s="24" t="str">
        <x:v>Accounts and transactions are not unique people</x:v>
      </x:c>
      <x:c r="E59" s="28" t="str">
        <x:v>أعداد الحسابات والمعاملات لا تمثل عددًا فريدًا من الأشخاص</x:v>
      </x:c>
      <x:c r="F59" s="24" t="str">
        <x:v>Administrative accounts, e-wallet subscribers and payment transactions are not equivalent to unique people measured by Findex.</x:v>
      </x:c>
      <x:c r="G59"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9" s="24" t="str">
        <x:v>This record sets out a measurement rule and reports no value: counts of administrative accounts, subscribers, terminals and transactions are not counts of unique people unless the evidence establishes that unit.</x:v>
      </x:c>
      <x:c r="I59" s="28" t="str">
        <x:v>يحدد هذا السجل قاعدة قياس ولا يورد أي قيمة: فأعداد الحسابات والاشتراكات والأجهزة والمعاملات الإدارية ليست أعدادًا لأشخاص فريدين ما لم يثبت الدليل أن وحدة القياس هي الشخص.</x:v>
      </x:c>
      <x:c r="J59" s="24" t="str">
        <x:v>No observation period: a measurement rule that applies whenever administrative accounts, subscribers or transactions are compared with survey measures of people.</x:v>
      </x:c>
      <x:c r="K59" s="28" t="str">
        <x:v>لا فترة رصد: قاعدة قياس تنطبق كلما قورنت الحسابات أو الاشتراكات أو المعاملات الإدارية بقياسات مسحية تخص الأشخاص.</x:v>
      </x:c>
      <x:c r="L59" s="24" t="str">
        <x:v>Different measurement objects: administrative accounts, wallet subscribers and transactions versus unique people represented by a population survey.</x:v>
      </x:c>
      <x:c r="M59" s="28" t="str">
        <x:v>وحدات قياس مختلفة: حسابات إدارية ومشتركو محافظ ومعاملات، مقابل أشخاص فريدين يمثلهم مسح سكاني.</x:v>
      </x:c>
      <x:c r="N59"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9"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9" s="24" t="str">
        <x:v>Dividing administrative counts by population does not produce a share of people unless a documented unique-person method exists; no such share is established here.</x:v>
      </x:c>
      <x:c r="Q59"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9" s="24" t="str">
        <x:v>This is a method rule with no observation date; it applies until a documented source provides a valid way to link the administrative series to unique people.</x:v>
      </x:c>
      <x:c r="S59" s="28" t="str">
        <x:v>هذه قاعدة منهجية بلا تاريخ رصد، وتظل سارية إلى أن يوفر مصدر موثق طريقة صالحة لربط السلاسل الإدارية بأشخاص فريدين.</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sets out a rule for measuring or reading the evidence. It does not report a figure from a source, so there is no original source to check.</x:v>
      </x:c>
      <x:c r="W59" s="28" t="str">
        <x:v>يحدد هذا السجل قاعدة لقياس الأدلة أو قراءتها، ولا يورد رقمًا مأخوذًا من مصدر، ولذلك لا يوجد مصدر أصلي يُتحقق منه.</x:v>
      </x:c>
      <x:c r="X59" s="24"/>
      <x:c r="Y59" s="24" t="str">
        <x:v>[]</x:v>
      </x:c>
      <x:c r="Z59" t="str">
        <x:v>FRAMING_NO_FACT</x:v>
      </x:c>
    </x:row>
    <x:row r="60">
      <x:c r="A60" s="24" t="str">
        <x:v>CLM-005</x:v>
      </x:c>
      <x:c r="B60" s="24" t="str">
        <x:v>CLAIM</x:v>
      </x:c>
      <x:c r="C60" s="24" t="str">
        <x:v>/firms/</x:v>
      </x:c>
      <x:c r="D60" s="24" t="str">
        <x:v>Finance was not the most frequently cited constraint in this survey</x:v>
      </x:c>
      <x:c r="E60" s="28" t="str">
        <x:v>التمويل ليس التحدي الأكثر ذكرًا في هذا المسح</x:v>
      </x:c>
      <x:c r="F60" s="24" t="str">
        <x:v>Among formal firms in the 2022 custom enterprise survey of seven governorates, electricity and fuel shortages were each named as a business challenge more often than access to finance.</x:v>
      </x:c>
      <x:c r="G60" s="28" t="str">
        <x:v>بين المنشآت الرسمية في مسح المنشآت المخصص الذي شمل سبع محافظات عام 2022، ذُكرت الكهرباء ونقص الوقود بوصفهما تحديين للأعمال أكثر مما ذُكر الوصول إلى التمويل.</x:v>
      </x:c>
      <x:c r="H60" s="24" t="str">
        <x:v>The share of surveyed formal firms in seven governorates that named each item as a business challenge in 2022, with access to finance compared against the other items.</x:v>
      </x:c>
      <x:c r="I60"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A World Bank custom enterprise survey of formal firms in seven governorates (September 2022), reported in Yemen Financial Sector Diagnostics (2024). The shares are the source's own tabulation in Annex III, Figure 108 ('Challenges in Business Environment') and Table 8 ('List of Challenges to the Establishment'), p. 146. Firms could name more than one challenge.</x:v>
      </x:c>
      <x:c r="O60" s="28" t="str">
        <x:v>مسح مخصص للمنشآت الرسمية أجراه البنك الدولي في سبع محافظات (سبتمبر 2022)، ونُشرت نتائجه في «التشخيص المالي لليمن (2024)». والنسب كما بوّبها المصدر نفسه في الملحق الثالث: الشكل 108 («تحديات بيئة الأعمال») والجدول 8 («قائمة التحديات التي تواجه المنشأة»)، ص 146. وكان بإمكان المنشأة ذكر أكثر من تحدٍّ.</x:v>
      </x:c>
      <x:c r="P60" s="24" t="str">
        <x:v>The comparison is not nationally representative and is not a ranking of constraints for all Yemeni firms. | The survey is not national; some tables rest on small conditional bases, and the finance-obstacle table uses a filtered base. Firms could name more than one challenge, and neither the number of firms answering the challenge question nor its exact wording is held in the evidence base.</x:v>
      </x:c>
      <x:c r="Q60" s="28" t="str">
        <x:v>لا تمثل المقارنة منشآت اليمن تمثيلًا وطنيًا، وليست ترتيبًا للقيود التي تواجهها جميع المنشآت اليمنية.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row>
    <x:row r="61">
      <x:c r="A61" s="24" t="str">
        <x:v>CLM-006</x:v>
      </x:c>
      <x:c r="B61" s="24" t="str">
        <x:v>CLAIM</x:v>
      </x:c>
      <x:c r="C61" s="24" t="str">
        <x:v>/firms/</x:v>
      </x:c>
      <x:c r="D61" s="24" t="str">
        <x:v>Finance severity within a specific denominator</x:v>
      </x:c>
      <x:c r="E61" s="28" t="str">
        <x:v>شدة عائق التمويل ضمن قاعدة احتساب محددة</x:v>
      </x:c>
      <x:c r="F61" s="24" t="str">
        <x:v>Among the formal firms in the report's finance-obstacle tabulation, which excludes firms that said they did not need a loan, major plus moderate finance obstacles sum to 91.84%.</x:v>
      </x:c>
      <x:c r="G61"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1" s="24" t="str">
        <x:v>The combined share of formal firms rating access to finance as a major or moderate obstacle, among firms in the survey report's finance-obstacle tabulation (firms that said they did not need a loan are excluded), seven governorates, 2022.</x:v>
      </x:c>
      <x:c r="I61"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1" s="24" t="str">
        <x:v>September 2022</x:v>
      </x:c>
      <x:c r="K61" s="28" t="str">
        <x:v>سبتمبر 2022</x:v>
      </x:c>
      <x:c r="L61" s="24" t="str">
        <x:v>Formal enterprises in seven selected governorates</x:v>
      </x:c>
      <x:c r="M61" s="28" t="str">
        <x:v>المنشآت الرسمية في المحافظات السبع التي شملها المسح.</x:v>
      </x:c>
      <x:c r="N61" s="24" t="str">
        <x:v>Two shares reported by the source for the 2022 World Bank custom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1" s="28" t="str">
        <x:v>نسبتان أوردهما المصدر لمسح المنشآت المخصص الذي أجراه البنك الدولي عام 2022 (سبتمبر 2022)، في «التشخيص المالي لليمن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1"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held in the evidence base; some other tables rest on small conditional bases.</x:v>
      </x:c>
      <x:c r="Q61"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1" s="24" t="str">
        <x:v>The latest observation in this record refers to the 2022 survey (September 2022). It should not be read as describing a later period unless a newer comparable observation is published.</x:v>
      </x:c>
      <x:c r="S61" s="28" t="str">
        <x:v>تعود أحدث مشاهدة في هذا السجل إلى مسح 2022 (سبتمبر 2022)، ولا تُقرأ على أنها تصف فترة لاحقة ما لم تُنشر مشاهدة أحدث قابلة للمقارنة.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SRC-WB-FSD-2024-001</x:v>
      </x:c>
      <x:c r="Y61" s="24" t="str">
        <x:v>[]</x:v>
      </x:c>
      <x:c r="Z61" t="str">
        <x:v>BOUND_EXACT</x:v>
      </x:c>
    </x:row>
    <x:row r="62">
      <x:c r="A62" s="24" t="str">
        <x:v>CLM-008</x:v>
      </x:c>
      <x:c r="B62" s="24" t="str">
        <x:v>CLAIM</x:v>
      </x:c>
      <x:c r="C62" s="24" t="str">
        <x:v>/providers/ | /access/</x:v>
      </x:c>
      <x:c r="D62" s="24" t="str">
        <x:v>Listing or licensing does not establish operation</x:v>
      </x:c>
      <x:c r="E62" s="28" t="str">
        <x:v>الإدراج أو الترخيص لا يثبت التشغيل</x:v>
      </x:c>
      <x:c r="F62" s="24" t="str">
        <x:v>The list of licensed banks of the Central Bank of Yemen – Aden (CBY-Aden), as checked on 7 September 2026, names 26 banks. Appearing on the list establishes listing or licensing in that source, not operation.</x:v>
      </x:c>
      <x:c r="G62" s="28" t="str">
        <x:v>تضم قائمة البنوك المرخصة الصادرة عن البنك المركزي اليمني – عدن، كما اطُّلع عليها في 7 سبتمبر 2026، 26 بنكًا. ويثبت الظهور في القائمة الإدراج أو الترخيص وفق ذلك المصدر، لا التشغيل الفعلي.</x:v>
      </x:c>
      <x:c r="H62" s="24" t="str">
        <x:v>The number of banks named on the licensed-bank list of the Central Bank of Yemen – Aden (CBY-Aden), as checked on 7 September 2026.</x:v>
      </x:c>
      <x:c r="I62" s="28" t="str">
        <x:v>عدد البنوك الواردة في قائمة البنوك المرخصة لدى البنك المركزي اليمني – عدن، كما اطُّلع عليها في 7 سبتمبر 2026.</x:v>
      </x:c>
      <x:c r="J62" s="24" t="str">
        <x:v>List as checked on 7 September 2026</x:v>
      </x:c>
      <x:c r="K62" s="28" t="str">
        <x:v>القائمة كما اطُّلع عليها في 7 سبتمبر 2026</x:v>
      </x:c>
      <x:c r="L62" s="24" t="str">
        <x:v>Banks named on the licensed-bank list of the Central Bank of Yemen – Aden (CBY-Aden); list presence is not proof of current operation, branch footprint, product availability or market share</x:v>
      </x:c>
      <x:c r="M62"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2" s="24" t="str">
        <x:v>A count of the banks named on the licensed-bank list published by the Central Bank of Yemen – Aden (CBY-Aden), as checked on 7 September 2026. The list establishes listing or licensing by CBY-Aden; it does not by itself establish current operation, service availability or geographic reach.</x:v>
      </x:c>
      <x:c r="O62" s="28" t="str">
        <x:v>عدّ البنوك الواردة في قائمة البنوك المرخصة التي ينشرها البنك المركزي اليمني – عدن، كما اطُّلع عليها في 7 سبتمبر 2026. وتثبت القائمة الإدراج أو الترخيص لدى البنك المركزي في عدن، ولا تثبت بذاتها التشغيل الحالي أو توفر الخدمة أو الانتشار الجغرافي.</x:v>
      </x:c>
      <x:c r="P62"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2"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2" s="24" t="str">
        <x:v>This record reflects the licensed-bank list of the Central Bank of Yemen – Aden (CBY-Aden) as checked on 7 September 2026. It should not be read as describing a later date unless a newer version of the list is checked.</x:v>
      </x:c>
      <x:c r="S62" s="28" t="str">
        <x:v>يعكس هذا السجل قائمة البنوك المرخصة لدى البنك المركزي اليمني – عدن كما اطُّلع عليها في 7 سبتمبر 2026، ولا يُقرأ على أنه يصف تاريخًا لاحقًا ما لم يُطّلع على نسخة أحدث من القائمة.</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record is drawn from the source(s) listed on this page. Open a source record to reach the original document, and check that the definition, period, population and geography match what is stated here.</x:v>
      </x:c>
      <x:c r="W6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2" s="24" t="str">
        <x:v>SRC-CBY-BANKLIST-AR-2026-001</x:v>
      </x:c>
      <x:c r="Y62" s="24" t="str">
        <x:v>[]</x:v>
      </x:c>
      <x:c r="Z62" t="str">
        <x:v>BOUND_EXACT</x:v>
      </x:c>
    </x:row>
    <x:row r="63">
      <x:c r="A63" s="24" t="str">
        <x:v>CLM-014</x:v>
      </x:c>
      <x:c r="B63" s="24" t="str">
        <x:v>CLAIM</x:v>
      </x:c>
      <x:c r="C63" s="24" t="str">
        <x:v>/evidence/ | /methodology/</x:v>
      </x:c>
      <x:c r="D63" s="24" t="str">
        <x:v>Evidence freshness differs by domain</x:v>
      </x:c>
      <x:c r="E63" s="28" t="str">
        <x:v>حداثة الأدلة غير متساوية بين المجالات</x:v>
      </x:c>
      <x:c r="F63" s="24" t="str">
        <x:v>The evidence here is not equally current across domains: several payments/regulatory observations are from 2025–2026, while key representative people-side evidence is older.</x:v>
      </x:c>
      <x:c r="G63" s="28" t="str">
        <x:v>لا تتساوى حداثة الأدلة بين مجالات المنظومة: فعدد من مشاهدات المدفوعات والتنظيم يعود إلى 2025–2026، بينما ترجع أدلة سكانية تمثيلية أساسية إلى فترات أقدم.</x:v>
      </x:c>
      <x:c r="H63" s="24" t="str">
        <x:v>A comparison of evidence dates across domains showing that some areas are measured more recently than others.</x:v>
      </x:c>
      <x:c r="I63" s="28" t="str">
        <x:v>مقارنة لحداثة الأدلة بين المجالات، توضح أن بعض الجوانب مقاسة في تواريخ أحدث من غيرها.</x:v>
      </x:c>
      <x:c r="J63" s="24" t="str">
        <x:v>Current release comparison across evidence observed from 2014 through 2026, depending on domain.</x:v>
      </x:c>
      <x:c r="K63" s="28" t="str">
        <x:v>مقارنة في الإصدار الحالي بين أدلة تعود فترات رصدها إلى 2014–2026 بحسب المجال.</x:v>
      </x:c>
      <x:c r="L63" s="24" t="str">
        <x:v>Evidence records across people, payments, providers, reforms and other domains, each with its own observation period and evidence class.</x:v>
      </x:c>
      <x:c r="M63" s="28" t="str">
        <x:v>سجلات أدلة معتمدة عبر مجالات الأفراد والمدفوعات ومقدمي الخدمات والإصلاحات وغيرها، ولكل سجل فترة رصد وفئة دليل تخصه.</x:v>
      </x:c>
      <x:c r="N63" s="24" t="str">
        <x:v>The observation or publication date and the evidence class of each record are compared by domain; the date or evidential meaning of one domain's evidence is not carried over to another.</x:v>
      </x:c>
      <x:c r="O63" s="28" t="str">
        <x:v>تُقارن حداثة الأدلة وفئتها بحسب المجال، ولا تُنقل فترة دليل أو دلالته من مجال إلى آخر.</x:v>
      </x:c>
      <x:c r="P63" s="24" t="str">
        <x:v>Older evidence is not invalid because of its age, and recent administrative evidence does not measure current financial inclusion across the population.</x:v>
      </x:c>
      <x:c r="Q63" s="28" t="str">
        <x:v>ليس الدليل الأقدم باطلًا لمجرد قدمه، ولا تقيس البيانات الإدارية الحديثة الشمول المالي الراهن على مستوى السكان.</x:v>
      </x:c>
      <x:c r="R63" s="24" t="str">
        <x:v>This comparison reflects the evidence records held in the content version dated 26 September 2026 and changes whenever a newer record is added. A recent administrative observation does not make older population evidence current, and older evidence is not invalid merely because it is older.</x:v>
      </x:c>
      <x:c r="S63" s="28" t="str">
        <x:v>تعكس هذه المقارنة سجلات الأدلة الواردة في نسخة المحتوى المؤرخة في 26 سبتمبر 2026، وتتغير كلما أُضيف سجل أحدث. ولا تجعل الملاحظة الإدارية الحديثة الدليل السكاني الأقدم حديثًا، كما لا يصبح الدليل الأقدم غير صالح لمجرد قدمه.</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view summarises other evidence records, which are not yet linked individually here. Before reusing a figure, open the evidence record that reports it and check that record against its own source.</x:v>
      </x:c>
      <x:c r="W63" s="28" t="str">
        <x:v>يلخص هذا العرض سجلات أدلة أخرى لم تُربط بعدُ هنا كلٌّ على حدة. وقبل إعادة استخدام أي رقم، افتح سجل الدليل الذي يورده وتحقق منه مقابل مصدره الخاص.</x:v>
      </x:c>
      <x:c r="X63" s="24"/>
      <x:c r="Y63" s="24" t="str">
        <x:v>[]</x:v>
      </x:c>
      <x:c r="Z63" t="str">
        <x:v>COMPOSITE_OF_OBJECTS</x:v>
      </x:c>
    </x:row>
    <x:row r="64">
      <x:c r="A64" s="24" t="str">
        <x:v>CLM-022</x:v>
      </x:c>
      <x:c r="B64" s="24" t="str">
        <x:v>CLAIM</x:v>
      </x:c>
      <x:c r="C64" s="24" t="str">
        <x:v>/finance/ | /methodology/</x:v>
      </x:c>
      <x:c r="D64" s="24" t="str">
        <x:v>Informative history without a continuous annual series</x:v>
      </x:c>
      <x:c r="E64" s="28" t="str">
        <x:v>سجل مفيد لكنه غير سنوي متصل</x:v>
      </x:c>
      <x:c r="F64" s="24" t="str">
        <x:v>The historical microfinance evidence is materially informative but not continuously annual: This resource preserves exact quarterly/year-end points, anomalies, pointer-only years and no-data years rather than filling the gaps.</x:v>
      </x:c>
      <x:c r="G64" s="28" t="str">
        <x:v>توفر الأدلة التاريخية للتمويل الأصغر معلومات جوهرية لكنها لا تشكل سلسلة سنوية متصلة. ويحافظ هذا المورد على النقاط الفصلية ونقاط نهاية العام كما وردت، وعلى الشذوذ والسنوات التي لا تتوافر عنها إلا إحالات والسنوات الخالية من البيانات، من دون ملء الفجوات.</x:v>
      </x:c>
      <x:c r="H64" s="24" t="str">
        <x:v>Dated microfinance observations (active borrowers, savers and loan portfolio) reported by programmes supported by the Social Fund for Development (SFD), with years that have no usable observation marked as gaps.</x:v>
      </x:c>
      <x:c r="I64"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4" s="24" t="str">
        <x:v>Observed points and explicit gaps in microfinance evidence, 2010 to 2024</x:v>
      </x:c>
      <x:c r="K64" s="28" t="str">
        <x:v>نقاط مرصودة وفجوات معلنة في أدلة التمويل الأصغر من 2010 إلى 2024</x:v>
      </x:c>
      <x:c r="L64" s="24" t="str">
        <x:v>Source-specific microfinance observations whose provider/reporting universe can vary by point; each observation retains its own source and status.</x:v>
      </x:c>
      <x:c r="M64" s="28" t="str">
        <x:v>مشاهدات للتمويل الأصغر تختلف بحسب المصدر وقد يختلف نطاق مقدمي الخدمات أو الإبلاغ من نقطة إلى أخرى؛ وتحتفظ كل مشاهدة بمصدرها وحالتها.</x:v>
      </x:c>
      <x:c r="N64" s="24" t="str">
        <x:v>Quarterly and year-end observations are recorded at the dates the sources give, together with within-source contradictions, periods known only through another source, and periods with no data; missing years are not interpolated or smoothed.</x:v>
      </x:c>
      <x:c r="O64" s="28" t="str">
        <x:v>تُحفظ المشاهدات الفعلية للربع أو نهاية العام، والتعارضات، والفترات التي لا تتجاوز الإشارة إلى مصدر، وفترات عدم توفر البيانات. ولا تُستكمل السنوات المفقودة بالاستيفاء أو التنعيم.</x:v>
      </x:c>
      <x:c r="P64" s="24" t="str">
        <x:v>A year with no observation does not indicate zero microfinance activity, and the observations do not establish a trend across the missing years.</x:v>
      </x:c>
      <x:c r="Q64" s="28" t="str">
        <x:v>لا تدل السنة الخالية من المشاهدات على انعدام نشاط التمويل الأصغر، ولا تثبت المشاهدات اتجاهًا زمنيًا عبر السنوات المفقودة.</x:v>
      </x:c>
      <x:c r="R64" s="24" t="str">
        <x:v>The latest SFD observation in this record is dated 31 December 2020; February 2021 figures exist only through a secondary pointer, and no primary observation has been located for 2022 or 2024. The record is historical context, not a current series, and is extended only with dated observations whose coverage and method are documented.</x:v>
      </x:c>
      <x:c r="S64" s="28" t="str">
        <x:v>أحدث مشاهدة للصندوق الاجتماعي للتنمية في هذا السجل مؤرخة في 31 ديسمبر 2020، ولا تتاح أرقام فبراير 2021 إلا عبر إحالة ثانوية، ولم يُعثر على مشاهدة من المصدر الأصلي لعامي 2022 و2024. والسجل سياق تاريخي وليس سلسلة حالية، ولا يُمدَّد إلا بمشاهدات مؤرخة موثقة النطاق والمنهج.</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SRC-SFD-MF-HISTORY-TOR-2012-001; SRC-SFD-Q1-2012-001; SRC-SFD-Q1-2015-001; SRC-SFD-Q1-2019-001; SRC-SFD-Q2-2013-001; SRC-SFD-Q2-2014-001; SRC-SFD-Q3-2015-001; SRC-SFD-Q3-2016-001; SRC-SFD-Q4-2009-001; SRC-SFD-Q4-2010-001; SRC-SFD-Q4-2011-001; SRC-SFD-Q4-2012-001; SRC-SFD-Q4-2015-001; SRC-SFD-Q4-2017-001; SRC-SFD-Q4-2018-001; SRC-SFD-Q4-2020-001</x:v>
      </x:c>
      <x:c r="Y64" s="24" t="str">
        <x:v>[]</x:v>
      </x:c>
      <x:c r="Z64" t="str">
        <x:v>BOUND_EXACT</x:v>
      </x:c>
    </x:row>
    <x:row r="65">
      <x:c r="A65" s="24" t="str">
        <x:v>VIS-FINDEX-GAPS</x:v>
      </x:c>
      <x:c r="B65" s="24" t="str">
        <x:v>VISUAL</x:v>
      </x:c>
      <x:c r="C65" s="24" t="str">
        <x:v>/people/</x:v>
      </x:c>
      <x:c r="D65" s="24" t="str">
        <x:v>Account ownership and measured gaps: Global Findex 2021 wave (Yemen fieldwork 2022–23)</x:v>
      </x:c>
      <x:c r="E65" s="28" t="str">
        <x:v>امتلاك الحساب والفجوات المقاسة: موجة Global Findex 2021 (العمل الميداني في اليمن 2022–2023)</x:v>
      </x:c>
      <x:c r="F65" s="24" t="str">
        <x:v>In the 2021 Global Findex wave for Yemen (fieldwork 7 November 2022 –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so these figures are not a 2026 rate and cannot be mapped to governorates.</x:v>
      </x:c>
      <x:c r="G65"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ولذلك لا تمثل هذه الأرقام معدلًا لعام 2026 ولا يمكن إسقاطها على المحافظات.</x:v>
      </x:c>
      <x:c r="H6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November 2022 – January 2023).</x:v>
      </x:c>
      <x:c r="I65"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نوفمبر 2022 إلى يناير 2023).</x:v>
      </x:c>
      <x:c r="J65" s="24" t="str">
        <x:v>World Bank reporting year 2022; Global Findex 2021 study; Yemen fieldwork 2022-11-07 to 2023-01-09</x:v>
      </x:c>
      <x:c r="K65" s="28" t="str">
        <x:v>سنة الإبلاغ في بيانات البنك الدولي: 2022؛ دراسة Global Findex 2021؛ العمل الميداني في اليمن من 2022-11-07 إلى 2023-01-09</x:v>
      </x:c>
      <x:c r="L65" s="24" t="str">
        <x:v>Adults aged 15 and over in the areas the survey covered (the survey frame excludes areas with about 23% of the population); subgroups as defined within the same wave.</x:v>
      </x:c>
      <x:c r="M65"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5" s="24" t="str">
        <x:v>Weighted estimates published by the World Bank from the Global Findex survey of Yemen (1,000 respondents; fieldwork 7 November 2022 – 9 January 2023; World Bank data year 2022) for all adults and for subgroups by sex, household income, education and age. Each of the four differences is calculated by this resource by subtracting the lower published value in a pair from the higher one.</x:v>
      </x:c>
      <x:c r="O65"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x:v>
      </x:c>
      <x:c r="P65"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No standard errors or confidence intervals are published with these values; the Yemen sample is 1,000 respondents, so subgroup values and the gaps carry sampling uncertainty that is not quantified here.</x:v>
      </x:c>
      <x:c r="Q65"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والفجوات بينها على عدم يقين ناتج عن المعاينة لا يُقدَّر كميًا هنا.</x:v>
      </x:c>
      <x:c r="R65"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5"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SRC-WB-FINDEX-AGG-2022</x:v>
      </x:c>
      <x:c r="Y65" s="24" t="str">
        <x:v>[]</x:v>
      </x:c>
      <x:c r="Z65" t="str">
        <x:v>BOUND_EXACT</x:v>
      </x:c>
    </x:row>
    <x:row r="66">
      <x:c r="A66" s="24" t="str">
        <x:v>VIS-POS-TERMINALS</x:v>
      </x:c>
      <x:c r="B66" s="24" t="str">
        <x:v>VISUAL</x:v>
      </x:c>
      <x:c r="C66" s="24" t="str">
        <x:v>/payments/</x:v>
      </x:c>
      <x:c r="D66" s="24" t="str">
        <x:v>Reported POS terminals, monthly</x:v>
      </x:c>
      <x:c r="E66" s="28" t="str">
        <x:v>أجهزة نقاط البيع المبلغ عنها شهريًا</x:v>
      </x:c>
      <x:c r="F66" s="24" t="str">
        <x:v>POS terminals reported by the Central Bank of Yemen – Aden (CBY-Aden) rose from 561 in March 2025 to 1,473 in January 2026, within CBY-Aden's reporting scope. Between December 2025 (1,357) and January 2026 (1,473), the raw totals imply growth of 8.55%, while the January source graphic displays +11%; both the reported totals and the publisher's displayed percentage are kept as a discrepancy within the source. Terminal counts are devices, not merchants, unique users or an inclusion outcome.</x:v>
      </x:c>
      <x:c r="G66" s="28" t="str">
        <x:v>ارتفع عدد أجهزة نقاط البيع التي يُبلغ عنها البنك المركزي اليمني – عدن من 561 جهازًا في مارس 2025 إلى 1,473 جهازًا في يناير 2026، ضمن نطاق الإبلاغ لديه. وبين ديسمبر 2025 (1,357) ويناير 2026 (1,473) تعطي الإجماليات الخام نموًا نسبته 8.55%، بينما يعرض الرسم المنشور في مصدر يناير نسبة +11%؛ وتُبقى الإجماليات المنشورة والنسبة التي عرضها الناشر ظاهرتين بوصفهما اختلافًا داخل المصدر. وعدد الأجهزة لا يساوي عدد التجار أو المستخدمين الفريدين ولا يثبت نتيجة في الشمول المالي.</x:v>
      </x:c>
      <x:c r="H66" s="24" t="str">
        <x:v>The monthly number of point-of-sale (POS) terminals reported by the Central Bank of Yemen – Aden (CBY-Aden) within its reporting scope, March 2025 to January 2026.</x:v>
      </x:c>
      <x:c r="I66" s="28" t="str">
        <x:v>العدد الشهري لأجهزة نقاط البيع التي يُبلغ عنها البنك المركزي اليمني – عدن ضمن نطاق الإبلاغ لديه، من مارس 2025 إلى يناير 2026.</x:v>
      </x:c>
      <x:c r="J66" s="24" t="str">
        <x:v>Mar-2025–Jan-2026 monthly</x:v>
      </x:c>
      <x:c r="K66" s="28" t="str">
        <x:v>شهريًا من مارس 2025 إلى يناير 2026</x:v>
      </x:c>
      <x:c r="L66" s="24" t="str">
        <x:v>POS terminals within the payment-system reporting scope of the Central Bank of Yemen – Aden (CBY-Aden); how far that scope covers each area of Yemen is not established.</x:v>
      </x:c>
      <x:c r="M66" s="28" t="str">
        <x:v>أجهزة نقاط البيع ضمن نطاق الإبلاغ عن نظام المدفوعات لدى البنك المركزي اليمني – عدن؛ ولا يثبت الدليل مدى تغطية هذا النطاق لكل مناطق اليمن.</x:v>
      </x:c>
      <x:c r="N66"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A smaller mismatch in June 2025 is also kept: 733 to 791 terminals implies 7.91%, while the June release displays +7.6%.</x:v>
      </x:c>
      <x:c r="O66"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ويُبقى أيضًا على اختلاف أصغر في يونيو 2025: فالانتقال من 733 إلى 791 جهازًا يعطي 7.91%، بينما يعرض إصدار يونيو +7.6%.</x:v>
      </x:c>
      <x:c r="P66" s="24" t="str">
        <x:v>Growth in terminal numbers does not show merchant adoption, active use of POS services, growth in unique users or an inclusion outcome. The +11% displayed in the January 2026 release and the 8.55% change derived from the raw totals are not arithmetically consistent.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6" s="24" t="str">
        <x:v>The latest observation in this record refers to January 2026; the series runs monthly from March 2025. January 2026 was the latest monthly POS release on the payments page of the Central Bank of Yemen – Aden (CBY-Aden) when checked on 26 September 2026. The figures should not be read as describing a later period unless a newer comparable release is published.</x:v>
      </x:c>
      <x:c r="S66" s="28" t="str">
        <x:v>تعود أحدث مشاهدة في هذا السجل إلى يناير 2026، وتمتد السلسلة شهريًا منذ مارس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x:v>
      </x:c>
      <x:c r="Y66" s="24" t="str">
        <x:v>[]</x:v>
      </x:c>
      <x:c r="Z66" t="str">
        <x:v>BOUND_EXACT</x:v>
      </x:c>
    </x:row>
    <x:row r="67">
      <x:c r="A67" s="24" t="str">
        <x:v>VIS-POS-TRANSACTIONS</x:v>
      </x:c>
      <x:c r="B67" s="24" t="str">
        <x:v>VISUAL</x:v>
      </x:c>
      <x:c r="C67" s="24" t="str">
        <x:v>/payments/</x:v>
      </x:c>
      <x:c r="D67" s="24" t="str">
        <x:v>Reported POS transactions, monthly</x:v>
      </x:c>
      <x:c r="E67" s="28" t="str">
        <x:v>معاملات نقاط البيع المبلغ عنها شهريًا</x:v>
      </x:c>
      <x:c r="F67" s="24" t="str">
        <x:v>POS transactions reported by the Central Bank of Yemen – Aden (CBY-Aden) rose from 8,015 in March 2025 to 24,026 in January 2026, within CBY-Aden's reporting scope, but not steadily: the monthly high was 27,187 in July 2025. Between December 2025 (21,099) and January 2026 (24,026), the raw totals imply growth of 13.87%, while the January source graphic displays +4.9%; both are kept as a discrepancy within the source. Transactions are events, not unique users or merchants, so the series does not measure how many people or businesses used POS services.</x:v>
      </x:c>
      <x:c r="G67" s="28" t="str">
        <x:v>ارتفع عدد معاملات نقاط البيع التي يُبلغ عنها البنك المركزي اليمني – عدن من 8,015 معاملة في مارس 2025 إلى 24,026 معاملة في يناير 2026، ضمن نطاق الإبلاغ لديه، ولكن ليس بصورة مطردة: فقد بلغ أعلى مستوى شهري 27,187 معاملة في يوليو 2025. وبين ديسمبر 2025 (21,099) ويناير 2026 (24,026) تعطي الإجماليات الخام نموًا نسبته 13.87%، بينما يعرض رسم مصدر يناير نسبة +4.9%؛ وتُبقى المعلومتان بوصفهما اختلافًا داخل المصدر. والمعاملة حدث وليست مستخدمًا أو تاجرًا فريدًا، لذلك لا تقيس السلسلة عدد الأشخاص أو المنشآت التي استخدمت نقاط البيع.</x:v>
      </x:c>
      <x:c r="H67" s="24" t="str">
        <x:v>The monthly number of POS transactions reported by the Central Bank of Yemen – Aden (CBY-Aden) within its reporting scope, March 2025 to January 2026.</x:v>
      </x:c>
      <x:c r="I67" s="28" t="str">
        <x:v>العدد الشهري لمعاملات نقاط البيع التي يُبلغ عنها البنك المركزي اليمني – عدن ضمن نطاق الإبلاغ لديه، من مارس 2025 إلى يناير 2026.</x:v>
      </x:c>
      <x:c r="J67" s="24" t="str">
        <x:v>Mar-2025–Jan-2026 monthly</x:v>
      </x:c>
      <x:c r="K67" s="28" t="str">
        <x:v>شهريًا من مارس 2025 إلى يناير 2026</x:v>
      </x:c>
      <x:c r="L67" s="24" t="str">
        <x:v>POS transactions within the payment-system reporting scope of the Central Bank of Yemen – Aden (CBY-Aden); how far that scope covers each area of Yemen is not established.</x:v>
      </x:c>
      <x:c r="M67" s="28" t="str">
        <x:v>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x:v>
      </x:c>
      <x:c r="O67"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x:v>
      </x:c>
      <x:c r="P6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7" s="24" t="str">
        <x:v>The latest observation in this record refers to January 2026; the series runs monthly from March 2025. January 2026 was the latest monthly POS release on the payments page of the Central Bank of Yemen – Aden (CBY-Aden) when checked on 26 September 2026. The figures should not be read as describing a later period unless a newer comparable release is published.</x:v>
      </x:c>
      <x:c r="S67" s="28" t="str">
        <x:v>تعود أحدث مشاهدة في هذا السجل إلى يناير 2026، وتمتد السلسلة شهريًا منذ مارس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SRC-CBY-POS-2025-09; SRC-CBY-POS-2025-10; SRC-CBY-POS-2025-11; SRC-CBY-POS-2025-12; SRC-CBY-POS-2026-01</x:v>
      </x:c>
      <x:c r="Y67" s="24" t="str">
        <x:v>[]</x:v>
      </x:c>
      <x:c r="Z67" t="str">
        <x:v>BOUND_EXACT</x:v>
      </x:c>
    </x:row>
    <x:row r="68">
      <x:c r="A68" s="24" t="str">
        <x:v>VIS-POS-VALUE</x:v>
      </x:c>
      <x:c r="B68" s="24" t="str">
        <x:v>VISUAL</x:v>
      </x:c>
      <x:c r="C68" s="24" t="str">
        <x:v>/payments/</x:v>
      </x:c>
      <x:c r="D68" s="24" t="str">
        <x:v>Nominal value of reported POS transactions, monthly</x:v>
      </x:c>
      <x:c r="E68" s="28" t="str">
        <x:v>القيمة الاسمية لمعاملات نقاط البيع المبلغ عنها شهريًا</x:v>
      </x:c>
      <x:c r="F68" s="24" t="str">
        <x:v>The nominal value of POS transactions reported by the Central Bank of Yemen – Aden (CBY-Aden) rose from YER 320 million in March 2025 to YER 1.262 billion in January 2026, within CBY-Aden's reporting scope. The September 2025 value is missing because no verified value is available for that month. The series is nominal and does not establish real-value growth, purchasing-power change, unique-user growth or financial-inclusion impact.</x:v>
      </x:c>
      <x:c r="G68" s="28" t="str">
        <x:v>ارتفعت القيمة الاسمية لمعاملات نقاط البيع التي يُبلغ عنها البنك المركزي اليمني – عدن من 320 مليون ريال يمني في مارس 2025 إلى 1.262 مليار ريال في يناير 2026، ضمن نطاق الإبلاغ لديه. وقيمة سبتمبر 2025 مفقودة لعدم توفر قيمة متحقق منها لذلك الشهر. والسلسلة اسمية ولا تثبت نموًا بالقيمة الحقيقية أو تغيرًا في القوة الشرائية أو زيادة عدد المستخدمين الفريدين أو أثرًا على الشمول المالي.</x:v>
      </x:c>
      <x:c r="H68" s="24" t="str">
        <x:v>The monthly nominal value, in Yemeni rials, of POS transactions reported by the Central Bank of Yemen – Aden (CBY-Aden) within its reporting scope, March 2025 to January 2026, with no value for September 2025.</x:v>
      </x:c>
      <x:c r="I68" s="28" t="str">
        <x:v>القيمة الاسمية الشهرية بالريال اليمني لمعاملات نقاط البيع التي يُبلغ عنها البنك المركزي اليمني – عدن ضمن نطاق الإبلاغ لديه، من مارس 2025 إلى يناير 2026، من دون قيمة لشهر سبتمبر 2025.</x:v>
      </x:c>
      <x:c r="J68" s="24" t="str">
        <x:v>Mar-2025–Jan-2026; Sep-2025 gap</x:v>
      </x:c>
      <x:c r="K68" s="28" t="str">
        <x:v>مارس 2025 – يناير 2026؛ مع فجوة في سبتمبر 2025</x:v>
      </x:c>
      <x:c r="L68" s="24" t="str">
        <x:v>Nominal value of POS transactions within the payment-system reporting scope of the Central Bank of Yemen – Aden (CBY-Aden); how far that scope covers each area of Yemen is not established.</x:v>
      </x:c>
      <x:c r="M68"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8" s="24" t="str">
        <x:v>Monthly values in Yemeni rials as published in the monthly POS releases of the Central Bank of Yemen – Aden (CBY-Aden), normalised to millions of rials; the values are nominal and are not adjusted for inflation or exchange-rate changes. No value is available for September 2025, and none is interpolated.</x:v>
      </x:c>
      <x:c r="O68"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ولا تتوفر قيمة لشهر سبتمبر 2025، ولا تُقدَّر بالاستيفاء.</x:v>
      </x:c>
      <x:c r="P6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8" s="24" t="str">
        <x:v>The latest observation in this record refers to January 2026; the series runs monthly from March 2025, with no value for September 2025. January 2026 was the latest monthly POS release on the payments page of the Central Bank of Yemen – Aden (CBY-Aden) when checked on 26 September 2026. The figures should not be read as describing a later period unless a newer comparable release is published.</x:v>
      </x:c>
      <x:c r="S68" s="28" t="str">
        <x:v>تعود أحدث مشاهدة في هذا السجل إلى يناير 2026، وتمتد السلسلة شهريًا منذ مارس 2025 من دون قيمة لشهر سبتمبر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SRC-CBY-POS-2025-03; SRC-CBY-POS-2025-04; SRC-CBY-POS-2025-05; SRC-CBY-POS-2025-06; SRC-CBY-POS-2025-07; SRC-CBY-POS-2025-08; SRC-CBY-POS-2025-10; SRC-CBY-POS-2025-11; SRC-CBY-POS-2025-12; SRC-CBY-POS-2026-01</x:v>
      </x:c>
      <x:c r="Y68" s="24" t="str">
        <x:v>[]</x:v>
      </x:c>
      <x:c r="Z68" t="str">
        <x:v>BOUND_EXACT</x:v>
      </x:c>
    </x:row>
    <x:row r="69">
      <x:c r="A69" s="24" t="str">
        <x:v>VIS-PAYMENT-ANATOMY</x:v>
      </x:c>
      <x:c r="B69" s="24" t="str">
        <x:v>VISUAL</x:v>
      </x:c>
      <x:c r="C69" s="24" t="str">
        <x:v>/payments/</x:v>
      </x:c>
      <x:c r="D69" s="24" t="str">
        <x:v>What does the payment system actually count?</x:v>
      </x:c>
      <x:c r="E69" s="28" t="str">
        <x:v>ما الذي يقيسه نظام المدفوعات فعلًا؟</x:v>
      </x:c>
      <x:c r="F69"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crosswalk and deduplication method exists.</x:v>
      </x:c>
      <x:c r="G69"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9" s="24" t="str">
        <x:v>Counts of payment-system items — cards, ATMs, POS terminals, POS transactions, e-wallets, e-wallet subscribers and accounts — reported by the Central Bank of Yemen – Aden (CBY-Aden) for the first half of 2025, each in its own unit.</x:v>
      </x:c>
      <x:c r="I69"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9" s="24" t="str">
        <x:v>2025 H1</x:v>
      </x:c>
      <x:c r="K69" s="28" t="str">
        <x:v>النصف الأول من 2025</x:v>
      </x:c>
      <x:c r="L69" s="24" t="str">
        <x:v>Cards, ATMs, POS terminals, transactions, e-wallets, subscribers and accounts within the payment-system reporting scope of the Central Bank of Yemen – Aden (CBY-Aden), first half of 2025; each has its own unit.</x:v>
      </x:c>
      <x:c r="M69"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9" s="24" t="str">
        <x:v>Each count is taken as published in the first-half 2025 payment report (an infographic) of the Central Bank of Yemen – Aden (CBY-Aden) and kept in its own unit; the counts are not added together or combined into an index.</x:v>
      </x:c>
      <x:c r="O69"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9"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9"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9" s="24" t="str">
        <x:v>The counts refer to the first half of 2025. They should not be read as describing a later period unless a newer comparable payment report is published.</x:v>
      </x:c>
      <x:c r="S69" s="28" t="str">
        <x:v>تعود الأعداد إلى النصف الأول من 2025، ولا تُقرأ على أنها تصف فترة لاحقة ما لم يُنشر تقرير مدفوعات أحدث قابل للمقارنة.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SRC-CBY-PAYREPORT-H1-2025</x:v>
      </x:c>
      <x:c r="Y69" s="24" t="str">
        <x:v>[]</x:v>
      </x:c>
      <x:c r="Z69" t="str">
        <x:v>BOUND_EXACT</x:v>
      </x:c>
    </x:row>
    <x:row r="70">
      <x:c r="A70" s="24" t="str">
        <x:v>VIS-MFI-2014-PANEL</x:v>
      </x:c>
      <x:c r="B70" s="24" t="str">
        <x:v>VISUAL</x:v>
      </x:c>
      <x:c r="C70" s="24" t="str">
        <x:v>/finance/</x:v>
      </x:c>
      <x:c r="D70" s="24" t="str">
        <x:v>Microfinance in 2014 — two comparable quarters, not a long trend</x:v>
      </x:c>
      <x:c r="E70" s="28" t="str">
        <x:v>التمويل الأصغر في 2014: ربعان قابلان للمقارنة، لا اتجاه طويل الأمد</x:v>
      </x:c>
      <x:c r="F70"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70" s="28" t="str">
        <x:v>لدى مقدمي التمويل الأصغر التسعة أنفسهم المُبلِّغين إلى شبكة اليمن للتمويل الأصغر (YMN)، تورد جداول الربعين الأول والثاني من 2014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70" s="24" t="str">
        <x:v>Active borrowers, voluntary savers and outstanding loan portfolio (nominal Yemeni rials) reported by the same nine microfinance providers in Yemen Microfinance Network (YMN) tables for the first and second quarters of 2014.</x:v>
      </x:c>
      <x:c r="I70"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70" s="24" t="str">
        <x:v>2014 Q1/Q2</x:v>
      </x:c>
      <x:c r="K70" s="28" t="str">
        <x:v>الربعان الأول والثاني من 2014</x:v>
      </x:c>
      <x:c r="L70" s="24" t="str">
        <x:v>The same 2014 reporting panel of nine microfinance providers for borrowers, savers and nominal portfolio.</x:v>
      </x:c>
      <x:c r="M70" s="28" t="str">
        <x:v>مجموعة الجهات المُبلِّغة نفسها لعام 2014، المكونة من تسعة مقدمي تمويل أصغر، عند عرض المقترضين والمدخرين والمحفظة الاسمية.</x:v>
      </x:c>
      <x:c r="N70" s="24" t="str">
        <x:v>Totals as published in the quarterly SEEP reporting tables of the Yemen Microfinance Network (YMN) for March and June 2014, covering the same nine reporting providers; one provider's first-quarter figures are reported from December 2013 data.</x:v>
      </x:c>
      <x:c r="O70"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70" s="24" t="str">
        <x:v>It does not form one continuous national series with the 2012 or 2021 figures. | The nine providers are those reporting to YMN, not a census of the whole sector, and one provider's first-quarter figures date from December 2013.</x:v>
      </x:c>
      <x:c r="Q70"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70" s="24" t="str">
        <x:v>The latest observation in this record refers to the second quarter of 2014 (end of June 2014). It should not be read as describing a later period.</x:v>
      </x:c>
      <x:c r="S70" s="28" t="str">
        <x:v>تعود أحدث مشاهدة في هذا السجل إلى الربع الثاني من 2014 (نهاية يونيو 2014)، ولا تُقرأ على أنها تصف فترة لاحقة.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SRC-YMN-MFMAG-2014-Q1-001; SRC-YMN-MFMAG-2014-Q2-001</x:v>
      </x:c>
      <x:c r="Y70" s="24" t="str">
        <x:v>[]</x:v>
      </x:c>
      <x:c r="Z70" t="str">
        <x:v>BOUND_EXACT</x:v>
      </x:c>
      <x:c r="AA70" t="str">
        <x:v>NO_GOVERNED_CONTRACT__TABLE_ONLY</x:v>
      </x:c>
    </x:row>
    <x:row r="71">
      <x:c r="A71" s="24" t="str">
        <x:v>VIS-REMITTANCE-MACRO</x:v>
      </x:c>
      <x:c r="B71" s="24" t="str">
        <x:v>VISUAL</x:v>
      </x:c>
      <x:c r="C71" s="24" t="str">
        <x:v>/remittances/</x:v>
      </x:c>
      <x:c r="D71" s="24" t="str">
        <x:v>Remittances — IMF-reported history, estimate and projections</x:v>
      </x:c>
      <x:c r="E71" s="28" t="str">
        <x:v>التحويلات: القيم التاريخية الواردة في تقارير صندوق النقد الدولي والتقدير والتوقعات</x:v>
      </x:c>
      <x:c r="F71"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are different vintages, so the two parts are not joined into one continuous series. The series covers the IMF's analytical scope for areas under the internationally recognized government, not the whole of Yemen. Estimates and projections are not observations, and the series is not a measure of informal hawala volume.</x:v>
      </x:c>
      <x:c r="G71"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ملايين دولار في 2030. ولأن الوثيقتين نسختان مختلفتان، لا يُوصل الجزءان في سلسلة واحدة متصلة. وتغطي السلسلة النطاق التحليلي للصندوق الخاص بالمناطق الخاضعة للحكومة المعترف بها دوليًا، لا اليمن كله. والتقديرات والتوقعات ليست مشاهدات فعلية، ولا تقيس السلسلة حجم الحوالة غير الرسمية.</x:v>
      </x:c>
      <x:c r="H71" s="24" t="str">
        <x:v>Annual external-sector remittances, in US$ million, in the IMF series for 2018–2030, with each year labelled as reported history (2018–2024), estimate (2025) or projection (2026–2030).</x:v>
      </x:c>
      <x:c r="I71" s="28" t="str">
        <x:v>التحويلات السنوية في الحساب الخارجي بملايين الدولارات الأمريكية في سلسلة صندوق النقد الدولي للفترة 2018–2030، مع وسم كل سنة بوصفها قيمة تاريخية (2018–2024) أو تقديرًا (2025) أو توقعًا (2026–2030).</x:v>
      </x:c>
      <x:c r="J71" s="24" t="str">
        <x:v>2018–2030</x:v>
      </x:c>
      <x:c r="K71" s="28" t="str">
        <x:v>2018–2030</x:v>
      </x:c>
      <x:c r="L71" s="24" t="str">
        <x:v>IMF external-sector remittance series on the IMF’s analytical scope for areas under the internationally recognized government; evidence state and source document by year</x:v>
      </x:c>
      <x:c r="M71" s="28" t="str">
        <x:v>سلسلة صندوق النقد الدولي للتحويلات في القطاع الخارجي ضمن النطاق التحليلي للصندوق الخاص بمناطق الحكومة المعترف بها دوليًا، مع نوع الدليل لكل سنة ووثيقة مصدرها.</x:v>
      </x:c>
      <x:c r="N71" s="24" t="str">
        <x:v>Values as published by the IMF: 2018–2024 in the 2025 Article IV staff report, based on staff calculations (Table 4, external sector), and 2025–2030 in a later supplement to the same consultation (Supplementary Table 2).</x:v>
      </x:c>
      <x:c r="O71"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1"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1" s="28" t="str">
        <x:v>التقديرات والتوقعات ليست مشاهدات فعلية، ومراجعة التوقع ليست تغيرًا اقتصاديًا. ولا تشكّل وثيقتا الصندوق سلسلة واحدة متصلة. ولا تقيس السلسلة حجم الحوالة غير الرسمية، ولا يمثل مستواها، الذي يغطي المناطق الخاضعة للحكومة المعترف بها دوليًا، رقمًا لليمن كله.</x:v>
      </x:c>
      <x:c r="R71"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1"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SRC-IMF-AIV-2025-STAFF-001; SRC-IMF-AIV-2025-SUPP-001</x:v>
      </x:c>
      <x:c r="Y71" s="24" t="str">
        <x:v>[]</x:v>
      </x:c>
      <x:c r="Z71" t="str">
        <x:v>BOUND_EXACT</x:v>
      </x:c>
    </x:row>
    <x:row r="72">
      <x:c r="A72" s="24" t="str">
        <x:v>VIS-REMITTANCE-COST</x:v>
      </x:c>
      <x:c r="B72" s="24" t="str">
        <x:v>VISUAL</x:v>
      </x:c>
      <x:c r="C72" s="24" t="str">
        <x:v>/remittances/</x:v>
      </x:c>
      <x:c r="D72" s="24" t="str">
        <x:v>Quoted cost of sending US$200 and US$500 to Yemen from Saudi Arabia and the UAE, 2025 Q3</x:v>
      </x:c>
      <x:c r="E72" s="28" t="str">
        <x:v>التكلفة المعلنة لإرسال 200 و500 دولار أمريكي إلى اليمن من السعودية والإمارات، الربع الثالث من 2025</x:v>
      </x:c>
      <x:c r="F72"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2" s="28" t="str">
        <x:v>في الربع الثالث من 2025، بلغ متوسط التكلفة المعلنة لإرسال 200 دولار من السعودية إلى اليمن 2.70% من المبلغ المرسل، و1.26% لإرسال 500 دولار؛ وبلغ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2" s="24" t="str">
        <x:v>The total cost of sending US$200 or US$500 from Saudi Arabia or the United Arab Emirates to Yemen, as a percentage of the amount sent, averaged over quotes for formal products in 2025 Q3.</x:v>
      </x:c>
      <x:c r="I72"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2" s="24" t="str">
        <x:v>2025 Q3</x:v>
      </x:c>
      <x:c r="K72" s="28" t="str">
        <x:v>الربع الثالث من 2025</x:v>
      </x:c>
      <x:c r="L72" s="24" t="str">
        <x:v>Formal remittance products listed by the World Bank Remittance Prices Worldwide database for the Saudi Arabia–Yemen and United Arab Emirates–Yemen corridors, by send amount, 2025 Q3</x:v>
      </x:c>
      <x:c r="M72"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2"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x:v>
      </x:c>
      <x:c r="O72"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x:v>
      </x:c>
      <x:c r="P72"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the number of providers and quotes behind it is not held in the evidence base.</x:v>
      </x:c>
      <x:c r="Q72"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ولا تتضمن قاعدة الأدلة عدد مقدمي الخدمة وعروض الأسعار وراءه.</x:v>
      </x:c>
      <x:c r="R72" s="24" t="str">
        <x:v>The averages refer to the third quarter of 2025. As checked on 26 September 2026, both corridor pages still showed the third quarter of 2025 as the latest quarter.</x:v>
      </x:c>
      <x:c r="S72"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SRC-WB-RPW-SA-YEM-2025Q3-001; SRC-WB-RPW-UAE-YEM-2025Q3-001</x:v>
      </x:c>
      <x:c r="Y72" s="24" t="str">
        <x:v>[]</x:v>
      </x:c>
      <x:c r="Z72" t="str">
        <x:v>BOUND_EXACT</x:v>
      </x:c>
    </x:row>
    <x:row r="73">
      <x:c r="A73" s="24" t="str">
        <x:v>VIS-FIRM-CONSTRAINTS</x:v>
      </x:c>
      <x:c r="B73" s="24" t="str">
        <x:v>VISUAL</x:v>
      </x:c>
      <x:c r="C73" s="24" t="str">
        <x:v>/firms/</x:v>
      </x:c>
      <x:c r="D73" s="24" t="str">
        <x:v>Finance is not the only constraint firms report</x:v>
      </x:c>
      <x:c r="E73" s="28" t="str">
        <x:v>التمويل ليس القيد الوحيد أمام المنشآت</x:v>
      </x:c>
      <x:c r="F73" s="24" t="str">
        <x:v>Among formal firms in the 2022 custom survey of seven governorates, 50% named electricity as a business challenge, 46% fuel shortages, 32% transport or road blockades, 30% tax administration or tax rates, 27% political instability and 22% access to finance; 18% named siege and 17% practices of informal competitors. Firms could name more than one challenge, so the shares add up to more than 100%, and neither the number of firms answering nor the exact question wording is held in the evidence base. These results apply to the survey sample in seven governorates and are not a national ranking for all Yemeni firms.</x:v>
      </x:c>
      <x:c r="G73" s="28" t="str">
        <x:v>بين المنشآت الرسمية في المسح المخصص الذي شمل سبع محافظات عام 2022،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3" s="24" t="str">
        <x:v>The share of surveyed formal firms in seven governorates that named each item as a business challenge, 2022.</x:v>
      </x:c>
      <x:c r="I73" s="28" t="str">
        <x:v>نسبة المنشآت الرسمية المشمولة بالمسح في سبع محافظات التي ذكرت كل بند بوصفه تحديًا للأعمال، 2022.</x:v>
      </x:c>
      <x:c r="J73" s="24" t="str">
        <x:v>2022</x:v>
      </x:c>
      <x:c r="K73" s="28" t="str">
        <x:v>2022</x:v>
      </x:c>
      <x:c r="L73" s="24" t="str">
        <x:v>Formal enterprises in seven selected governorates covered by the 2022 custom survey</x:v>
      </x:c>
      <x:c r="M73" s="28" t="str">
        <x:v>المنشآت الرسمية في المحافظات السبع المختارة التي شملها المسح المخصص لعام 2022.</x:v>
      </x:c>
      <x:c r="N73" s="24" t="str">
        <x:v>A World Bank custom enterprise survey of formal firms in seven governorates (September 2022), reported in Yemen Financial Sector Diagnostics (2024). The shares are the source's own tabulation in Annex III, Figure 108 ('Challenges in Business Environment') and Table 8 ('List of Challenges to the Establishment'), p. 146. Firms could name more than one challenge.</x:v>
      </x:c>
      <x:c r="O73" s="28" t="str">
        <x:v>مسح مخصص للمنشآت الرسمية أجراه البنك الدولي في سبع محافظات (سبتمبر 2022)، ونُشرت نتائجه في «التشخيص المالي لليمن (2024)». والنسب كما بوّبها المصدر نفسه في الملحق الثالث: الشكل 108 («تحديات بيئة الأعمال») والجدول 8 («قائمة التحديات التي تواجه المنشأة»)، ص 146. وكان بإمكان المنشأة ذكر أكثر من تحدٍّ.</x:v>
      </x:c>
      <x:c r="P73" s="24" t="str">
        <x:v>The shares describe formal firms in a 2022 custom survey of seven governorates; they are not a national ranking of business constraints for all Yemeni firms. They follow the source's own item wording and are not comparable with the standard Enterprise Survey 'biggest obstacle' indicator. | Firms could name more than one challenge, so the shares add up to more than 100%. Neither the number of firms answering nor the exact question wording is held in the evidence base.</x:v>
      </x:c>
      <x:c r="Q73" s="28" t="str">
        <x:v>تصف النسب المنشآت الرسمية في مسح مخصص شمل سبع محافظات عام 2022، ولا تمثل ترتيبًا وطنيًا لقيود الأعمال لدى جميع منشآت اليمن. وهي تتبع صياغة البنود كما وردت في المصدر، ولا تُقارن بمؤشر «أكبر عائق» في مسوح المنشآت المعيارية للبنك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row>
    <x:row r="74">
      <x:c r="A74" s="24" t="str">
        <x:v>VIS-FIRM-FINANCE-PATH</x:v>
      </x:c>
      <x:c r="B74" s="24" t="str">
        <x:v>VISUAL</x:v>
      </x:c>
      <x:c r="C74" s="24" t="str">
        <x:v>/firms/</x:v>
      </x:c>
      <x:c r="D74" s="24" t="str">
        <x:v>Loan sources reported by 18 surveyed formal firms, 2022</x:v>
      </x:c>
      <x:c r="E74" s="28" t="str">
        <x:v>مصادر القروض كما أفادت بها 18 منشأة رسمية في المسح، 2022</x:v>
      </x:c>
      <x:c r="F7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4" s="24" t="str">
        <x:v>Counts of surveyed formal firms in seven governorates reporting a line of credit, and counts of loan sources named in valid responses, 2022.</x:v>
      </x:c>
      <x:c r="I74" s="28" t="str">
        <x:v>أعداد المنشآت الرسمية المشمولة بالمسح في سبع محافظات التي أفادت بامتلاك خط ائتمان، وأعداد مصادر القروض المذكورة في الاستجابات الصالحة، 2022.</x:v>
      </x:c>
      <x:c r="J74" s="24" t="str">
        <x:v>2022</x:v>
      </x:c>
      <x:c r="K74" s="28" t="str">
        <x:v>2022</x:v>
      </x:c>
      <x:c r="L74" s="24" t="str">
        <x:v>Formal firms in seven selected governorates: 328 surveyed; 31 report a line of credit; 18 valid loan-source responses</x:v>
      </x:c>
      <x:c r="M74" s="28" t="str">
        <x:v>منشآت رسمية في سبع محافظات مختارة: 328 منشأة في العينة؛ 31 أفادت بخط ائتمان؛ 18 استجابة صالحة لسؤال مصدر القرض.</x:v>
      </x:c>
      <x:c r="N74" s="24" t="str">
        <x:v>A World Bank custom enterprise survey of formal firms in seven governorates (September 2022),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4" s="28" t="str">
        <x:v>مسح مخصص للمنشآت الرسمية أجراه البنك الدولي في سبع محافظات (سبتمبر 2022)، ونُشرت نتائجه في «التشخيص المالي لليمن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4"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row>
    <x:row r="75">
      <x:c r="A75" s="24" t="str">
        <x:v>VIS-FIRM-FINANCE-SEVERITY</x:v>
      </x:c>
      <x:c r="B75" s="24" t="str">
        <x:v>VISUAL</x:v>
      </x:c>
      <x:c r="C75" s="24" t="str">
        <x:v>/firms/</x:v>
      </x:c>
      <x:c r="D75" s="24" t="str">
        <x:v>Finance obstacle severity among surveyed formal firms, excluding those that said they needed no loan, 2022</x:v>
      </x:c>
      <x:c r="E75" s="28" t="str">
        <x:v>شدة عائق التمويل لدى المنشآت الرسمية المشمولة بالمسح، باستثناء التي قالت إنها لا تحتاج إلى قرض، 2022</x:v>
      </x:c>
      <x:c r="F7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held in the evidence base. The calculation applies only to that filtered base; 91.84% is not the share of all Yemeni firms facing a major or moderate finance obstacle.</x:v>
      </x:c>
      <x:c r="G7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5" s="24" t="str">
        <x:v>The shares of formal firms rating access to finance as a major or a moderate obstacle, among firms in the survey report's finance-obstacle tabulation (firms that said they did not need a loan are excluded), seven governorates, 2022.</x:v>
      </x:c>
      <x:c r="I75"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5" s="24" t="str">
        <x:v>2022</x:v>
      </x:c>
      <x:c r="K75" s="28" t="str">
        <x:v>2022</x:v>
      </x:c>
      <x:c r="L75" s="24" t="str">
        <x:v>Formal firms in seven selected governorates in the survey report's finance-obstacle tabulation, which excludes firms that said they did not need a loan; the number of firms is not held in the evidence base</x:v>
      </x:c>
      <x:c r="M75"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5" s="24" t="str">
        <x:v>Two shares reported by the source for the 2022 World Bank custom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5" s="28" t="str">
        <x:v>نسبتان أوردهما المصدر لمسح المنشآت المخصص الذي أجراه البنك الدولي عام 2022 (سبتمبر 2022)، في «التشخيص المالي لليمن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5"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held in the evidence base. The survey covers formal firms in seven governorates and is not national.</x:v>
      </x:c>
      <x:c r="Q7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x:v>
      </x:c>
      <x:c r="R75" s="24" t="str">
        <x:v>The latest observation in this record refers to the 2022 survey (September 2022). It should not be read as describing a later period unless a newer comparable observation is published.</x:v>
      </x:c>
      <x:c r="S75" s="28" t="str">
        <x:v>تعود أحدث مشاهدة في هذا السجل إلى مسح 2022 (سبتمبر 2022)، ولا تُقرأ على أنها تصف فترة لاحقة ما لم تُنشر مشاهدة أحدث قابلة للمقارنة.</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SRC-WB-FSD-2024-001</x:v>
      </x:c>
      <x:c r="Y75" s="24" t="str">
        <x:v>[]</x:v>
      </x:c>
      <x:c r="Z75" t="str">
        <x:v>BOUND_EXACT</x:v>
      </x:c>
    </x:row>
    <x:row r="76">
      <x:c r="A76" s="24" t="str">
        <x:v>VIS-OECD-FCP-TIMELINE</x:v>
      </x:c>
      <x:c r="B76" s="24" t="str">
        <x:v>VISUAL</x:v>
      </x:c>
      <x:c r="C76" s="24" t="str">
        <x:v>/reforms/</x:v>
      </x:c>
      <x:c r="D76" s="24" t="str">
        <x:v>Consumer protection and financial capability: from framework to implementation</x:v>
      </x:c>
      <x:c r="E76" s="28" t="str">
        <x:v>حماية المستهلك والقدرة المالية: من الإطار إلى التنفيذ</x:v>
      </x:c>
      <x:c r="F76"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no evidence on implementation, complaint handling, enforcement or consumer outcomes is held; a framework or guidance document is not evidence that protection works in practice.</x:v>
      </x:c>
      <x:c r="G76"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والتنمية في الميدان الاقتصادي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6" s="24" t="str">
        <x:v>The stages of financial consumer protection in Yemen — framework, stated purpose, awareness activity, implementation, complaints and redress, enforcement and consumer outcomes — and the evidence held for each.</x:v>
      </x:c>
      <x:c r="I76"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6" s="24" t="str">
        <x:v>2021 to 2024; later stages have no evidence</x:v>
      </x:c>
      <x:c r="K76" s="28" t="str">
        <x:v>من 2021 إلى 2024؛ ولا تتوفر أدلة على المراحل اللاحقة</x:v>
      </x:c>
      <x:c r="L76" s="24" t="str">
        <x:v>Official instruments and guidance of the Central Bank of Yemen – Aden (CBY-Aden), with context attributed to the OECD</x:v>
      </x:c>
      <x:c r="M76" s="28" t="str">
        <x:v>التعليمات والإرشادات الرسمية للبنك المركزي اليمني – عدن، مع سياق منسوب إلى منظمة التعاون والتنمية في الميدان الاقتصادي (OECD)، وفصل الإطار عن التنفيذ والنتائج.</x:v>
      </x:c>
      <x:c r="N76" s="24" t="str">
        <x:v>Each stage is assessed from official sources of the Central Bank of Yemen – Aden (CBY-Aden) — the 2023 Instructions announcement and the 2024 awareness material and brochure — with OECD analysis used as context only; a stage with no observed evidence is recorded as open.</x:v>
      </x:c>
      <x:c r="O76" s="28" t="str">
        <x:v>تُقيَّم كل مرحلة من مصادر رسمية للبنك المركزي اليمني – عدن، هي إعلان تعليمات 2023 ومواد التوعية والكتيّب الصادرة في 2024، مع استخدام تحليل منظمة التعاون والتنمية في الميدان الاقتصادي سياقًا فقط؛ وتُسجَّل المرحلة التي لا تتوفر عنها أدلة مرصودة بوصفها مفتوحة.</x:v>
      </x:c>
      <x:c r="P76" s="24" t="str">
        <x:v>The existence of an instrument does not by itself establish a complaint path, implementation or effective protection, and OECD analysis or other secondary material does not raise the evidence to that level.</x:v>
      </x:c>
      <x:c r="Q76" s="28" t="str">
        <x:v>لا يثبت وجود التعليمات أو الأداة التنظيمية بذاته قيام مسار للشكاوى أو التنفيذ أو فعالية الحماية، ولا يرفع تحليل منظمة التعاون والتنمية في الميدان الاقتصادي أو أي مصدر ثانوي آخر مستوى الدليل إلى ذلك.</x:v>
      </x:c>
      <x:c r="R76" s="24" t="str">
        <x:v>The latest official source in this record dates from 23 March 2024, and the OECD analysis from 2026. No evidence on implementation, enforcement or consumer outcomes is held for any date.</x:v>
      </x:c>
      <x:c r="S76" s="28" t="str">
        <x:v>يعود أحدث مصدر رسمي في هذا السجل إلى 23 مارس 2024، ويعود تحليل منظمة التعاون والتنمية في الميدان الاقتصادي إلى 2026. ولا تتوفر أدلة على التنفيذ أو الإنفاذ أو النتائج للمستهلكين لأي تاريخ.</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SRC-CBY-FCP-INSTR-2023-001; SRC-CBY-FCP-AWARE-2024-001; SRC-CBY-FCP-BROCHURE-2024-001; SRC-OECD-YEM-RESILIENCE-001</x:v>
      </x:c>
      <x:c r="Y76" s="24" t="str">
        <x:v>[]</x:v>
      </x:c>
      <x:c r="Z76" t="str">
        <x:v>BOUND_EXACT</x:v>
      </x:c>
    </x:row>
    <x:row r="77">
      <x:c r="A77" s="24" t="str">
        <x:v>VIS-CAPITAL-CONTEXT</x:v>
      </x:c>
      <x:c r="B77" s="24" t="str">
        <x:v>VISUAL</x:v>
      </x:c>
      <x:c r="C77" s="24" t="str">
        <x:v>/reforms/</x:v>
      </x:c>
      <x:c r="D77" s="24" t="str">
        <x:v>Humanitarian, development and project finance: separate pathways</x:v>
      </x:c>
      <x:c r="E77" s="28" t="str">
        <x:v>التمويل الإنساني والتنموي وتمويل المشروعات: مسارات منفصلة</x:v>
      </x:c>
      <x:c r="F77"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7"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7" s="24" t="str">
        <x:v>This record sets out a distinction between finance pathways; it reports no funding amount.</x:v>
      </x:c>
      <x:c r="I77" s="28" t="str">
        <x:v>يحدد هذا السجل تمييزًا بين مسارات التمويل، ولا يورد أي مبلغ تمويلي.</x:v>
      </x:c>
      <x:c r="J77" s="24" t="str">
        <x:v>event-level / 2026 context</x:v>
      </x:c>
      <x:c r="K77" s="28" t="str">
        <x:v>على مستوى الحدث / سياق 2026</x:v>
      </x:c>
      <x:c r="L77" s="24" t="str">
        <x:v>source-defined funding/programme relationships</x:v>
      </x:c>
      <x:c r="M77" s="28" t="str">
        <x:v>علاقات التمويل والبرامج كما يحددها كل مصدر، مع فصل فئات التدفق وحالاته.</x:v>
      </x:c>
      <x:c r="N77" s="24" t="str">
        <x:v>Each pathway is described by its type of flow and the kind of evidence available for it; amounts in different funding states are not added together, and no amount is reported in this record.</x:v>
      </x:c>
      <x:c r="O77" s="28" t="str">
        <x:v>يوصف كل مسار بنوع التدفق ونوع الأدلة المتاحة له؛ ولا تُجمع مبالغ تمويل في مراحل مختلفة، ولا يورد هذا السجل أي مبلغ.</x:v>
      </x:c>
      <x:c r="P77" s="24" t="str">
        <x:v>Announced or recorded funding is not downstream lending, reach, use or an inclusion outcome. | The humanitarian funding flows linked to this record do not describe development, project or financial-institution finance.</x:v>
      </x:c>
      <x:c r="Q77" s="28" t="str">
        <x:v>التمويل المعلن أو المسجل لا يساوي إقراضًا لاحقًا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7" s="24" t="str">
        <x:v>This record sets out a distinction and reports no observation, so it has no observation date.</x:v>
      </x:c>
      <x:c r="S77" s="28" t="str">
        <x:v>يحدد هذا السجل تمييزًا ولا يورد مشاهدة، فليس له تاريخ رصد.</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record is drawn from the source(s) listed on this page. Open a source record to reach the original document, and check that the definition, period, population and geography match what is stated here.</x:v>
      </x:c>
      <x:c r="W7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7" s="24" t="str">
        <x:v>SRC-OCHA-FTS-YEM-2026-001</x:v>
      </x:c>
      <x:c r="Y77" s="24" t="str">
        <x:v>[]</x:v>
      </x:c>
      <x:c r="Z77" t="str">
        <x:v>BOUND_EXACT</x:v>
      </x:c>
    </x:row>
    <x:row r="78">
      <x:c r="A78" s="24" t="str">
        <x:v>VIS-EVIDENCE-GAPS</x:v>
      </x:c>
      <x:c r="B78" s="24" t="str">
        <x:v>VISUAL</x:v>
      </x:c>
      <x:c r="C78" s="24" t="str">
        <x:v>/measurement/</x:v>
      </x:c>
      <x:c r="D78" s="24" t="str">
        <x:v>What we still do not know</x:v>
      </x:c>
      <x:c r="E78" s="28" t="str">
        <x:v>ما الذي ما زلنا لا نعرفه؟</x:v>
      </x:c>
      <x:c r="F78" s="24" t="str">
        <x:v>The evidence gaps recorded in this resource as of the content version dated 26 September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8" s="28" t="str">
        <x:v>فجوات الأدلة المسجلة في هذا المورد وفق نسخة المحتوى المؤرخة في 26 سبتمبر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H78" s="24" t="str">
        <x:v>This record describes the types of evidence gap recorded in this resource; it reports no value.</x:v>
      </x:c>
      <x:c r="I78" s="28" t="str">
        <x:v>يصف هذا السجل أنواع فجوات الأدلة المسجلة في هذا المورد، ولا يورد أي قيمة.</x:v>
      </x:c>
      <x:c r="J78" s="24" t="str">
        <x:v>As of the content version dated 26 September 2026</x:v>
      </x:c>
      <x:c r="K78" s="28" t="str">
        <x:v>وفق نسخة المحتوى المؤرخة في 26 سبتمبر 2026</x:v>
      </x:c>
      <x:c r="L78" s="24" t="str">
        <x:v>Documented gaps that block an answer: missing periods, unavailable sources, missing calculation bases and primary files not yet available</x:v>
      </x:c>
      <x:c r="M78" s="28" t="str">
        <x:v>الفجوات الموثقة التي تحول دون الإجابة: فترات مفقودة، ومصادر غير متاحة، وقواعد احتساب غير موثقة، وملفات أصلية لم تتح بعد.</x:v>
      </x:c>
      <x:c r="N78" s="24" t="str">
        <x:v>Each gap is recorded with an explicit type; a blank or unknown value is recorded as missing, not as zero.</x:v>
      </x:c>
      <x:c r="O78" s="28" t="str">
        <x:v>تُسجَّل كل فجوة بنوع صريح، ويُسجَّل الفراغ أو المجهول بوصفه مفقودًا لا صفرًا.</x:v>
      </x:c>
      <x:c r="P78" s="24" t="str">
        <x:v>A gap is not zero, and it is not evidence of absence or failure.</x:v>
      </x:c>
      <x:c r="Q78" s="28" t="str">
        <x:v>الفجوة ليست صفرًا وليست دليلًا على الغياب أو الفشل.</x:v>
      </x:c>
      <x:c r="R78" s="24" t="str">
        <x:v>The gaps are those recorded as of the content version dated 26 September 2026. A gap closes when new evidence fills it, and the list changes accordingly.</x:v>
      </x:c>
      <x:c r="S78" s="28" t="str">
        <x:v>الفجوات هي المسجلة وفق نسخة المحتوى المؤرخة في 26 سبتمبر 2026. وتُغلق الفجوة عندما يسدّها دليل جديد، وتتغير القائمة تبعًا لذلك.</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view summarises other evidence records, which are not yet linked individually here. Before reusing a figure, open the evidence record that reports it and check that record against its own source.</x:v>
      </x:c>
      <x:c r="W78" s="28" t="str">
        <x:v>يلخص هذا العرض سجلات أدلة أخرى لم تُربط بعدُ هنا كلٌّ على حدة. وقبل إعادة استخدام أي رقم، افتح سجل الدليل الذي يورده وتحقق منه مقابل مصدره الخاص.</x:v>
      </x:c>
      <x:c r="X78" s="24"/>
      <x:c r="Y78" s="24" t="str">
        <x:v>[]</x:v>
      </x:c>
      <x:c r="Z78" t="str">
        <x:v>COMPOSITE_OF_OBJECTS</x:v>
      </x:c>
    </x:row>
    <x:row r="79">
      <x:c r="A79" s="24" t="str">
        <x:v>VIS-PAYMENT-RAILS</x:v>
      </x:c>
      <x:c r="B79" s="24" t="str">
        <x:v>VISUAL</x:v>
      </x:c>
      <x:c r="C79" s="24" t="str">
        <x:v>/reforms/</x:v>
      </x:c>
      <x:c r="D79" s="24" t="str">
        <x:v>How the payment architecture is changing</x:v>
      </x:c>
      <x:c r="E79" s="28" t="str">
        <x:v>كيف تتغير بنية المدفوعات؟</x:v>
      </x:c>
      <x:c r="F79"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and the mobile e-money amendment (9 July 2025). Project: the World Bank-financed Financial Market Infrastructure and Inclusion Project (FMIIP), approved on 17 June 2025 and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the source owner's own statement.</x:v>
      </x:c>
      <x:c r="G79"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وتعديل تعليمات النقود الإلكترونية عبر الهاتف المحمول (9 يوليو 2025). المشروع: مشروع البنية التحتية للأسواق المالية والشمول المالي في اليمن (FMIIP) الممول من البنك الدولي، الذي أُقر في 17 يونيو 2025 وبدأ في يوليو 2025، ويتضمن مكونين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الجهة المصدرة نفسها.</x:v>
      </x:c>
      <x:c r="H79" s="24" t="str">
        <x:v>Dated payment-reform steps — rules, project components, decisions, integration work and new institutions — recorded between June 2024 and August 2026, each at the furthest stage its evidence supports.</x:v>
      </x:c>
      <x:c r="I79"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9" s="24" t="str">
        <x:v>2024–2026</x:v>
      </x:c>
      <x:c r="K79" s="28" t="str">
        <x:v>2024–2026</x:v>
      </x:c>
      <x:c r="L79" s="24" t="str">
        <x:v>Payment-reform rules, projects, decisions and institutions documented by the Central Bank of Yemen – Aden (CBY-Aden), the World Bank and the United Nations Development Programme (UNDP)</x:v>
      </x:c>
      <x:c r="M79"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9"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9"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9"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Q79"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R79"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9"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record is drawn from the source(s) listed on this page. Open a source record to reach the original document, and check that the definition, period, population and geography match what is stated here.</x:v>
      </x:c>
      <x:c r="W7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9" s="24" t="str">
        <x:v>SRC-UNDP-FMIIP-001; SRC-WB-FMIIP-P180708; SRC-WB-FMIIP-ISR2-2026-001; SRC-CBY-EMONEY-AMD-2025-001; SRC-CBY-DIGITAL-EXPO-2026-001; SRC-CBY-PAY-BOARD-2026-001; SRC-CBY-BANK-NETWORK-MTG-2026-001; SRC-CBY-UNIFIED-NET-2026-001; SRC-CBY-YPCC-FOUND-2026-001; SRC-CBY-YPCC-BOARD-2026-001; SRC-CBY-DEC-23-2024-001</x:v>
      </x:c>
      <x:c r="Y79" s="24" t="str">
        <x:v>[]</x:v>
      </x:c>
      <x:c r="Z79" t="str">
        <x:v>BOUND_EXACT</x:v>
      </x:c>
    </x:row>
    <x:row r="80">
      <x:c r="A80" s="24" t="str">
        <x:v>VIS-EVIDENCE-CLASS-LADDER</x:v>
      </x:c>
      <x:c r="B80" s="24" t="str">
        <x:v>VISUAL</x:v>
      </x:c>
      <x:c r="C80" s="24" t="str">
        <x:v>/evidence/</x:v>
      </x:c>
      <x:c r="D80" s="24" t="str">
        <x:v>What kind of evidence is this?</x:v>
      </x:c>
      <x:c r="E80" s="28" t="str">
        <x:v>ما نوع هذا الدليل؟</x:v>
      </x:c>
      <x:c r="F80"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80"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80" s="24" t="str">
        <x:v>This record sets out the types of evidence used in this resource and what each type can support; it reports no value.</x:v>
      </x:c>
      <x:c r="I80" s="28" t="str">
        <x:v>يحدد هذا السجل أنواع الأدلة المستخدمة في هذا المورد وما يمكن لكل نوع أن يدعمه، ولا يورد أي قيمة.</x:v>
      </x:c>
      <x:c r="J80" s="24" t="str">
        <x:v>Content version dated 26 September 2026</x:v>
      </x:c>
      <x:c r="K80" s="28" t="str">
        <x:v>نسخة المحتوى المؤرخة في 26 سبتمبر 2026</x:v>
      </x:c>
      <x:c r="L80" s="24" t="str">
        <x:v>Evidence records published in this resource only</x:v>
      </x:c>
      <x:c r="M80" s="28" t="str">
        <x:v>سجلات الأدلة الموثقة فقط، مصنفة بحسب طبيعتها وما تسمح بإثباته.</x:v>
      </x:c>
      <x:c r="N80" s="24" t="str">
        <x:v>Each record is assigned to one evidence type according to how its source produced the evidence; the types are presented as separate categories, not ranked, and no numeric score is assigned.</x:v>
      </x:c>
      <x:c r="O80" s="28" t="str">
        <x:v>يُصنَّف كل سجل في نوع دليل واحد بحسب الطريقة التي أنتج بها مصدره الدليل؛ وتُعرض الأنواع فئاتٍ منفصلة لا ترتيب تفاضليًا بينها، ولا تُمنح أي درجة رقمية.</x:v>
      </x:c>
      <x:c r="P80"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80"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80" s="24" t="str">
        <x:v>This record sets out evidence types and has no observation date; the assignment of records to types reflects the content version dated 26 September 2026.</x:v>
      </x:c>
      <x:c r="S80" s="28" t="str">
        <x:v>يحدد هذا السجل أنواع الأدلة وليس له تاريخ رصد؛ ويعكس تصنيف السجلات في هذه الأنواع نسخة المحتوى المؤرخة في 26 سبتمبر 2026.</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view summarises other evidence records, which are not yet linked individually here. Before reusing a figure, open the evidence record that reports it and check that record against its own source.</x:v>
      </x:c>
      <x:c r="W80" s="28" t="str">
        <x:v>يلخص هذا العرض سجلات أدلة أخرى لم تُربط بعدُ هنا كلٌّ على حدة. وقبل إعادة استخدام أي رقم، افتح سجل الدليل الذي يورده وتحقق منه مقابل مصدره الخاص.</x:v>
      </x:c>
      <x:c r="X80" s="24"/>
      <x:c r="Y80" s="24" t="str">
        <x:v>[]</x:v>
      </x:c>
      <x:c r="Z80" t="str">
        <x:v>COMPOSITE_OF_OBJECTS</x:v>
      </x:c>
    </x:row>
    <x:row r="81">
      <x:c r="A81" s="24" t="str">
        <x:v>VIS-FL-EVIDENCE-LADDER</x:v>
      </x:c>
      <x:c r="B81" s="24" t="str">
        <x:v>VISUAL</x:v>
      </x:c>
      <x:c r="C81" s="24" t="str">
        <x:v>/people/</x:v>
      </x:c>
      <x:c r="D81" s="24" t="str">
        <x:v>Financial literacy — activity is not outcome</x:v>
      </x:c>
      <x:c r="E81" s="28" t="str">
        <x:v>الثقافة المالية: النشاط لا يساوي نتيجة</x:v>
      </x:c>
      <x:c r="F8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that level remains open; taking part in an activity does not by itself establish improved capability or impact.</x:v>
      </x:c>
      <x:c r="G8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يبقى هذا المستوى مفتوحًا؛ فالمشاركة في نشاط لا تثبت بذاتها تحسن القدرة أو تحقق أثر.</x:v>
      </x:c>
      <x:c r="H81"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no evidence is held.</x:v>
      </x:c>
      <x:c r="I81"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1" s="24" t="str">
        <x:v>2023–2025 activity + latest available capability reference</x:v>
      </x:c>
      <x:c r="K81" s="28" t="str">
        <x:v>أنشطة 2023–2025 مع أحدث مرجع معتمد للقدرات المالية</x:v>
      </x:c>
      <x:c r="L81" s="24" t="str">
        <x:v>Three kinds of evidence: programme activity and its documented outputs or completion, population capability measured by survey, and programme outcomes established by evaluation.</x:v>
      </x:c>
      <x:c r="M81" s="28" t="str">
        <x:v>نشاط البرنامج ومخرجاته أو إكماله، مقابل قدرات السكان المقاسة والنتائج المقيمة؛ وهي مستويات أدلة مختلفة.</x:v>
      </x:c>
      <x:c r="N81"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1"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نتائج القدرات المالية على مستوى السكان؛ ولا يتوفر تقييم لنتائج البرنامج، لذلك يبقى هذا المستوى مفتوحًا.</x:v>
      </x:c>
      <x:c r="P81" s="24" t="str">
        <x:v>It is not established that the OECD/INFE capability levels, or any change in them, result from Global Money Week. Activities, events, participating bodies and workshops are outputs; they do not establish improved financial capability or a causal impact.</x:v>
      </x:c>
      <x:c r="Q8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1"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1" s="28" t="str">
        <x:v>تمتد سجلات الأنشطة من مارس 2023 إلى مارس 2025، وتأتي نتائج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SRC-CBY-GMW-2023-001; SRC-CBY-GMW-2024-001; SRC-CBY-GMW-2024-CLOSE-001; SRC-CBY-GMW-2025-001; SRC-OECD-INFE-2023</x:v>
      </x:c>
      <x:c r="Y81" s="24" t="str">
        <x:v>[]</x:v>
      </x:c>
      <x:c r="Z81" t="str">
        <x:v>BOUND_EXACT</x:v>
      </x:c>
    </x:row>
    <x:row r="82">
      <x:c r="A82" s="24" t="str">
        <x:v>VIS-MFI-RUPTURE-LENS</x:v>
      </x:c>
      <x:c r="B82" s="24" t="str">
        <x:v>VISUAL</x:v>
      </x:c>
      <x:c r="C82" s="24" t="str">
        <x:v>/finance/</x:v>
      </x:c>
      <x:c r="D82" s="24" t="str">
        <x:v>2015: a sharp fall in active borrowers within the year</x:v>
      </x:c>
      <x:c r="E82" s="28" t="str">
        <x:v>2015: تراجع حاد في أعداد المقترضين النشطين خلال العام</x:v>
      </x:c>
      <x:c r="F82"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2"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والمحفظة في كل تاريخ؛ أما محفظة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2" s="24" t="str">
        <x:v>Active borrowers, savers and outstanding loan portfolio (nominal Yemeni rials) reported for SFD-supported microfinance programmes at 31 March, 30 September and 31 December 2015.</x:v>
      </x:c>
      <x:c r="I82"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2" s="24" t="str">
        <x:v>2015</x:v>
      </x:c>
      <x:c r="K82" s="28" t="str">
        <x:v>2015</x:v>
      </x:c>
      <x:c r="L82" s="24" t="str">
        <x:v>Microfinance observations for March, September and December 2015 as each source and reporting population defines them, with the conflicting year-end portfolio values kept visible.</x:v>
      </x:c>
      <x:c r="M82" s="28" t="str">
        <x:v>مشاهدات التمويل الأصغر في مارس وسبتمبر وديسمبر 2015 كما يحددها كل مصدر ومجتمع إبلاغ، مع إبقاء تعارض محفظة نهاية السنة ظاهرًا.</x:v>
      </x:c>
      <x:c r="N82"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2" s="28" t="str">
        <x:v>أرقام من ثلاثة جداول نشرها الصندوق الاجتماعي للتنمية بتاريخ 31 مارس و30 سبتمبر و31 ديسمبر 2015، ومسجلة بتواريخها الدقيقة؛ وتُحفظ قيمتا محفظة نهاية العام الواردتان في مصدر ديسمبر، فلا يؤخذ متوسطهما ولا تُختزلان في قيمة واحدة.</x:v>
      </x:c>
      <x:c r="P82" s="24" t="str">
        <x:v>It does not estimate a cause of the fall or its size, gives no values between the three dates, and does not establish which of the two year-end portfolio values, table or narrative, is correct.</x:v>
      </x:c>
      <x:c r="Q82" s="28" t="str">
        <x:v>لا يقدّر هذا الدليل سببًا للتراجع ولا حجم أثره، ولا يقدم قيمًا بين التواريخ الثلاثة، ولا يثبت أيّ قيمتي محفظة نهاية العام، قيمة الجدول أو القيمة السردية، هي الصحيحة.</x:v>
      </x:c>
      <x:c r="R82" s="24" t="str">
        <x:v>The latest observation in this record is dated 31 December 2015. It describes 2015 only and should not be read as describing a later period.</x:v>
      </x:c>
      <x:c r="S82" s="28" t="str">
        <x:v>أحدث مشاهدة في هذا السجل مؤرخة في 31 ديسمبر 2015، وهي تصف عام 2015 وحده ولا تُقرأ على أنها تصف فترة لاحقة.</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SRC-SFD-Q1-2015-001; SRC-SFD-Q3-2015-001; SRC-SFD-Q4-2015-001</x:v>
      </x:c>
      <x:c r="Y82" s="24" t="str">
        <x:v>[]</x:v>
      </x:c>
      <x:c r="Z82" t="str">
        <x:v>BOUND_EXACT</x:v>
      </x:c>
      <x:c r="AA82" t="str">
        <x:v>NO_GOVERNED_CONTRACT__TABLE_ONLY</x:v>
      </x:c>
    </x:row>
    <x:row r="83">
      <x:c r="A83" s="24" t="str">
        <x:v>VIS-TARGET-RESULT-STATE</x:v>
      </x:c>
      <x:c r="B83" s="24" t="str">
        <x:v>VISUAL</x:v>
      </x:c>
      <x:c r="C83" s="24" t="str">
        <x:v>/reforms/</x:v>
      </x:c>
      <x:c r="D83" s="24" t="str">
        <x:v>FMIIP financial access points: January 2025 baseline and June 2030 target</x:v>
      </x:c>
      <x:c r="E83" s="28" t="str">
        <x:v>نقاط الوصول المالي في مشروع FMIIP: خط أساس يناير 2025 ومستهدف يونيو 2030</x:v>
      </x:c>
      <x:c r="F83" s="24" t="str">
        <x:v>The results framework of the Financial Market Infrastructure and Inclusion Project (FMIIP) records 817 financial access points as its January 2025 baseline and 1,021 as its June 2030 target, under the project's own definition. No observed result is held in the evidence base, so no progress can be shown, and the project count is not comparable with administrative counts of ATMs, POS terminals or agents.</x:v>
      </x:c>
      <x:c r="G83"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يقارَن عدد المشروع بالأعداد الإدارية لأجهزة الصراف الآلي أو نقاط البيع أو الوكلاء.</x:v>
      </x:c>
      <x:c r="H83" s="24" t="str">
        <x:v>The number of financial access points, as defined by the Financial Market Infrastructure and Inclusion Project (FMIIP), at its January 2025 baseline and its June 2030 target; no result against the target is held.</x:v>
      </x:c>
      <x:c r="I83"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3" s="24" t="str">
        <x:v>Baseline January 2025; target June 2030; no result held</x:v>
      </x:c>
      <x:c r="K83" s="28" t="str">
        <x:v>خط الأساس يناير 2025؛ المستهدف يونيو 2030؛ لا نتيجة متاحة</x:v>
      </x:c>
      <x:c r="L83" s="24" t="str">
        <x:v>Financial access points as defined in the results framework of the World Bank-financed Financial Market Infrastructure and Inclusion Project (FMIIP, P180708)</x:v>
      </x:c>
      <x:c r="M83" s="28" t="str">
        <x:v>نقاط الوصول المالي وفق تعريف إطار نتائج مشروع البنية التحتية للأسواق المالية والشمول المالي في اليمن (FMIIP، P180708) الممول من البنك الدولي</x:v>
      </x:c>
      <x:c r="N83" s="24" t="str">
        <x:v>Baseline and target values as recorded in the results framework of the World Bank project record for the Financial Market Infrastructure and Inclusion Project (FMIIP, P180708). No observed result is held, so no comparison with the target is made.</x:v>
      </x:c>
      <x:c r="O83"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3" s="24" t="str">
        <x:v>A target is not an observation or an achievement. No percentage of the target can be calculated where definitions differ, and no observed result is held. Adding different types of access point does not give a valid total without a documented classification and deduplication rule. The June 2030 target of 1,021 access points has meaning only against the January 2025 baseline of 817 under the same project definition.</x:v>
      </x:c>
      <x:c r="Q83"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3" s="24" t="str">
        <x:v>The baseline refers to January 2025 and the target to June 2030; no observed result is held for any later date.</x:v>
      </x:c>
      <x:c r="S83" s="28" t="str">
        <x:v>يعود خط الأساس إلى يناير 2025 والمستهدف إلى يونيو 2030، ولا تتوفر نتيجة مرصودة لأي تاريخ لاحق.</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SRC-WB-FMIIP-P180708</x:v>
      </x:c>
      <x:c r="Y83" s="24" t="str">
        <x:v>[]</x:v>
      </x:c>
      <x:c r="Z83" t="str">
        <x:v>BOUND_EXACT</x:v>
      </x:c>
    </x:row>
    <x:row r="84">
      <x:c r="A84" s="24" t="str">
        <x:v>CLM-040</x:v>
      </x:c>
      <x:c r="B84" s="24" t="str">
        <x:v>CLAIM</x:v>
      </x:c>
      <x:c r="C84" s="24" t="str">
        <x:v>/remittances/</x:v>
      </x:c>
      <x:c r="D84" s="24" t="str">
        <x:v>The 2025 external-sector statistics mission produced a 2014–2024 history</x:v>
      </x:c>
      <x:c r="E84" s="28" t="str">
        <x:v>بعثة إحصاءات القطاع الخارجي في 2025 أنتجت تاريخًا للفترة 2014–2024</x:v>
      </x:c>
      <x:c r="F84" s="24" t="str">
        <x:v>IMF's D4D-II record states that the July 2025 Yemen external-sector statistics mission produced BOP and IIP statistics for 2014–2024. This verifies a historical reconstruction/production event behind the resumed evidence, while the exact publication crosswalk remains open.</x:v>
      </x:c>
      <x:c r="G84"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حدوث إعادة بناء/إنتاج تاريخي للبيانات، بينما تظل المطابقة الرقمية الدقيقة مع المنشورات المختلفة مفتوحة.</x:v>
      </x:c>
      <x:c r="H84" s="24" t="str">
        <x:v>A documented statistical reconstruction exercise that produced a revised historical external-sector series.</x:v>
      </x:c>
      <x:c r="I84" s="28" t="str">
        <x:v>عملية إعادة بناء إحصائية موثقة نتج عنها سجل تاريخي منقح للقطاع الخارجي.</x:v>
      </x:c>
      <x:c r="J84" s="24" t="str">
        <x:v>2014–2025 reconstruction / 2025–26 publication cycle</x:v>
      </x:c>
      <x:c r="K84" s="28" t="str">
        <x:v>إعادة بناء 2014–2025 / دورة النشر 2025–2026</x:v>
      </x:c>
      <x:c r="L84" s="24" t="str">
        <x:v>The IMF's analytical framework for external-sector statistics for areas under the internationally recognized government; component scopes and source methods vary</x:v>
      </x:c>
      <x:c r="M84" s="28" t="str">
        <x:v>الإطار التحليلي لإحصاءات القطاع الخارجي الخاص بمناطق الحكومة المعترف بها دوليًا؛ وتختلف نطاقات المكونات وطرق مصادرها.</x:v>
      </x:c>
      <x:c r="N84" s="24" t="str">
        <x:v>IMF documents: a D4D-II capacity-development progress report and the statistical annex of the IMF 2025 Article IV consultation.</x:v>
      </x:c>
      <x:c r="O84" s="28" t="str">
        <x:v>وثائق صادرة عن صندوق النقد الدولي: تقرير مرحلي لبرنامج D4D-II لتنمية القدرات، والملحق الإحصائي لمشاورات المادة الرابعة لعام 2025.</x:v>
      </x:c>
      <x:c r="P84"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4"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4"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4"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SRC-IMF-D4D-YEM-ESS-2025; EP-IMF-CBY-REMIT-METHOD-K04</x:v>
      </x:c>
      <x:c r="Y84" s="24" t="str">
        <x:v>[]</x:v>
      </x:c>
      <x:c r="Z84" t="str">
        <x:v>BOUND_EXACT</x:v>
      </x:c>
    </x:row>
    <x:row r="85">
      <x:c r="A85" s="24" t="str">
        <x:v>CLM-041</x:v>
      </x:c>
      <x:c r="B85" s="24" t="str">
        <x:v>CLAIM</x:v>
      </x:c>
      <x:c r="C85" s="24" t="str">
        <x:v>/remittances/ | /evidence/compare/</x:v>
      </x:c>
      <x:c r="D85" s="24" t="str">
        <x:v>The tested public CBY and IMF BOP components do not support a single conversion scalar</x:v>
      </x:c>
      <x:c r="E85" s="28" t="str">
        <x:v>لا تدعم مكونات ميزان المدفوعات العامة التي اختبرناها معامل تحويل واحدًا بين بيانات البنك المركزي وصندوق النقد</x:v>
      </x:c>
      <x:c r="F85"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5"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التحويلات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5" s="24" t="str">
        <x:v>Ratios between CBY-Aden and IMF values for each tested balance-of-payments component over 2021–2024, compared to see whether one conversion factor fits all components.</x:v>
      </x:c>
      <x:c r="I85"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5" s="24" t="str">
        <x:v>Overlapping reference years 2021–2024 in the Central Bank of Yemen – Aden (CBY-Aden) Annual Report 2025 and the IMF 2025 Article IV consultation</x:v>
      </x:c>
      <x:c r="K85" s="28" t="str">
        <x:v>السنوات المرجعية المتداخلة 2021–2024 في التقرير السنوي 2025 للبنك المركزي اليمني – عدن وفي مشاورات المادة الرابعة لعام 2025 لصندوق النقد الدولي</x:v>
      </x:c>
      <x:c r="L85" s="24" t="str">
        <x:v>Only the public CBY and IMF balance-of-payments components actually tested; each component retains its source definition, geography and transformation.</x:v>
      </x:c>
      <x:c r="M85" s="28" t="str">
        <x:v>المكونات العامة في ميزان المدفوعات لدى البنك المركزي وصندوق النقد التي خضعت للاختبار فعليًا فقط، مع الاحتفاظ بتعريف كل مكون وجغرافيته وتحويلاته الخاصة.</x:v>
      </x:c>
      <x:c r="N85"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5"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5"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5" s="28" t="str">
        <x:v>لا تنطبق النسبة الثابتة البالغة 1.838 بين سلسلتي التحويلات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العامة التي اختُبرت.</x:v>
      </x:c>
      <x:c r="R85"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5"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CON-046</x:v>
      </x:c>
      <x:c r="Y85" s="24" t="str">
        <x:v>[]</x:v>
      </x:c>
      <x:c r="Z85" t="str">
        <x:v>BOUND_EXACT</x:v>
      </x:c>
    </x:row>
    <x:row r="86">
      <x:c r="A86" s="24" t="str">
        <x:v>CLM-042</x:v>
      </x:c>
      <x:c r="B86" s="24" t="str">
        <x:v>CLAIM</x:v>
      </x:c>
      <x:c r="C86" s="24" t="str">
        <x:v>/remittances/ | /methodology/</x:v>
      </x:c>
      <x:c r="D86" s="24" t="str">
        <x:v>A stable remittance ratio exists; its meaning remains unknown</x:v>
      </x:c>
      <x:c r="E86" s="28" t="str">
        <x:v>توجد نسبة مستقرة بين سلسلتي التحويلات، لكن معناها ما يزال غير محسوم</x:v>
      </x:c>
      <x:c r="F86"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6" s="28" t="str">
        <x:v>خلال 2021–2024 تبلغ نسبة سلسلة التحويلات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6" s="24" t="str">
        <x:v>The ratio of the CBY-Aden remittance series to the IMF remittance series in each year from 2021 to 2024.</x:v>
      </x:c>
      <x:c r="I86" s="28" t="str">
        <x:v>نسبة سلسلة التحويلات لدى البنك المركزي اليمني – عدن إلى سلسلة التحويلات لدى صندوق النقد الدولي في كل سنة من 2021 إلى 2024.</x:v>
      </x:c>
      <x:c r="J86" s="24" t="str">
        <x:v>2021–2024 overlap; method work 2014–2025</x:v>
      </x:c>
      <x:c r="K86" s="28" t="str">
        <x:v>فترة تداخل 2021–2024؛ العمل المنهجي 2014–2025</x:v>
      </x:c>
      <x:c r="L86" s="24" t="str">
        <x:v>The CBY-Aden publication scope compared with the IMF's analytical scope for areas under the internationally recognized government</x:v>
      </x:c>
      <x:c r="M86" s="28" t="str">
        <x:v>نطاق سلسلة التحويلات المنشورة لدى البنك المركزي اليمني – عدن مقابل النطاق التحليلي لصندوق النقد الدولي الخاص بمناطق الحكومة المعترف بها دوليًا.</x:v>
      </x:c>
      <x:c r="N86"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6"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6" s="24" t="str">
        <x:v>The 1.838 ratio is not a population, geography, informal-share or coverage conversion. | Comparability is component-specific only; differences of sign, scope and method remain material.</x:v>
      </x:c>
      <x:c r="Q86"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6" s="24" t="str">
        <x:v>The ratio covers 2021 to 2024, from the CBY-Aden Annual Report 2025 and the IMF 2025 Article IV consultation. It should not be read as holding for later years unless newer comparable editions of both series are published.</x:v>
      </x:c>
      <x:c r="S86"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SRC-IMF-YEM-AIV-2025-2026; EP-YEM-BOP-COMPONENT-XWALK-K04</x:v>
      </x:c>
      <x:c r="Y86" s="24" t="str">
        <x:v>[]</x:v>
      </x:c>
      <x:c r="Z86" t="str">
        <x:v>BOUND_EXACT</x:v>
      </x:c>
    </x:row>
    <x:row r="87">
      <x:c r="A87" s="24" t="str">
        <x:v>CLM-043</x:v>
      </x:c>
      <x:c r="B87" s="24" t="str">
        <x:v>CLAIM</x:v>
      </x:c>
      <x:c r="C87" s="24" t="str">
        <x:v>/remittances/</x:v>
      </x:c>
      <x:c r="D87" s="24" t="str">
        <x:v>Before ranking flows, look at the balancing residual</x:v>
      </x:c>
      <x:c r="E87" s="28" t="str">
        <x:v>قبل ترتيب التدفقات الخارجية، افحص البند الموازِن (صافي السهو والخطأ)</x:v>
      </x:c>
      <x:c r="F87"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7" s="28" t="str">
        <x:v>في التقرير السنوي 2025 للبنك المركزي اليمني – عدن، يفوق صافي السهو والخطأ بند التحويلات المنشور في كل سنة من 2021 إلى 2025. ففي 2025 بلغ صافي السهو والخطأ 7.117 مليار دولار مقابل 3.614 مليار دولار للتحويلات، أي إن نسبته إلى بند التحويلات 1.97. وصافي السهو والخطأ بندٌ موازِن محاسبيًا، وليس تدفقًا مرصودًا ولا تقديرًا لتحويلات مخفية.</x:v>
      </x:c>
      <x:c r="H87" s="24" t="str">
        <x:v>Net errors and omissions in the CBY-Aden balance of payments for 2021–2025, compared in size with the published remittance line.</x:v>
      </x:c>
      <x:c r="I87" s="28" t="str">
        <x:v>صافي السهو والخطأ في ميزان المدفوعات لدى البنك المركزي اليمني – عدن للفترة 2021–2025، مقارنًا من حيث الحجم ببند التحويلات المنشور.</x:v>
      </x:c>
      <x:c r="J87" s="24" t="str">
        <x:v>2021–2025</x:v>
      </x:c>
      <x:c r="K87" s="28" t="str">
        <x:v>2021–2025</x:v>
      </x:c>
      <x:c r="L87" s="24" t="str">
        <x:v>Each source's own BOP universe</x:v>
      </x:c>
      <x:c r="M87" s="28" t="str">
        <x:v>نطاق ميزان المدفوعات كما يعرفه كل مصدر على حدة.</x:v>
      </x:c>
      <x:c r="N87"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7" s="28" t="str">
        <x:v>قيم من جدول ميزان المدفوعات في التقرير السنوي 2025 للبنك المركزي اليمني – عدن. واحتسب هذا المورد النسبة بقسمة صافي السهو والخطأ على بند التحويلات (2025: 7.117 مقسومًا على 3.614 يساوي 1.97). ويُقرأ صافي السهو والخطأ بوصفه البند الموازِن كما يعرّفه دليل ميزان المدفوعات الصادر عن صندوق النقد الدولي.</x:v>
      </x:c>
      <x:c r="P87"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7" s="28" t="str">
        <x:v>ليس صافي السهو والخطأ تحويلات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7" s="24" t="str">
        <x:v>The latest year in this record is 2025, from the CBY-Aden Annual Report 2025. It should not be read as describing a later year unless a newer comparable observation is published.</x:v>
      </x:c>
      <x:c r="S87"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This record is drawn from the source(s) listed on this page. Open a source record to reach the original document, and check that the definition, period, population and geography match what is stated here.</x:v>
      </x:c>
      <x:c r="W8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7" s="24" t="str">
        <x:v>SRC-CBY-AR2025-BOP; EP-YEM-BOP-RESIDUAL-K04</x:v>
      </x:c>
      <x:c r="Y87" s="24" t="str">
        <x:v>[]</x:v>
      </x:c>
      <x:c r="Z87" t="str">
        <x:v>BOUND_EXACT</x:v>
      </x:c>
    </x:row>
    <x:row r="88">
      <x:c r="A88" s="24" t="str">
        <x:v>CLM-044</x:v>
      </x:c>
      <x:c r="B88" s="24" t="str">
        <x:v>CLAIM</x:v>
      </x:c>
      <x:c r="C88" s="24" t="str">
        <x:v>/remittances/ | /evidence/compare/</x:v>
      </x:c>
      <x:c r="D88" s="24" t="str">
        <x:v>An alternative residual model is not the canonical remittance baseline</x:v>
      </x:c>
      <x:c r="E88" s="28" t="str">
        <x:v>نموذج المتبقي البديل ليس خط الأساس المعتمد للتحويلات</x:v>
      </x:c>
      <x:c r="F88" s="24" t="str">
        <x:v>A balance-of-payments residual model estimates remittances by assigning an assumed residual discrepancy to them. Such an estimate is an alternative model, not a direct observation or the canonical remittance baseline. The estimate considered here rests on material that has no public original locator, so, under this resource's publication rule, neither its value nor its producer is reproduced here.</x:v>
      </x:c>
      <x:c r="G88" s="28" t="str">
        <x:v>يقدّر نموذج قائم على متبقي ميزان المدفوعات التحويلات بإسناد فرق متبقٍّ مفترض إليها. ومثل هذا التقدير نموذج بديل، لا مشاهدة مباشرة ولا خط الأساس المعتمد للتحويلات. ويستند التقدير المعني هنا إلى مادة لا يتوافر لها رابط أصلي عام، لذلك لا يعرض هذا المورد، وفق قاعدة النشر المعتمدة فيه، قيمته ولا الجهة التي أعدّته.</x:v>
      </x:c>
      <x:c r="H88" s="24" t="str">
        <x:v>An estimate of 2024 remittances produced by a balance-of-payments residual model, kept separate from the adopted remittance baseline.</x:v>
      </x:c>
      <x:c r="I88" s="28" t="str">
        <x:v>تقدير للتحويلات لعام 2024 ناتج عن نموذج لمتبقي ميزان المدفوعات، يبقى منفصلًا عن خط الأساس المعتمد للتحويلات.</x:v>
      </x:c>
      <x:c r="J88" s="24" t="str">
        <x:v>2024 estimate</x:v>
      </x:c>
      <x:c r="K88" s="28" t="str">
        <x:v>تقدير 2024</x:v>
      </x:c>
      <x:c r="L88" s="24" t="str">
        <x:v>Whole-Yemen analytical target</x:v>
      </x:c>
      <x:c r="M88" s="28" t="str">
        <x:v>هدف تحليلي يسعى إلى تمثيل اليمن ككل، وليس قيمة رسمية مرصودة بذاتها.</x:v>
      </x:c>
      <x:c r="N88" s="24" t="str">
        <x:v>Balance-of-payments residual model. The underlying material has no public original locator, so this record cannot be verified through this resource.</x:v>
      </x:c>
      <x:c r="O88" s="28" t="str">
        <x:v>نموذج متبقي ميزان المدفوعات. ولا يتوافر للمادة الأصلية رابط أصلي عام، لذلك لا يمكن التحقق من هذا السجل عبر هذا المورد.</x:v>
      </x:c>
      <x:c r="P88"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8" s="28" t="str">
        <x:v>ليس أي تقدير ناتج عن نموذج المتبقي قيمة وطنية رسمية أو مرصودة، وليس المتبقي رصدًا مباشرًا للتحويلات عبر القنوات غير الرسمية. | تنتقل أخطاء مكونات ميزان المدفوعات الأخرى، والافتراض المعتمد لصافي السهو والخطأ، إلى متبقي التحويلات؛ والتحويلات عبر القنوات غير الرسمية ليست مرصودة مباشرة.</x:v>
      </x:c>
      <x:c r="R88" s="24" t="str">
        <x:v>The estimate refers to 2024. It is a model result rather than an observation and should not be read as describing a later year.</x:v>
      </x:c>
      <x:c r="S88" s="28" t="str">
        <x:v>يعود التقدير إلى عام 2024، وهو ناتج نموذج لا مشاهدة، ولا يُقرأ على أنه يصف سنة لاحقة.</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The material behind this record has no public original locator, so no source is listed or linked here and no figure from that material is shown. Read the record as an explanation of method, not as a verifiable figure.</x:v>
      </x:c>
      <x:c r="W88"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8" s="24" t="str">
        <x:v>SRC-CCY-REMIT-ESTIMATE-2025; EP-CCY-REMIT-RESIDUAL-MODEL-K04</x:v>
      </x:c>
      <x:c r="Y88" s="24" t="str">
        <x:v>[]</x:v>
      </x:c>
      <x:c r="Z88" t="str">
        <x:v>BOUND_EXACT</x:v>
      </x:c>
    </x:row>
    <x:row r="89">
      <x:c r="A89" s="24" t="str">
        <x:v>CLM-045</x:v>
      </x:c>
      <x:c r="B89" s="24" t="str">
        <x:v>CLAIM</x:v>
      </x:c>
      <x:c r="C89" s="24" t="str">
        <x:v>/payments/ | /people/</x:v>
      </x:c>
      <x:c r="D89" s="24" t="str">
        <x:v>A successful cash payment is not yet durable financial use</x:v>
      </x:c>
      <x:c r="E89" s="28" t="str">
        <x:v>نجاح الدفع النقدي لا يعني بعدُ استخدامًا ماليًا مستدامًا</x:v>
      </x:c>
      <x:c r="F89"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9"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والاتصال بخدمة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المستدام.</x:v>
      </x:c>
      <x:c r="H89" s="24" t="str">
        <x:v>This record sets out a measurement gap between successful delivery of a cash transfer and continued financial use after it; its only figure is the pilot's reported number of recipients.</x:v>
      </x:c>
      <x:c r="I89" s="28" t="str">
        <x:v>يحدد هذا السجل فجوة قياس بين نجاح إيصال التحويل النقدي واستمرار الاستخدام المالي بعده؛ والرقم الوحيد فيه هو عدد المستفيدين المُعلن للتجربة.</x:v>
      </x:c>
      <x:c r="J89" s="24" t="str">
        <x:v>Evidence published 2023–2026; the pilot material dates from May 2024, and the reference period of the 45,460 figure is not recorded here</x:v>
      </x:c>
      <x:c r="K89" s="28" t="str">
        <x:v>أدلة منشورة بين 2023 و2026؛ ومواد التجربة صادرة في مايو 2024، ولا يسجل هذا السجل الفترة المرجعية لرقم 45,460</x:v>
      </x:c>
      <x:c r="L89" s="24" t="str">
        <x:v>Source-specific local/programme/project universes</x:v>
      </x:c>
      <x:c r="M89" s="28" t="str">
        <x:v>النطاقات المحلية أو البرنامجية أو الخاصة بالمشروعات كما يحددها كل مصدر.</x:v>
      </x:c>
      <x:c r="N89" s="24" t="str">
        <x:v>A synthesis of programme and research evidence on each step from cash delivery to continued use, including World Bank/G2Px material on the pilot; no national prevalence figure is constructed.</x:v>
      </x:c>
      <x:c r="O89"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9"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is meaningful through several intermediate links; durable post-transfer account/wallet use remains unobserved.</x:v>
      </x:c>
      <x:c r="Q89" s="28" t="str">
        <x:v>ليس مستفيدو التحويلات النقدية ولا مجموعات الادخار والإقراض ولا مستهدفات الهوية ولا الحسابات المفتوحة مقاييس للاستخدام المالي المستدام.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9" s="24" t="str">
        <x:v>The latest evidence in this record was published in 2026; the pilot material dates from May 2024. The record should not be read as describing later programme reach or use unless newer evidence is published.</x:v>
      </x:c>
      <x:c r="S89"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SRC-WB-G2PX-YEM-UCT-2024-001; SRC-CCY-SAM-2024; SRC-CCY-ISP-2024; SRC-CCY-PRESSURE-2026; EP-YEM-CASH-FIN-TRANSMISSION-K04</x:v>
      </x:c>
      <x:c r="Y89" s="24" t="str">
        <x:v>[{"source_id": "SRC-WB-G2PX-YEM-UCT-2024-001", "url": "https://www.worldbank.org/en/events/2024/05/30/digitalizing-g2p-payments-in-yemen", "audit_state": "PRIMARY_OFFICIAL_PROGRAMME_CONTEXT"}]</x:v>
      </x:c>
      <x:c r="Z89" t="str">
        <x:v>BOUND_EXACT</x:v>
      </x:c>
    </x:row>
    <x:row r="90">
      <x:c r="A90" s="24" t="str">
        <x:v>CLM-046</x:v>
      </x:c>
      <x:c r="B90" s="24" t="str">
        <x:v>CLAIM</x:v>
      </x:c>
      <x:c r="C90" s="24" t="str">
        <x:v>/reforms/ | /finance/</x:v>
      </x:c>
      <x:c r="D90" s="24" t="str">
        <x:v>Pledge, agreement, deposit and disbursement are different stages of support</x:v>
      </x:c>
      <x:c r="E90" s="28" t="str">
        <x:v>التعهد والاتفاق والإيداع والصرف مراحل مختلفة للدعم</x:v>
      </x:c>
      <x:c r="F90" s="24" t="str">
        <x:v>Saudi support is recorded by financial state. A pledge, commitment, signed agreement, deposited amount, amount made available, budget disbursement, FX-auction use, in-kind support and project cost are not interchangeable, and they are not added into a cumulative total here.</x:v>
      </x:c>
      <x:c r="G90" s="28" t="str">
        <x:v>يُسجَّل الدعم السعودي بحسب حالته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90" s="24" t="str">
        <x:v>This record sets out a distinction and reports no value: a pledge, commitment, signed agreement, deposit, amount made available, budget disbursement, use in foreign-exchange auctions, in-kind support and project cost are different stages of Saudi support to Yemen.</x:v>
      </x:c>
      <x:c r="I90"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90" s="24" t="str">
        <x:v>2010–2026</x:v>
      </x:c>
      <x:c r="K90" s="28" t="str">
        <x:v>2010–2026</x:v>
      </x:c>
      <x:c r="L90" s="24" t="str">
        <x:v>Source/package-specific</x:v>
      </x:c>
      <x:c r="M90" s="28" t="str">
        <x:v>النطاق الخاص بكل مصدر أو حزمة تمويل أو دعم.</x:v>
      </x:c>
      <x:c r="N90" s="24" t="str">
        <x:v>Evidence from donor and multilateral sources, read with AidData's historical method for classifying Saudi support to Yemen; the stages are kept separate and are not added together.</x:v>
      </x:c>
      <x:c r="O90" s="28" t="str">
        <x:v>أدلة من مصادر المانحين والمؤسسات متعددة الأطراف، تُقرأ مع منهج AidData التاريخي في تصنيف الدعم السعودي لليمن؛ وتُحفظ المراحل منفصلة ولا تُجمع.</x:v>
      </x:c>
      <x:c r="P90"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90"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90" s="24" t="str">
        <x:v>The evidence in this record spans 2010 to 2026. It should not be read as describing later support unless newer evidence is published.</x:v>
      </x:c>
      <x:c r="S90" s="28" t="str">
        <x:v>تمتد الأدلة في هذا السجل من 2010 إلى 2026، ولا تُقرأ على أنها تصف دعمًا لاحقًا ما لم تُنشر أدلة أحدث.</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Some figures in this record are drawn from the source(s) listed on this page; other inputs have not yet been linked to a specific original source. Check each figure against a listed source before reuse, and treat any figure you cannot match as unverified.</x:v>
      </x:c>
      <x:c r="W9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0" s="24" t="str">
        <x:v>SRC-AIDDATA-SAUDI-YEM-2015; EP-SAUDI-SUPPORT-FLOWSTATE-K04; DS-K04-SAUDI-SUPPORT-TRANSMISSION; SRC-SPA-SAU-CBY-DEPOSIT-2018-001; SRC-SPA-SAU-CBY-DEPOSIT-2023-001; SRC-SPA-SAU-BUDGET-2026-001</x:v>
      </x:c>
      <x:c r="Y90" s="24" t="str">
        <x:v>[]</x:v>
      </x:c>
      <x:c r="Z90" t="str">
        <x:v>BOUND_PARTIAL</x:v>
      </x:c>
      <x:c r="AB90" t="str">
        <x:v>SRC-SPA-SAU-CBY-DEPOSIT-2018-001=primary factual evidence; SRC-SPA-SAU-CBY-DEPOSIT-2023-001=primary factual evidence; SRC-SPA-SAU-BUDGET-2026-001=primary factual evidence</x:v>
      </x:c>
    </x:row>
    <x:row r="91">
      <x:c r="A91" s="24" t="str">
        <x:v>CLM-047</x:v>
      </x:c>
      <x:c r="B91" s="24" t="str">
        <x:v>CLAIM</x:v>
      </x:c>
      <x:c r="C91" s="24" t="str">
        <x:v>/remittances/ | /methodology/</x:v>
      </x:c>
      <x:c r="D91" s="24" t="str">
        <x:v>A change in an external position is not automatically a transaction</x:v>
      </x:c>
      <x:c r="E91" s="28" t="str">
        <x:v>تغير المركز الخارجي لا يساوي تلقائيًا تدفقًا أو معاملة</x:v>
      </x:c>
      <x:c r="F91" s="24" t="str">
        <x:v>Changes in Yemen's external asset or liability positions should be decomposed into transactions, exchange-rate changes, other price changes and other volume changes before they are interpreted as financial flows. Opening-to-closing IIP stock change alone is not a BOP transaction measure.</x:v>
      </x:c>
      <x:c r="G91"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1" s="24" t="str">
        <x:v>This record sets out a method rule for separating balance-of-payments transactions from other changes in Yemen's external asset and liability positions; it reports no value.</x:v>
      </x:c>
      <x:c r="I91" s="28" t="str">
        <x:v>يحدد هذا السجل قاعدة منهجية للفصل بين معاملات ميزان المدفوعات والتغيرات الأخرى في مراكز الأصول والخصوم الخارجية لليمن؛ ولا يورد قيمة.</x:v>
      </x:c>
      <x:c r="J91" s="24" t="str">
        <x:v>No values yet; this record sets out a method rule</x:v>
      </x:c>
      <x:c r="K91" s="28" t="str">
        <x:v>لا توجد بعد قيم منشورة؛ هذا السجل قاعدة منهجية</x:v>
      </x:c>
      <x:c r="L91" s="24" t="str">
        <x:v>Source-specific</x:v>
      </x:c>
      <x:c r="M91" s="28" t="str">
        <x:v>النطاق كما يحدده المصدر المعني.</x:v>
      </x:c>
      <x:c r="N91" s="24" t="str">
        <x:v>Method drawn from the IMF Balance of Payments and International Investment Position Manual, sixth edition (BPM6), its compilation guide, and the IMF's published strategy for moving to the seventh edition (BPM7).</x:v>
      </x:c>
      <x:c r="O91"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1"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1"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1" s="24" t="str">
        <x:v>This record sets out a method rule and has no observation date; Yemen's international investment position data are not yet in the public evidence base.</x:v>
      </x:c>
      <x:c r="S91" s="28" t="str">
        <x:v>يحدد هذا السجل قاعدة منهجية وليس له تاريخ مشاهدة؛ ولم تدخل بيانات وضع الاستثمار الدولي لليمن بعد قاعدة الأدلة العامة.</x:v>
      </x:c>
      <x:c r="T91" s="24" t="str">
        <x:v>This record is updated when an authoritative source is revised or replaced, a newer comparable observation becomes available, the definition, population or method changes, or the conditions for public use change.</x:v>
      </x:c>
      <x:c r="U9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SRC-IMF-BPM6; SRC-IMF-BPM6-COMP-GUIDE; SRC-IMF-BPM7-IMPLEMENTATION; EP-YEM-BOP-IIP-RECON-K04</x:v>
      </x:c>
      <x:c r="Y91" s="24" t="str">
        <x:v>[]</x:v>
      </x:c>
      <x:c r="Z91" t="str">
        <x:v>BOUND_EXACT</x:v>
      </x:c>
    </x:row>
    <x:row r="92">
      <x:c r="A92" s="24" t="str">
        <x:v>CLM-048</x:v>
      </x:c>
      <x:c r="B92" s="24" t="str">
        <x:v>CLAIM</x:v>
      </x:c>
      <x:c r="C92" s="24" t="str">
        <x:v>/methodology/ | /remittances/</x:v>
      </x:c>
      <x:c r="D92" s="24" t="str">
        <x:v>BPM7 updates the standard; it does not rewrite Yemen’s history overnight</x:v>
      </x:c>
      <x:c r="E92" s="28" t="str">
        <x:v>BPM7 يحدّث المعيار، لكنه لا يعيد تسمية تاريخ اليمن فورًا</x:v>
      </x:c>
      <x:c r="F92" s="24" t="str">
        <x:v>BPM7 is the updated global external-sector statistical standard, but implementation is a multi-year transition. Yemen's historical series should retain their source-native standard/version until an explicit conversion or revision is published.</x:v>
      </x:c>
      <x:c r="G92"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2" s="24" t="str">
        <x:v>This record sets out how Yemen's external-sector series are labelled during the move from the sixth to the seventh edition of the IMF Balance of Payments and International Investment Position Manual (BPM6 to BPM7); it reports no value.</x:v>
      </x:c>
      <x:c r="I92"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2" s="24" t="str">
        <x:v>BPM7 transition period and current Yemen historical external-sector vintages.</x:v>
      </x:c>
      <x:c r="K92" s="28" t="str">
        <x:v>فترة الانتقال إلى BPM7 مع الإبقاء على النسخ التاريخية الحالية لبيانات القطاع الخارجي في اليمن.</x:v>
      </x:c>
      <x:c r="L92" s="24" t="str">
        <x:v>The international external-sector statistical standard and Yemen historical series published under their source-native standard/version.</x:v>
      </x:c>
      <x:c r="M92" s="28" t="str">
        <x:v>المعيار الدولي لإحصاءات القطاع الخارجي والسلاسل التاريخية اليمنية المنشورة وفق المعيار أو النسخة التي استخدمها مصدرها.</x:v>
      </x:c>
      <x:c r="N92" s="24" t="str">
        <x:v>Each Yemen series is recorded under the statistical standard and version its source used; a series is recorded as BPM7 only when its source explicitly revises, converts or republishes it under that standard.</x:v>
      </x:c>
      <x:c r="O92"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2" s="24" t="str">
        <x:v>The release of BPM7 does not mean that Yemen's historical data have been restated under it, or that Yemeni sources have already adopted it.</x:v>
      </x:c>
      <x:c r="Q92" s="28" t="str">
        <x:v>لا يعني صدور BPM7 أن البيانات التاريخية لليمن أُعيد عرضها وفقه، ولا أن المصادر اليمنية اعتمدته بالفعل.</x:v>
      </x:c>
      <x:c r="R92" s="24" t="str">
        <x:v>This record sets out a rule for recording statistical-standard versions and has no observation date.</x:v>
      </x:c>
      <x:c r="S92" s="28" t="str">
        <x:v>يحدد هذا السجل قاعدة لتسجيل إصدارات المعيار الإحصائي، وليس له تاريخ مشاهدة.</x:v>
      </x:c>
      <x:c r="T92" s="24" t="str">
        <x:v>This record is updated when an authoritative Yemen source explicitly adopts BPM7 for a series, or republishes or revises its historical observations under the new standard, or when an authoritative source is revised or replaced.</x:v>
      </x:c>
      <x:c r="U92"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SRC-IMF-BPM7-IMPLEMENTATION; SRC-IMF-BPM6</x:v>
      </x:c>
      <x:c r="Y92" s="24" t="str">
        <x:v>[]</x:v>
      </x:c>
      <x:c r="Z92" t="str">
        <x:v>BOUND_EXACT</x:v>
      </x:c>
    </x:row>
    <x:row r="93">
      <x:c r="A93" s="24" t="str">
        <x:v>CLM-049</x:v>
      </x:c>
      <x:c r="B93" s="24" t="str">
        <x:v>CLAIM</x:v>
      </x:c>
      <x:c r="C93" s="24" t="str">
        <x:v>/reforms/ | /evidence/</x:v>
      </x:c>
      <x:c r="D93" s="24" t="str">
        <x:v>IMF Staff-Monitored Program (SMP) for Yemen: staff-level agreement of July 2026, subject to Management approval</x:v>
      </x:c>
      <x:c r="E93" s="28" t="str">
        <x:v>برنامج يراقبه خبراء صندوق النقد الدولي (SMP) لليمن: اتفاق على مستوى الخبراء في يوليو 2026، مشروط بموافقة الإدارة</x:v>
      </x:c>
      <x:c r="F93"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x:v>
      </x:c>
      <x:c r="G93"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x:v>
      </x:c>
      <x:c r="H93" s="24" t="str">
        <x:v>The approval status of a proposed 18-month Staff-Monitored Program (SMP) of the International Monetary Fund (IMF) for Yemen, as announced by the IMF on 16 July 2026.</x:v>
      </x:c>
      <x:c r="I93" s="28" t="str">
        <x:v>وضع الموافقة على برنامج مقترح مدته 18 شهرًا يراقبه خبراء صندوق النقد الدولي (SMP) لليمن، كما أعلنه الصندوق في 16 يوليو 2026.</x:v>
      </x:c>
      <x:c r="J93" s="24" t="str">
        <x:v>16 July 2026; proposed 18-month IMF Staff-Monitored Program at staff-level agreement stage.</x:v>
      </x:c>
      <x:c r="K93" s="28" t="str">
        <x:v>16 يوليو 2026؛ برنامج مقترح مدته 18 شهرًا يراقبه خبراء صندوق النقد الدولي (SMP)، في مرحلة الاتفاق على مستوى الخبراء.</x:v>
      </x:c>
      <x:c r="L93" s="24" t="str">
        <x:v>The staff-level policy agreement between IMF staff and the Yemeni authorities, and the status of the proposed Staff-Monitored Program (SMP); not an Executive Board-approved financing arrangement.</x:v>
      </x:c>
      <x:c r="M93" s="28" t="str">
        <x:v>الاتفاق على مستوى الخبراء بين صندوق النقد الدولي والسلطات اليمنية، ووضع البرنامج المقترح الذي يراقبه خبراء الصندوق (SMP)؛ وليس ترتيب تمويل معتمدًا من المجلس التنفيذي.</x:v>
      </x:c>
      <x:c r="N93" s="24" t="str">
        <x:v>The status is taken from the wording of the press release of the International Monetary Fund (IMF) of 16 July 2026: staff-level agreement, subject to IMF Management approval, with no Executive Board discussion and no IMF financing.</x:v>
      </x:c>
      <x:c r="O93"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3"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3"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3"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3"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SRC-IMF-YEM-SMP-2026</x:v>
      </x:c>
      <x:c r="Y93" s="24" t="str">
        <x:v>[{"source_id":"SRC-IMF-YEM-SMP-2026","url":"https://www.imf.org/en/news/articles/2026/07/16/pr26249-yemen-imf-reaches-sla-on-new-staff-monitored-program","audit_state":"PASS_AUTHORITY_OR_PROVIDER_LOCATOR"}]</x:v>
      </x:c>
      <x:c r="Z93" t="str">
        <x:v>BOUND_EXACT</x:v>
      </x:c>
    </x:row>
    <x:row r="94">
      <x:c r="A94" s="24" t="str">
        <x:v>CLM-050</x:v>
      </x:c>
      <x:c r="B94" s="24" t="str">
        <x:v>CLAIM</x:v>
      </x:c>
      <x:c r="C94" s="24" t="str">
        <x:v>/payments/ | /people/ | /access/</x:v>
      </x:c>
      <x:c r="D94" s="24" t="str">
        <x:v>807,919 accounts did not mean 807,919 active people</x:v>
      </x:c>
      <x:c r="E94" s="28" t="str">
        <x:v>807,919 حسابًا لا تعني 807,919 شخصًا نشطًا</x:v>
      </x:c>
      <x:c r="F94"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4"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مستدامًا.</x:v>
      </x:c>
      <x:c r="H94" s="24" t="str">
        <x:v>The number of electronic-money accounts held with the five providers covered by the Institute of Banking Studies (IBS) study in December 2019, with the average share of those accounts that the study reports as dormant or inactive in 2019.</x:v>
      </x:c>
      <x:c r="I94"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4" s="24" t="str">
        <x:v>Dec-2019; contextual series 2016–2019</x:v>
      </x:c>
      <x:c r="K94" s="28" t="str">
        <x:v>ديسمبر 2019؛ سلسلة سياقية 2016–2019</x:v>
      </x:c>
      <x:c r="L94" s="24" t="str">
        <x:v>Five electronic-money providers/wallets captured by the study</x:v>
      </x:c>
      <x:c r="M94" s="28" t="str">
        <x:v>مقدمو خدمات/محافظ النقود الإلكترونية الخمسة الذين شملتهم الدراسة.</x:v>
      </x:c>
      <x:c r="N94" s="24" t="str">
        <x:v>Account totals and the dormant-account average as reported in the Institute of Banking Studies (IBS) study of electronic payment services in Yemen (2020), which compiled statistics from the five providers it covered.</x:v>
      </x:c>
      <x:c r="O94"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4" s="24" t="str">
        <x:v>The total is not a count of active users or unique people, a national inclusion rate or a 2026 level. | Accounts are not unique people and are not automatically active; the 23% is a source-wide average, not a provider-specific or current rate.</x:v>
      </x:c>
      <x:c r="Q94" s="28" t="str">
        <x:v>ليس الإجمالي عددًا لمستخدمين نشطين أو لأشخاص فريدين، ولا معدل شمول وطنيًا، ولا مستوى حاليًا لعام 2026. | الحسابات لا تساوي أشخاصًا فريدين ولا تكون نشطة تلقائيًا؛ ونسبة 23% متوسط يورده المصدر وليست نسبة خاصة بكل مقدم خدمة أو نسبة حالية.</x:v>
      </x:c>
      <x:c r="R94" s="24" t="str">
        <x:v>The account total refers to December 2019, within a study series covering 2016 to 2019. It should not be read as describing a later period unless a newer comparable observation is published.</x:v>
      </x:c>
      <x:c r="S94" s="28" t="str">
        <x:v>يعود إجمالي الحسابات إلى ديسمبر 2019 ضمن سلسلة دراسة تغطي 2016–2019، ولا يُقرأ على أنه يصف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EP-IBS-EMONEY-2019-K04</x:v>
      </x:c>
      <x:c r="Y94" s="24" t="str">
        <x:v>[]</x:v>
      </x:c>
      <x:c r="Z94" t="str">
        <x:v>BOUND_EXACT</x:v>
      </x:c>
    </x:row>
    <x:row r="95">
      <x:c r="A95" s="24" t="str">
        <x:v>CLM-051</x:v>
      </x:c>
      <x:c r="B95" s="24" t="str">
        <x:v>CLAIM</x:v>
      </x:c>
      <x:c r="C95" s="24" t="str">
        <x:v>/payments/ | /evidence/compare/</x:v>
      </x:c>
      <x:c r="D95" s="24" t="str">
        <x:v>Most recorded 2019 e-money value still revolved around cash and account transfers</x:v>
      </x:c>
      <x:c r="E95" s="28" t="str">
        <x:v>معظم قيمة معاملات النقود الإلكترونية المسجلة في 2019 ظلت تدور حول النقد والتحويل بين الحسابات</x:v>
      </x:c>
      <x:c r="F95"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5"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5" s="24" t="str">
        <x:v>Shares of the total value of e-money transactions recorded in 2019 by the five providers covered by the Institute of Banking Studies (IBS) study, grouped by function.</x:v>
      </x:c>
      <x:c r="I95"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5" s="24" t="str">
        <x:v>2016–2019; derived comparison 2018–2019</x:v>
      </x:c>
      <x:c r="K95" s="28" t="str">
        <x:v>2016–2019؛ مقارنة مشتقة للفترة 2018–2019</x:v>
      </x:c>
      <x:c r="L95" s="24" t="str">
        <x:v>Source transactions across the five-provider study universe</x:v>
      </x:c>
      <x:c r="M95" s="28" t="str">
        <x:v>المعاملات التي أوردها المصدر ضمن نطاق الدراسة المكوّن من خمسة مقدمي خدمات.</x:v>
      </x:c>
      <x:c r="N95"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5"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5"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5" s="28" t="str">
        <x:v>لا يثبت هذا الدليل عدد المستخدمين الفريدين، ولا تغطية منظومة التجار، ولا رفاه الأسر، ولا علاقات سببية، ولا استدامة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5" s="24" t="str">
        <x:v>The values refer to 2019, within a study series covering 2016 to 2019 (the derived comparison covers 2018 and 2019). They should not be read as describing a later period unless a newer comparable observation is published.</x:v>
      </x:c>
      <x:c r="S95"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EP-IBS-EMONEY-VALUE-K04</x:v>
      </x:c>
      <x:c r="Y95" s="24" t="str">
        <x:v>[]</x:v>
      </x:c>
      <x:c r="Z95" t="str">
        <x:v>BOUND_EXACT</x:v>
      </x:c>
    </x:row>
    <x:row r="96">
      <x:c r="A96" s="24" t="str">
        <x:v>CLM-052</x:v>
      </x:c>
      <x:c r="B96" s="24" t="str">
        <x:v>CLAIM</x:v>
      </x:c>
      <x:c r="C96" s="24" t="str">
        <x:v>/people/ | /payments/ | /access/</x:v>
      </x:c>
      <x:c r="D96" s="24" t="str">
        <x:v>Historical provider data show concentration in cities and low female representation</x:v>
      </x:c>
      <x:c r="E96" s="28" t="str">
        <x:v>تُظهر بيانات المزودين التاريخية تمركزًا في المدن وتمثيلًا نسائيًا منخفضًا</x:v>
      </x:c>
      <x:c r="F96" s="24" t="str">
        <x:v>The Institute of Banking Studies (IBS) reports that, within its 2016–2019 provider evidence, electronic-money accounts/users were concentrated in cities at an average 93.8% and women represented about 13% on average. These are historical source-universe distributions, not current national prevalence or a local access map.</x:v>
      </x:c>
      <x:c r="G96" s="28" t="str">
        <x:v>تفيد دراسة معهد الدراسات المصرفية بأن بيانات مزودي النقود الإلكترونية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6" s="24" t="str">
        <x:v>The average share of e-money accounts or users in cities, and the average share of women, in the provider data covered by the Institute of Banking Studies (IBS) study for 2016–2019.</x:v>
      </x:c>
      <x:c r="I96"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6" s="24" t="str">
        <x:v>2016–2019</x:v>
      </x:c>
      <x:c r="K96" s="28" t="str">
        <x:v>2016–2019</x:v>
      </x:c>
      <x:c r="L96" s="24" t="str">
        <x:v>Source/provider e-money account/user evidence</x:v>
      </x:c>
      <x:c r="M96" s="28" t="str">
        <x:v>بيانات الحسابات أو المستخدمين للنقود الإلكترونية كما يوردها المصدر أو مقدم الخدمة.</x:v>
      </x:c>
      <x:c r="N96" s="24" t="str">
        <x:v>Averages and distributions as reported in the Institute of Banking Studies (IBS) study of electronic payment services in Yemen (2020), based on data from the providers it covered.</x:v>
      </x:c>
      <x:c r="O96"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6"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6"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6" s="24" t="str">
        <x:v>The averages cover 2016 to 2019. They should not be read as describing a later period unless a newer comparable observation is published.</x:v>
      </x:c>
      <x:c r="S96" s="28" t="str">
        <x:v>تغطي المتوسطات الفترة 2016–2019، ولا تُقرأ على أنها تصف فترة لاحقة ما لم تُنشر مشاهدة أحدث قابلة للمقارنة.</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SRC-IBS-EPAY-YEM-2020; EP-IBS-GEO-GENDER-K04</x:v>
      </x:c>
      <x:c r="Y96" s="24" t="str">
        <x:v>[]</x:v>
      </x:c>
      <x:c r="Z96" t="str">
        <x:v>BOUND_EXACT</x:v>
      </x:c>
    </x:row>
    <x:row r="97">
      <x:c r="A97" s="24" t="str">
        <x:v>CLM-053</x:v>
      </x:c>
      <x:c r="B97" s="24" t="str">
        <x:v>CLAIM</x:v>
      </x:c>
      <x:c r="C97" s="24" t="str">
        <x:v>/finance/</x:v>
      </x:c>
      <x:c r="D97" s="24" t="str">
        <x:v>End-2023 borrower evidence is useful, but still secondary</x:v>
      </x:c>
      <x:c r="E97" s="28" t="str">
        <x:v>رقم المقترضين في نهاية 2023 مفيد، لكنه ما يزال دليلًا ثانويًا</x:v>
      </x:c>
      <x:c r="F97"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7"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7" s="24" t="str">
        <x:v>The number of active microfinance borrowers at end-2023 reported by a 2024 policy paper citing SFD/SMED data, for a set of providers that has not been verified.</x:v>
      </x:c>
      <x:c r="I97"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7" s="24" t="str">
        <x:v>End-2023</x:v>
      </x:c>
      <x:c r="K97" s="28" t="str">
        <x:v>نهاية 2023</x:v>
      </x:c>
      <x:c r="L97" s="24" t="str">
        <x:v>Microfinance providers covered by the SFD/SMED data cited in the 2024 policy paper; which providers are included has not yet been verified against the primary source.</x:v>
      </x:c>
      <x:c r="M97"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7"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7"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7"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7"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7" s="24" t="str">
        <x:v>The latest observation in this record refers to the end of 2023. No SFD/SMED figure for 2024 has been located, so the value should not be read as describing 2024 or later.</x:v>
      </x:c>
      <x:c r="S97" s="28" t="str">
        <x:v>تعود أحدث مشاهدة في هذا السجل إلى نهاية 2023. ولم يُعثر على رقم لعام 2024 من SFD/SMED، لذلك لا يُقرأ الرقم على أنه يصف 2024 أو ما بعدها.</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SRC-SANAA-MFB-2024; EP-MFB-BORROWERS-2023-K04; SRC-SFD-SMED-LP-2023-NOV</x:v>
      </x:c>
      <x:c r="Y97" s="24" t="str">
        <x:v>[]</x:v>
      </x:c>
      <x:c r="Z97" t="str">
        <x:v>BOUND_EXACT</x:v>
      </x:c>
      <x:c r="AB97" t="str">
        <x:v>SRC-SFD-SMED-LP-2023-NOV=context</x:v>
      </x:c>
    </x:row>
    <x:row r="98">
      <x:c r="A98" s="24" t="str">
        <x:v>CLM-054</x:v>
      </x:c>
      <x:c r="B98" s="24" t="str">
        <x:v>CLAIM</x:v>
      </x:c>
      <x:c r="C98" s="24" t="str">
        <x:v>/finance/ | /evidence/compare/</x:v>
      </x:c>
      <x:c r="D98" s="24" t="str">
        <x:v>Borrower, saver and portfolio figures come from different sources and definitions and do not yet form one trend</x:v>
      </x:c>
      <x:c r="E98" s="28" t="str">
        <x:v>تأتي أرقام المقترضين والمدخرين والمحفظة من مصادر وتعريفات مختلفة، ولا تشكل بعدُ اتجاهًا واحدًا</x:v>
      </x:c>
      <x:c r="F98"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in 2023 and a nominal portfolio of about YER44 billion; the verified 2020 anchors are 1.611 million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792.69 to 1,529.4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bounded anchors—not a trend. It does not establish unique people, real credit growth, broader inclusion, improved borrower outcomes or causality.</x:v>
      </x:c>
      <x:c r="G98"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في 2023 ومحفظة اسمية تقارب 44 مليار ريال، مقابل نقاط مرجعية موثقة لعام 2020 قدرها 1.611 مليون مدخر/مودع و33.379 مليار ريال. ولم يثبت أن «المدخر النشط» و«المدخر/المودع» مقياس واحد، وقيمتا المحفظة اسميتان بالريال: فبين ديسمبر 2020 وديسمبر 2023 انتقل متوسط سعر الصرف في السوق الذي ينشره البنك المركزي اليمني – عدن من 792.69 إلى 1,529.4 ريال للدولار، ولا تسجل قاعدة الأدلة أساس التقييم بالريال الذي تستخدمه أرقام المحفظة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تُتحقق مباشرة بعد، فهذه نقاط مرجعية منفصلة ومقيدة، لا اتجاه واحد. ولا تثبت عددًا من الأشخاص الفريدين، أو نموًا حقيقيًا للائتمان، أو اتساع الشمول، أو تحسن نتائج المقترضين، أو علاقة سببية.</x:v>
      </x:c>
      <x:c r="H98"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8" s="28" t="str">
        <x:v>أعداد المقترضين النشطين في التمويل الأصغر في نهاية 2015 ونهاية 2020 ونهاية 2023، وأعداد المدخرين أو المودعين والمحفظة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8" s="24" t="str">
        <x:v>End-2015 and end-2020 verified primary anchors, compared with a bounded end-2023 secondary SFD/SMED-cited observation.</x:v>
      </x:c>
      <x:c r="K98" s="28" t="str">
        <x:v>نقاط مرجعية موثقة من المصدر الأصلي لنهاية 2015 ونهاية 2020، مقارنة بمشاهدة ثانوية محدودة لنهاية 2023 تستند إلى أرقام منسوبة إلى SFD/SMED.</x:v>
      </x:c>
      <x:c r="L98" s="24" t="str">
        <x:v>Microfinance borrower, saver/depositor and nominal-portfolio measures drawn from source-specific provider/reporting universes that are not yet fully harmonized across years.</x:v>
      </x:c>
      <x:c r="M98" s="28" t="str">
        <x:v>مقاييس المقترضين والمدخرين أو المودعين والمحفظة الاسمية في التمويل الأصغر، مأخوذة من نطاقات مقدمي خدمات وإبلاغ خاصة بكل مصدر ولم تتم مواءمتها بالكامل بين السنوات.</x:v>
      </x:c>
      <x:c r="N98"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8"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8" s="24" t="str">
        <x:v>The figures do not show broader inclusion, real credit deepening, a harmonized trend, improved borrower outcomes, a causal effect, growth in unique people or an unchanged set of providers.</x:v>
      </x:c>
      <x:c r="Q98"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8"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8"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SRC-SFD-Q4-2015-001; SRC-SFD-Q4-2020-001; SRC-SANAA-MFB-2024; SRC-CBY-001; INS-K04-023</x:v>
      </x:c>
      <x:c r="Y98" s="24" t="str">
        <x:v>[]</x:v>
      </x:c>
      <x:c r="Z98" t="str">
        <x:v>BOUND_EXACT</x:v>
      </x:c>
    </x:row>
    <x:row r="99">
      <x:c r="A99" s="24" t="str">
        <x:v>CLM-055</x:v>
      </x:c>
      <x:c r="B99" s="24" t="str">
        <x:v>CLAIM</x:v>
      </x:c>
      <x:c r="C99" s="24" t="str">
        <x:v>/providers/ | /finance/</x:v>
      </x:c>
      <x:c r="D99" s="24" t="str">
        <x:v>Listed as a microfinance bank does not establish operation or outreach</x:v>
      </x:c>
      <x:c r="E99" s="28" t="str">
        <x:v>الإدراج كبنك تمويل أصغر لا يثبت التشغيل أو الوصول الفعلي</x:v>
      </x:c>
      <x:c r="F99" s="24" t="str">
        <x:v>The list of licensed banks of the Central Bank of Yemen – Aden (CBY-Aden), as checked on 7 September 2026, names 26 banks; 12 of them are classified as microfinance banks on the basis of their names in the source. This establishes a dated listing and classification only: being listed or licensed does not mean operating, active or reaching underserved clients.</x:v>
      </x:c>
      <x:c r="G99" s="28" t="str">
        <x:v>تضم قائمة البنوك المرخصة الصادرة عن البنك المركزي اليمني – عدن، كما اطُّلع عليها في 7 سبتمبر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9" s="24" t="str">
        <x:v>The number of banks on the licensed-bank list of the Central Bank of Yemen – Aden (CBY-Aden), as checked on 7 September 2026, that are classified as microfinance banks on the basis of their names in the list.</x:v>
      </x:c>
      <x:c r="I99" s="28" t="str">
        <x:v>عدد البنوك الواردة في قائمة البنوك المرخصة لدى البنك المركزي اليمني – عدن، كما اطُّلع عليها في 7 سبتمبر 2026، والمصنفة بنوكَ تمويل أصغر استنادًا إلى تسمياتها في القائمة.</x:v>
      </x:c>
      <x:c r="J99" s="24" t="str">
        <x:v>List as checked on 7 September 2026</x:v>
      </x:c>
      <x:c r="K99" s="28" t="str">
        <x:v>القائمة كما اطُّلع عليها في 7 سبتمبر 2026</x:v>
      </x:c>
      <x:c r="L99" s="24" t="str">
        <x:v>Banks named on the licensed-bank list of the Central Bank of Yemen – Aden (CBY-Aden); list presence is not proof of current operation, branch footprint, product availability or market share</x:v>
      </x:c>
      <x:c r="M99"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9" s="24" t="str">
        <x:v>A count of the banks named on the licensed-bank list published by the Central Bank of Yemen – Aden (CBY-Aden), as checked on 7 September 2026; 12 of them are classified as microfinance banks on the basis of their names in the list. The list establishes listing or licensing by CBY-Aden; it does not by itself establish current operation, service availability or geographic reach.</x:v>
      </x:c>
      <x:c r="O99" s="28" t="str">
        <x:v>عدّ البنوك الواردة في قائمة البنوك المرخصة التي ينشرها البنك المركزي اليمني – عدن، كما اطُّلع عليها في 7 سبتمبر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9"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9"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9" s="24" t="str">
        <x:v>This record reflects the licensed-bank list of the Central Bank of Yemen – Aden (CBY-Aden) as checked on 7 September 2026. It should not be read as describing a later date unless a newer version of the list is checked.</x:v>
      </x:c>
      <x:c r="S99" s="28" t="str">
        <x:v>يعكس هذا السجل قائمة البنوك المرخصة لدى البنك المركزي اليمني – عدن كما اطُّلع عليها في 7 سبتمبر 2026، ولا يُقرأ على أنه يصف تاريخًا لاحقًا ما لم يُطّلع على نسخة أحدث من القائمة.</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SRC-CBY-BANKLIST-AR-2026-001; EP-CBY-BANK-ROSTER-2026</x:v>
      </x:c>
      <x:c r="Y99" s="24" t="str">
        <x:v>[]</x:v>
      </x:c>
      <x:c r="Z99" t="str">
        <x:v>BOUND_EXACT</x:v>
      </x:c>
    </x:row>
    <x:row r="100">
      <x:c r="A100" s="24" t="str">
        <x:v>CLM-056</x:v>
      </x:c>
      <x:c r="B100" s="24" t="str">
        <x:v>CLAIM</x:v>
      </x:c>
      <x:c r="C100" s="24" t="str">
        <x:v>/finance/ | /evidence/compare/</x:v>
      </x:c>
      <x:c r="D100" s="24" t="str">
        <x:v>The 91% figure is supportable only as a source-attributed share of saver growth—not as a verified 2023 depositor stock share</x:v>
      </x:c>
      <x:c r="E100" s="28" t="str">
        <x:v>يمكن إسناد نسبة 91% فقط بوصفها حصة من نمو المدخرين وفق المصدر، لا بوصفها حصة محققة من رصيد المودعين في 2023</x:v>
      </x:c>
      <x:c r="F100"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100"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Yemen Review عرض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100" s="24" t="str">
        <x:v>The 91% share of growth in microfinance savers that a 2024 policy paper attributes to Al-Kuraimi; the 2023 provider-level numerator, denominator and calculation behind it have not been reproduced.</x:v>
      </x:c>
      <x:c r="I100"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100" s="24" t="str">
        <x:v>A statement about 2023 published in 2024, and its restatement in 2025.</x:v>
      </x:c>
      <x:c r="K100" s="28" t="str">
        <x:v>عبارة تخص عام 2023 نُشرت في 2024، وإعادة عرضها في 2025.</x:v>
      </x:c>
      <x:c r="L100" s="24" t="str">
        <x:v>Two distinct metrics: share of saver growth versus share of depositor/saver stock. The 91% 2023 claim cannot switch between these universes without a reproduced numerator and denominator.</x:v>
      </x:c>
      <x:c r="M100"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100"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100"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100" s="24" t="str">
        <x:v>It does not establish a verified 2023 stock share, a share of unique clients or a general market share for any provider. | The source's wording concerns a share of growth; the 2023 calculation and the later restatement remain unresolved.</x:v>
      </x:c>
      <x:c r="Q100"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100" s="24" t="str">
        <x:v>The statement refers to 2023 and was restated in 2025; no later provider-level figure is held here. Its status changes only if primary 2023 provider data reproduce the measure or the source issues an explicit correction or clarification.</x:v>
      </x:c>
      <x:c r="S100"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Some figures in this record are drawn from the source(s) listed on this page; other inputs have not yet been linked to a specific original source. Check each figure against a listed source before reuse, and treat any figure you cannot match as unverified.</x:v>
      </x:c>
      <x:c r="W10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0" s="24" t="str">
        <x:v>SRC-SANAA-MFB-2024; SRC-SANAA-YR-2025-Q2-MFB; CON-057; DS-V041-STRICT-COUNSEL</x:v>
      </x:c>
      <x:c r="Y100" s="24" t="str">
        <x:v>[]</x:v>
      </x:c>
      <x:c r="Z100" t="str">
        <x:v>BOUND_PARTIAL</x:v>
      </x:c>
    </x:row>
    <x:row r="101">
      <x:c r="A101" s="24" t="str">
        <x:v>CLM-057</x:v>
      </x:c>
      <x:c r="B101" s="24" t="str">
        <x:v>CLAIM</x:v>
      </x:c>
      <x:c r="C101" s="24" t="str">
        <x:v>/finance/ | /evidence/</x:v>
      </x:c>
      <x:c r="D101" s="24" t="str">
        <x:v>June and end-2023 borrower points are not one continuous series</x:v>
      </x:c>
      <x:c r="E101" s="28" t="str">
        <x:v>نقطتا يونيو ونهاية 2023 للمقترضين ليستا سلسلة مستمرة واحدة</x:v>
      </x:c>
      <x:c r="F101"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1"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1" s="24" t="str">
        <x:v>Two counts of active microfinance borrowers in 2023, about 80,800 cited for June and 78,686 for the end of the year, reported through different source chains.</x:v>
      </x:c>
      <x:c r="I101" s="28" t="str">
        <x:v>عددان للمقترضين النشطين في التمويل الأصغر في 2023: نحو 80,800 مذكوران ليونيو، و78,686 لنهاية السنة، وردا عبر سلسلتي مصادر مختلفتين.</x:v>
      </x:c>
      <x:c r="J101" s="24" t="str">
        <x:v>June 2023 and end-2023 active-borrower observations from separate source chains.</x:v>
      </x:c>
      <x:c r="K101" s="28" t="str">
        <x:v>مشاهدتان للمقترضين النشطين في يونيو 2023 ونهاية 2023 من سلسلتي مصادر مختلفتين.</x:v>
      </x:c>
      <x:c r="L101" s="24" t="str">
        <x:v>Active-borrower observations whose set of providers covered by the evidence and source method are not yet proven identical between the June and year-end points.</x:v>
      </x:c>
      <x:c r="M101" s="28" t="str">
        <x:v>مشاهدات للمقترضين النشطين لم يثبت بعد أن نطاق مقدمي الخدمات وطريقة المصدر متطابقان بين نقطة يونيو ونقطة نهاية العام.</x:v>
      </x:c>
      <x:c r="N101" s="24" t="str">
        <x:v>Both figures are taken as reported in two 2024 policy papers that cite different upstream sources. The observations are kept separate, and no change between them is calculated, because their provider sets and methods have not been compared and reconciled.</x:v>
      </x:c>
      <x:c r="O101"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1" s="24" t="str">
        <x:v>The two figures do not establish a decline between June and the end of 2023, monthly values between them, or a continuous series, while the provider sets behind them remain unreconciled.</x:v>
      </x:c>
      <x:c r="Q101"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1" s="24" t="str">
        <x:v>Both observations refer to 2023, the later one to the end of the year; neither describes microfinance after 2023. They remain separate points unless the sources and provider sets are reconciled.</x:v>
      </x:c>
      <x:c r="S101"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SRC-SANAA-SOCPROT-2024; SRC-SANAA-MFB-2024; CON-058</x:v>
      </x:c>
      <x:c r="Y101" s="24" t="str">
        <x:v>[]</x:v>
      </x:c>
      <x:c r="Z101" t="str">
        <x:v>BOUND_EXACT</x:v>
      </x:c>
    </x:row>
    <x:row r="102">
      <x:c r="A102" s="24" t="str">
        <x:v>CLM-058</x:v>
      </x:c>
      <x:c r="B102" s="24" t="str">
        <x:v>CLAIM</x:v>
      </x:c>
      <x:c r="C102" s="24" t="str">
        <x:v>/finance/</x:v>
      </x:c>
      <x:c r="D102" s="24" t="str">
        <x:v>Through 2021, the World Bank reports a broadly flat borrower base while average loan amounts rose</x:v>
      </x:c>
      <x:c r="E102" s="28" t="str">
        <x:v>حتى 2021، يفيد البنك الدولي بأن قاعدة المقترضين ظلت مستقرة تقريبًا بينما ارتفع متوسط حجم التمويل</x:v>
      </x:c>
      <x:c r="F102"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2"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2" s="24" t="str">
        <x:v>The World Bank's account, in its 2024 Yemen Financial Sector Diagnostics, of how the number of active microfinance borrowers and average loan amounts moved through 2021.</x:v>
      </x:c>
      <x:c r="I102" s="28" t="str">
        <x:v>ما يورده البنك الدولي في «التشخيص المالي لليمن (2024)» عن حركة عدد المقترضين النشطين في التمويل الأصغر ومتوسط حجم التمويل حتى 2021.</x:v>
      </x:c>
      <x:c r="J102" s="24" t="str">
        <x:v>Historical evidence through 2021.</x:v>
      </x:c>
      <x:c r="K102" s="28" t="str">
        <x:v>دليل تاريخي حتى عام 2021.</x:v>
      </x:c>
      <x:c r="L102" s="24" t="str">
        <x:v>Yemen microfinance borrower and average-loan measures summarized in the World Bank Financial Sector Diagnostics, within the source's sector coverage.</x:v>
      </x:c>
      <x:c r="M102" s="28" t="str">
        <x:v>مقاييس المقترضين ومتوسط حجم القرض في التمويل الأصغر باليمن كما يلخصها تشخيص القطاع المالي للبنك الدولي، ضمن نطاق القطاع الذي يغطيه المصدر.</x:v>
      </x:c>
      <x:c r="N102" s="24" t="str">
        <x:v>Taken from the World Bank's Yemen Financial Sector Diagnostics (2024), which summarizes sector evidence through 2021; this resource reports the source's statement on borrower numbers and average loan amounts as published and does not recompute it.</x:v>
      </x:c>
      <x:c r="O102" s="28" t="str">
        <x:v>مأخوذ من «التشخيص المالي لليمن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2"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2"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2" s="24" t="str">
        <x:v>The finding covers evidence through 2021 in a source published in 2024. It is not a conclusion about 2023 or 2026, and newer comparable sector evidence would be needed before it could describe the current market.</x:v>
      </x:c>
      <x:c r="S102"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SRC-WB-FSD-2024-001</x:v>
      </x:c>
      <x:c r="Y102" s="24" t="str">
        <x:v>[{"source_id":"SRC-WB-FSD-2024-001","url":"https://documents1.worldbank.org/curated/en/099102324070011985/pdf/P177631-d18a7ee4-3fcf-4393-9665-77f98b3e43a7.pdf","audit_state":"PASS_AUTHORITY_OR_PROVIDER_LOCATOR"}]</x:v>
      </x:c>
      <x:c r="Z102" t="str">
        <x:v>BOUND_EXACT</x:v>
      </x:c>
    </x:row>
    <x:row r="103">
      <x:c r="A103" s="24" t="str">
        <x:v>CLM-032</x:v>
      </x:c>
      <x:c r="B103" s="24" t="str">
        <x:v>CLAIM</x:v>
      </x:c>
      <x:c r="C103" s="24" t="str">
        <x:v>/remittances/ | /evidence/compare/</x:v>
      </x:c>
      <x:c r="D103" s="24" t="str">
        <x:v>Same reference year, different published value</x:v>
      </x:c>
      <x:c r="E103" s="28" t="str">
        <x:v>السنة المرجعية نفسها، وقيمة منشورة مختلفة</x:v>
      </x:c>
      <x:c r="F103" s="24" t="str">
        <x:v>Annual reports of the Central Bank of Yemen – Aden (CBY-Aden) publish materially different remittance values for the same reference year. For 2024, the 2024 annual report gave USD 6.245 billion, while the 2025 annual report restated 2024 at USD 3.42 billion. This is a same-year restatement, not evidence of economic movement between years.</x:v>
      </x:c>
      <x:c r="G103" s="28" t="str">
        <x:v>تنشر التقارير السنوية للبنك المركزي اليمني – عدن قيمًا مختلفة بصورة جوهرية للتحويلات الواردة في ميزان المدفوعات عن السنة المرجعية نفسها. فقد أورد التقرير السنوي 2024 قيمة عام 2024 عند 6.245 مليار دولار، بينما أعاد التقرير السنوي 2025 عرض عام 2024 عند 3.42 مليار دولار. وهذه إعادة عرض للسنة نفسها، وليست دليلًا على حركة اقتصادية بين عامين.</x:v>
      </x:c>
      <x:c r="H103" s="24" t="str">
        <x:v>A revision in the published value for the same reference year across different publication vintages.</x:v>
      </x:c>
      <x:c r="I103" s="28" t="str">
        <x:v>مراجعة في القيمة المنشورة للسنة المرجعية نفسها بين نسخ نشر مختلفة.</x:v>
      </x:c>
      <x:c r="J103" s="24" t="str">
        <x:v>Reference 2020–2025 across AR2022–AR2025; IMF method work 2024–2025</x:v>
      </x:c>
      <x:c r="K103" s="28" t="str">
        <x:v>سنوات مرجعية 2020–2025 عبر تقارير 2022–2025؛ والعمل المنهجي لصندوق النقد 2024–2025</x:v>
      </x:c>
      <x:c r="L103" s="24" t="str">
        <x:v>The remittance series published in the balance of payments of the Central Bank of Yemen – Aden (CBY-Aden); its exact territorial and conceptual mapping to the IMF reconstruction for areas under the internationally recognized government remains open</x:v>
      </x:c>
      <x:c r="M103" s="28" t="str">
        <x:v>سلسلة التحويلات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مفتوحة.</x:v>
      </x:c>
      <x:c r="N103"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x:v>
      </x:c>
      <x:c r="O103"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x:v>
      </x:c>
      <x:c r="P103"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x:v>
      </x:c>
      <x:c r="Q103"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x:v>
      </x:c>
      <x:c r="R103" s="24" t="str">
        <x:v>The record covers reference years 2020 to 2025 as published in the 2022 to 2025 annual reports of the Central Bank of Yemen – Aden (CBY-Aden); the restatement concerns 2024, first published in the 2024 annual report and restated in the 2025 annual report. It should not be read as describing a later edition unless a newer annual report is published.</x:v>
      </x:c>
      <x:c r="S103" s="28" t="str">
        <x:v>يغطي السجل السنوات المرجعية من 2020 إلى 2025 كما نُشرت في التقارير السنوية للبنك المركزي اليمني – عدن من 2022 إلى 2025؛ وتخص إعادة العرض عام 2024، الذي نُشر أولًا في التقرير السنوي 2024 ثم أُعيد عرضه في التقرير السنوي 2025. ولا يُقرأ السجل على أنه يصف نسخة لاحقة ما لم يُنشر تقرير سنوي أحدث.</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SRC-CBY-AR2024-BOP; SRC-CBY-AR2025-BOP; K04-CBY-060; AVA-004; EP-CBY-REMITTANCE-VINTAGE-K04</x:v>
      </x:c>
      <x:c r="Y103" s="24" t="str">
        <x:v>["SRC-CBY-AR2024-BOP", "SRC-CBY-AR2025-BOP"]</x:v>
      </x:c>
      <x:c r="Z103" t="str">
        <x:v>BOUND_EXACT</x:v>
      </x:c>
    </x:row>
    <x:row r="104">
      <x:c r="A104" s="24" t="str">
        <x:v>CLM-033</x:v>
      </x:c>
      <x:c r="B104" s="24" t="str">
        <x:v>CLAIM</x:v>
      </x:c>
      <x:c r="C104" s="24" t="str">
        <x:v>/finance/ | /firms/ | /evidence/compare/</x:v>
      </x:c>
      <x:c r="D104" s="24" t="str">
        <x:v>A measured banking jump can partly be a valuation change</x:v>
      </x:c>
      <x:c r="E104" s="28" t="str">
        <x:v>قد تكون القفزة المصرفية المقاسة جزئيًا تغيرًا في التقييم</x:v>
      </x:c>
      <x:c r="F104" s="24" t="str">
        <x:v>The same 2022 consolidated banking positions are published at materially higher levels from AR2023 onward, alongside a documented January-2023 shift to market-exchange-rate valuation of foreign-currency positions. The published difference therefore does not by itself establish economic change of the same magnitude.</x:v>
      </x:c>
      <x:c r="G104"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4" s="24" t="str">
        <x:v>A methodological or valuation break that changes reported levels without necessarily representing the same-sized economic change.</x:v>
      </x:c>
      <x:c r="I104" s="28" t="str">
        <x:v>انقطاع في المنهج أو في أسلوب التقييم يغيّر المستويات المنشورة من دون أن يعني بالضرورة تغيرًا اقتصاديًا بالحجم نفسه.</x:v>
      </x:c>
      <x:c r="J104" s="24" t="str">
        <x:v>2022 positions as published in the 2022 annual report and as restated from the 2023 annual report onward</x:v>
      </x:c>
      <x:c r="K104" s="28" t="str">
        <x:v>مراكز عام 2022 كما نُشرت في التقرير السنوي 2022 وكما أُعيد عرضها ابتداءً من التقرير السنوي 2023</x:v>
      </x:c>
      <x:c r="L104" s="24" t="str">
        <x:v>Consolidated commercial and Islamic bank balance-sheet stocks</x:v>
      </x:c>
      <x:c r="M104" s="28" t="str">
        <x:v>أرصدة الميزانيات المجمعة للبنوك التجارية والإسلامية.</x:v>
      </x:c>
      <x:c r="N104" s="24" t="str">
        <x:v>Annual reports of the Central Bank of Yemen – Aden (CBY-Aden) for 2022 and for 2023 onward; the 2023 annual report contains an explicit note on valuing foreign-currency positions at the market exchange rate.</x:v>
      </x:c>
      <x:c r="O104"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4" s="24" t="str">
        <x:v>The restatement is not evidence of an asset, deposit or credit boom, or of any change in solvency. | A method or valuation break materially changes the values for the same reference year; line-level attribution beyond the documented valuation note remains bounded.</x:v>
      </x:c>
      <x:c r="Q104"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4" s="24" t="str">
        <x:v>This record applies to the 2022 positions as published in the 2022 annual report and as restated from the 2023 annual report onward. It should not be read as describing later positions.</x:v>
      </x:c>
      <x:c r="S104" s="28" t="str">
        <x:v>ينطبق هذا السجل على مراكز عام 2022 كما نُشرت في التقرير السنوي 2022 وكما أُعيد عرضها ابتداءً من التقرير السنوي 2023، ولا يُقرأ على أنه يصف مراكز لاحقة.</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SRC-CBY-AR2022-001; SRC-CBY-AR2023-001; K04-CBY-061; AVA-005..008; EP-CBY-BANKING-REVAL-K04</x:v>
      </x:c>
      <x:c r="Y104" s="24" t="str">
        <x:v>["SRC-CBY-AR2022-001", "SRC-CBY-AR2023-001"]</x:v>
      </x:c>
      <x:c r="Z104" t="str">
        <x:v>BOUND_EXACT</x:v>
      </x:c>
    </x:row>
    <x:row r="105">
      <x:c r="A105" s="24" t="str">
        <x:v>CLM-034</x:v>
      </x:c>
      <x:c r="B105" s="24" t="str">
        <x:v>CLAIM</x:v>
      </x:c>
      <x:c r="C105" s="24" t="str">
        <x:v>/remittances/ | /methodology/</x:v>
      </x:c>
      <x:c r="D105" s="24" t="str">
        <x:v>A smoother published path is a methods question, not a conclusion</x:v>
      </x:c>
      <x:c r="E105" s="28" t="str">
        <x:v>المسار المنشور الأكثر سلاسة سؤال منهجي، لا استنتاج</x:v>
      </x:c>
      <x:c r="F105" s="24" t="str">
        <x:v>Within AR2025, the published remittance path rises with unusually similar annual growth rates across overlapping years. That pattern is useful for method scrutiny, but it does not establish smoothing, interpolation or low real-world volatility.</x:v>
      </x:c>
      <x:c r="G105" s="28" t="str">
        <x:v>تُظهر سلسلة التحويلات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للتحويلات.</x:v>
      </x:c>
      <x:c r="H105" s="24" t="str">
        <x:v>The annual growth rates of the remittance series in the Central Bank of Yemen – Aden (CBY-Aden) Annual Report 2025, compared across the overlapping years 2021–2025.</x:v>
      </x:c>
      <x:c r="I105" s="28" t="str">
        <x:v>معدلات النمو السنوية لسلسلة التحويلات في التقرير السنوي 2025 للبنك المركزي اليمني – عدن، مقارنةً عبر السنوات المتداخلة 2021–2025.</x:v>
      </x:c>
      <x:c r="J105" s="24" t="str">
        <x:v>CBY Annual Report 2025 remittance series across the overlapping 2021–2025 published path.</x:v>
      </x:c>
      <x:c r="K105" s="28" t="str">
        <x:v>سلسلة التحويلات في التقرير السنوي 2025 للبنك المركزي عبر المسار المنشور المتداخل للأعوام 2021–2025.</x:v>
      </x:c>
      <x:c r="L105" s="24" t="str">
        <x:v>The remittance series as defined and published within the CBY Annual Report 2025 vintage; not all remittance channels or household receipts.</x:v>
      </x:c>
      <x:c r="M105" s="28" t="str">
        <x:v>سلسلة التحويلات كما عرّفها ونشرها التقرير السنوي 2025 للبنك المركزي، وليست جميع قنوات التحويل أو تحويلات الأسر المستلمة.</x:v>
      </x:c>
      <x:c r="N105" s="24" t="str">
        <x:v>Year-on-year growth rates computed by this resource from the remittance values in one published edition, the Central Bank of Yemen – Aden (CBY-Aden) Annual Report 2025, and compared across years as a check on method.</x:v>
      </x:c>
      <x:c r="O105" s="28" t="str">
        <x:v>معدلات نمو سنوية احتسبها هذا المورد من قيم التحويلات في نسخة منشورة واحدة هي التقرير السنوي 2025 للبنك المركزي اليمني – عدن، وقورنت عبر السنوات بوصفها فحصًا منهجيًا.</x:v>
      </x:c>
      <x:c r="P105" s="24" t="str">
        <x:v>The pattern does not establish smoothing, interpolation or low real-world volatility.</x:v>
      </x:c>
      <x:c r="Q105" s="28" t="str">
        <x:v>لا يثبت النمط الظاهر في السلسلة المنشورة وجود تنعيم أو استيفاء أو انخفاض في التقلب الفعلي.</x:v>
      </x:c>
      <x:c r="R105" s="24" t="str">
        <x:v>The pattern refers to the remittance series as published in the Central Bank of Yemen – Aden (CBY-Aden) Annual Report 2025. It may change if CBY-Aden revises the series or publishes a newer annual report.</x:v>
      </x:c>
      <x:c r="S105" s="28" t="str">
        <x:v>يعود النمط إلى سلسلة التحويلات كما نُشرت في التقرير السنوي 2025 للبنك المركزي اليمني – عدن، وقد يتغير إذا راجع البنك المركزي في عدن السلسلة أو نشر تقريرًا سنويًا أحدث.</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SRC-CBY-AR2025-BOP; K04-CBY-060; DN-CBY-022</x:v>
      </x:c>
      <x:c r="Y105" s="24" t="str">
        <x:v>["SRC-CBY-AR2025-BOP"]</x:v>
      </x:c>
      <x:c r="Z105" t="str">
        <x:v>BOUND_EXACT</x:v>
      </x:c>
    </x:row>
    <x:row r="106">
      <x:c r="A106" s="24" t="str">
        <x:v>CLM-035</x:v>
      </x:c>
      <x:c r="B106" s="24" t="str">
        <x:v>CLAIM</x:v>
      </x:c>
      <x:c r="C106" s="24" t="str">
        <x:v>/remittances/ | /finance/ | /evidence/compare/</x:v>
      </x:c>
      <x:c r="D106" s="24" t="str">
        <x:v>The apparent balance between remittances and donor financing changes with vintage</x:v>
      </x:c>
      <x:c r="E106" s="28" t="str">
        <x:v>تتغير الصورة النسبية للتحويلات وتمويل المانحين باختلاف النسخة المنشورة</x:v>
      </x:c>
      <x:c r="F106"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6"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6" s="24" t="str">
        <x:v>The ratio of the remittance item to the donor-financing item for the 2024 reference year, calculated within each of two editions of the Central Bank of Yemen – Aden (CBY-Aden) annual report.</x:v>
      </x:c>
      <x:c r="I106" s="28" t="str">
        <x:v>نسبة بند التحويلات إلى بند تمويل المانحين للسنة المرجعية 2024، محسوبة داخل كل من نسختين من التقرير السنوي للبنك المركزي اليمني – عدن.</x:v>
      </x:c>
      <x:c r="J106" s="24" t="str">
        <x:v>2024 reference year compared within the CBY Annual Report 2024 and Annual Report 2025 vintages.</x:v>
      </x:c>
      <x:c r="K106" s="28" t="str">
        <x:v>السنة المرجعية 2024 كما تظهر داخل نسختي التقرير السنوي 2024 والتقرير السنوي 2025 للبنك المركزي.</x:v>
      </x:c>
      <x:c r="L106" s="24" t="str">
        <x:v>Two balance-of-payments items of the Central Bank of Yemen – Aden (CBY-Aden), labelled by the source as remittances and donor financing, within each annual-report edition; not all aid, official development assistance (ODA) or external finance</x:v>
      </x:c>
      <x:c r="M106"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6" s="24" t="str">
        <x:v>Computed by this resource within each annual-report edition: the 2024 remittance item divided by the 2024 donor-financing item, both as labelled and published in that edition (the 2024 annual report, and the 2025 annual report with its restated 2024 values).</x:v>
      </x:c>
      <x:c r="O106"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6" s="24" t="str">
        <x:v>The ratio does not describe all aid, official development assistance or external finance, and it does not rank flows that are defined differently.</x:v>
      </x:c>
      <x:c r="Q106" s="28" t="str">
        <x:v>لا تصف النسبة جميع المساعدات أو المساعدة الإنمائية الرسمية أو جميع أشكال التمويل الخارجي، ولا ترتّب تدفقات تختلف تعريفاتها.</x:v>
      </x:c>
      <x:c r="R106" s="24" t="str">
        <x:v>The comparison refers to the 2024 reference year as published in the 2024 and 2025 annual reports. It is recalculated if either item is revised in a later annual report.</x:v>
      </x:c>
      <x:c r="S106" s="28" t="str">
        <x:v>تعود المقارنة إلى السنة المرجعية 2024 كما نُشرت في التقريرين السنويين 2024 و2025، ويُعاد الحساب إذا روجع أي من البندين في تقرير سنوي لاحق.</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SRC-CBY-AR2024-BOP; SRC-CBY-AR2025-BOP; K04-CBY-062</x:v>
      </x:c>
      <x:c r="Y106" s="24" t="str">
        <x:v>["SRC-CBY-AR2024-BOP", "SRC-CBY-AR2025-BOP"]</x:v>
      </x:c>
      <x:c r="Z106" t="str">
        <x:v>BOUND_EXACT</x:v>
      </x:c>
    </x:row>
    <x:row r="107">
      <x:c r="A107" s="24" t="str">
        <x:v>CLM-036</x:v>
      </x:c>
      <x:c r="B107" s="24" t="str">
        <x:v>CLAIM</x:v>
      </x:c>
      <x:c r="C107" s="24" t="str">
        <x:v>/remittances/ | /methodology/</x:v>
      </x:c>
      <x:c r="D107" s="24" t="str">
        <x:v>A reconstruction programme is documented; the exact CBY formula is not</x:v>
      </x:c>
      <x:c r="E107" s="28" t="str">
        <x:v>إعادة البناء الإحصائي موثقة، أما صيغة البنك المركزي الدقيقة فليست كذلك</x:v>
      </x:c>
      <x:c r="F107" s="24" t="str">
        <x:v>IMF documents a 2024–2025 external-sector statistical reconstruction effort with CBY-Aden, including a demographic-behavioural personal-transfer model where informal-channel data were limited. This establishes method context, not the exact formula or scope used in every CBY AR2025 remittance value.</x:v>
      </x:c>
      <x:c r="G107"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للتحويلات في تقرير البنك المركزي لعام 2025.</x:v>
      </x:c>
      <x:c r="H107" s="24" t="str">
        <x:v>This record describes the documented work of the IMF with the Central Bank of Yemen – Aden (CBY-Aden) in 2024–2025 to reconstruct external-sector statistics, including a model of personal transfers; it reports no value.</x:v>
      </x:c>
      <x:c r="I107"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7" s="24" t="str">
        <x:v>2014–2025 reconstruction / 2025–26 publication cycle</x:v>
      </x:c>
      <x:c r="K107" s="28" t="str">
        <x:v>إعادة بناء 2014–2025 / دورة النشر 2025–2026</x:v>
      </x:c>
      <x:c r="L107" s="24" t="str">
        <x:v>The IMF's analytical framework for external-sector statistics for areas under the internationally recognized government; component scopes and source methods vary</x:v>
      </x:c>
      <x:c r="M107" s="28" t="str">
        <x:v>الإطار التحليلي لإحصاءات القطاع الخارجي الخاص بمناطق الحكومة المعترف بها دوليًا؛ وتختلف نطاقات المكونات وطرق مصادرها.</x:v>
      </x:c>
      <x:c r="N107" s="24" t="str">
        <x:v>IMF documents: a D4D-II capacity-development progress report and the statistical annex of the IMF 2025 Article IV consultation.</x:v>
      </x:c>
      <x:c r="O107" s="28" t="str">
        <x:v>وثائق صادرة عن صندوق النقد الدولي: تقرير مرحلي لبرنامج D4D-II لتنمية القدرات، والملحق الإحصائي لمشاورات المادة الرابعة لعام 2025.</x:v>
      </x:c>
      <x:c r="P107"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7"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7" s="24" t="str">
        <x:v>The reconstruction work took place in 2024–2025, covers 2014 to 2025 and was documented in IMF publications of 2025–2026. The record describes method rather than a value and does not describe later method work unless newer documentation is published.</x:v>
      </x:c>
      <x:c r="S107"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SRC-IMF-D4D-YEM-ESS-2025; SRC-IMF-YEM-AIV-2025-2026; EP-IMF-CBY-REMIT-METHOD-K04; K04-CBY-060</x:v>
      </x:c>
      <x:c r="Y107" s="24" t="str">
        <x:v>[]</x:v>
      </x:c>
      <x:c r="Z107" t="str">
        <x:v>BOUND_EXACT</x:v>
      </x:c>
    </x:row>
    <x:row r="108">
      <x:c r="A108" s="24" t="str">
        <x:v>CLM-037</x:v>
      </x:c>
      <x:c r="B108" s="24" t="str">
        <x:v>CLAIM</x:v>
      </x:c>
      <x:c r="C108" s="24" t="str">
        <x:v>/remittances/ | /evidence/compare/</x:v>
      </x:c>
      <x:c r="D108" s="24" t="str">
        <x:v>The paths align after normalization; their levels are not equivalent</x:v>
      </x:c>
      <x:c r="E108" s="28" t="str">
        <x:v>يتطابق المساران تقريبًا عند تحويلهما إلى رقم قياسي، لكن مستوياتهما ليست متكافئة</x:v>
      </x:c>
      <x:c r="F108"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8" s="28" t="str">
        <x:v>عند تحويل سلسلتي التحويلات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8" s="24" t="str">
        <x:v>The annual growth paths of the CBY-Aden and IMF remittance series, each indexed to 2021 = 100, compared over 2021–2024.</x:v>
      </x:c>
      <x:c r="I108" s="28" t="str">
        <x:v>مسارا النمو السنوي لسلسلتي التحويلات لدى البنك المركزي اليمني – عدن وصندوق النقد الدولي، بعد تحويل كل منهما إلى رقم قياسي (2021 = 100)، مقارنَين خلال 2021–2024.</x:v>
      </x:c>
      <x:c r="J108" s="24" t="str">
        <x:v>Reference years 2021–2024 (indexed comparison), from the CBY-Aden Annual Report 2025 and the IMF 2025 Article IV consultation</x:v>
      </x:c>
      <x:c r="K108" s="28" t="str">
        <x:v>السنوات المرجعية 2021–2024 (مقارنة بالرقم القياسي)، من التقرير السنوي 2025 للبنك المركزي اليمني – عدن ومشاورات المادة الرابعة لعام 2025 لصندوق النقد الدولي</x:v>
      </x:c>
      <x:c r="L108" s="24" t="str">
        <x:v>The remittance series published by the Central Bank of Yemen – Aden (CBY-Aden) and the IMF series for areas under the internationally recognized government; the exact territorial and conceptual mapping between them remains open</x:v>
      </x:c>
      <x:c r="M108" s="28" t="str">
        <x:v>سلسلة التحويلات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مفتوحة.</x:v>
      </x:c>
      <x:c r="N108"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8"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8"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8"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8" s="24" t="str">
        <x:v>The latest year compared is 2024, from the CBY-Aden Annual Report 2025 and the IMF 2025 Article IV consultation. It should not be read as describing a later period unless newer comparable editions of both series are published.</x:v>
      </x:c>
      <x:c r="S108"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SRC-CBY-AR2025-BOP; SRC-IMF-YEM-AIV-2025-2026; EP-CBY-REMITTANCE-VINTAGE-K04; EP-IMF-CBY-REMIT-METHOD-K04</x:v>
      </x:c>
      <x:c r="Y108" s="24" t="str">
        <x:v>[]</x:v>
      </x:c>
      <x:c r="Z108" t="str">
        <x:v>BOUND_EXACT</x:v>
      </x:c>
    </x:row>
    <x:row r="109">
      <x:c r="A109" s="24" t="str">
        <x:v>CLM-038</x:v>
      </x:c>
      <x:c r="B109" s="24" t="str">
        <x:v>CLAIM</x:v>
      </x:c>
      <x:c r="C109" s="24" t="str">
        <x:v>/finance/ | /firms/ | /methodology/</x:v>
      </x:c>
      <x:c r="D109" s="24" t="str">
        <x:v>The 2023 valuation change has history, not a clean “first-ever” boundary</x:v>
      </x:c>
      <x:c r="E109" s="28" t="str">
        <x:v>لتغيير التقييم في 2023 سابقة تاريخية، وليس حدًا يصلح وصفه بأنه «الأول»</x:v>
      </x:c>
      <x:c r="F109"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9"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9" s="24" t="str">
        <x:v>This record traces how foreign-currency positions have been valued in Yemen's banking statistics, from 1996 IMF metadata to the January 2023 change documented by the Central Bank of Yemen – Aden (CBY-Aden); it reports no value.</x:v>
      </x:c>
      <x:c r="I109"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9" s="24" t="str">
        <x:v>1996 historical metadata; 2023 contemporary change; sources reviewed on 10 September 2026</x:v>
      </x:c>
      <x:c r="K109" s="28" t="str">
        <x:v>بيانات وصفية تاريخية من 1996؛ وتغيير معاصر في 2023؛ واطُّلع على المصادر في 10 سبتمبر 2026</x:v>
      </x:c>
      <x:c r="L109" s="24" t="str">
        <x:v>Foreign-currency-denominated accounts / bank foreign-currency positions under source-specific statistical/reporting scopes</x:v>
      </x:c>
      <x:c r="M109" s="28" t="str">
        <x:v>الحسابات المقومة بالعملات الأجنبية ومراكز العملات الأجنبية لدى البنوك ضمن نطاقات الإبلاغ أو الإحصاء الخاصة بكل مصدر.</x:v>
      </x:c>
      <x:c r="N109" s="24" t="str">
        <x:v>Cross-vintage method lineage from IMF metadata, CBY annual report and CBY MFD</x:v>
      </x:c>
      <x:c r="O109" s="28" t="str">
        <x:v>تتبع المنهج عبر نسخ متعددة من بيانات صندوق النقد والتقرير السنوي للبنك المركزي وبياناته النقدية والمالية.</x:v>
      </x:c>
      <x:c r="P109"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circular text and its legal and statistical lineage remain open.</x:v>
      </x:c>
      <x:c r="Q109"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التعميم والسلسلة القانونية/الإحصائية مفتوحة.</x:v>
      </x:c>
      <x:c r="R109" s="24" t="str">
        <x:v>The record rests on 1996 IMF metadata and the January 2023 change, with sources reviewed on 10 September 2026. It should not be read as describing later valuation practice unless newer documentation is published.</x:v>
      </x:c>
      <x:c r="S109"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SRC-IMF-YEM-EGDDS-VAL-1996; SRC-CBY-AR2023-001; EP-CBY-BANKING-VALUATION-LINEAGE-K04</x:v>
      </x:c>
      <x:c r="Y109" s="24" t="str">
        <x:v>[]</x:v>
      </x:c>
      <x:c r="Z109" t="str">
        <x:v>BOUND_EXACT</x:v>
      </x:c>
    </x:row>
    <x:row r="110">
      <x:c r="A110" s="24" t="str">
        <x:v>CLM-039</x:v>
      </x:c>
      <x:c r="B110" s="24" t="str">
        <x:v>CLAIM</x:v>
      </x:c>
      <x:c r="C110" s="24" t="str">
        <x:v>/remittances/ | /evidence/ | /methodology/</x:v>
      </x:c>
      <x:c r="D110" s="24" t="str">
        <x:v>A public interface is not the same thing as the underlying dataset</x:v>
      </x:c>
      <x:c r="E110" s="28" t="str">
        <x:v>واجهة البيانات العامة ليست هي مجموعة البيانات نفسها</x:v>
      </x:c>
      <x:c r="F110" s="24" t="str">
        <x:v>World Bank public remittance interfaces do not expose Yemen history uniformly. A surface reviewed on 2026-09-10 showed an older span while other World Bank surfaces and prior documented access vintages contained later observations. The difference is an interface/provenance state, not evidence that later underlying data are absent.</x:v>
      </x:c>
      <x:c r="G110" s="28" t="str">
        <x:v>لا تعرض واجهات البنك الدولي العامة الخاصة بالتحويلات تاريخ اليمن بصورة موحدة. فقد أظهرت واجهةٌ اطُّلع عليها في 10 سبتمبر 2026 نطاقًا أقدم، بينما احتوت واجهات أخرى ونسخ وصول موثقة سابقًا على مشاهدات أحدث. هذا اختلاف في ما تعرضه الواجهات وفي تتبع المصدر، وليس دليلًا على غياب البيانات الأحدث من مجموعة البيانات الأساسية.</x:v>
      </x:c>
      <x:c r="H110" s="24" t="str">
        <x:v>The difference, as reviewed on 10 September 2026, between the span of Yemen remittance observations shown on one World Bank public data interface and the later observations on other World Bank surfaces and in earlier documented access.</x:v>
      </x:c>
      <x:c r="I110" s="28" t="str">
        <x:v>الفرق، كما اطُّلع عليه في 10 سبتمبر 2026، بين نطاق مشاهدات التحويلات لليمن في إحدى واجهات بيانات البنك الدولي العامة والمشاهدات الأحدث في واجهات أخرى للبنك الدولي وفي نسخ وصول سابقة موثقة.</x:v>
      </x:c>
      <x:c r="J110" s="24" t="str">
        <x:v>World Bank public data surfaces as reviewed on 10 September 2026, and earlier documented access</x:v>
      </x:c>
      <x:c r="K110" s="28" t="str">
        <x:v>واجهات بيانات البنك الدولي العامة كما اطُّلع عليها في 10 سبتمبر 2026، ونسخ الوصول السابقة الموثقة</x:v>
      </x:c>
      <x:c r="L110" s="24" t="str">
        <x:v>Source/interface-specific</x:v>
      </x:c>
      <x:c r="M110" s="28" t="str">
        <x:v>النطاق الخاص بكل مصدر أو واجهة عرض.</x:v>
      </x:c>
      <x:c r="N110" s="24" t="str">
        <x:v>World Bank Data/WDI + documented prior source use</x:v>
      </x:c>
      <x:c r="O110" s="28" t="str">
        <x:v>واجهات بيانات البنك الدولي/WDI مع توثيق نسخ الوصول السابقة إلى المصدر.</x:v>
      </x:c>
      <x:c r="P110" s="24" t="str">
        <x:v>The difference does not show that data were deleted or withdrawn, or why any correction was made, and one public surface's observations are not a substitute for another's. | An interface endpoint does not establish underlying dataset absence, deletion or revision cause.</x:v>
      </x:c>
      <x:c r="Q110"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10" s="24" t="str">
        <x:v>The interfaces were reviewed on 10 September 2026, and what each shows may have changed since. The record should not be read as describing a later state of the interfaces unless they are reviewed again.</x:v>
      </x:c>
      <x:c r="S110"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Some figures in this record are drawn from the source(s) listed on this page; other inputs have not yet been linked to a specific original source. Check each figure against a listed source before reuse, and treat any figure you cannot match as unverified.</x:v>
      </x:c>
      <x:c r="W11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10" s="24" t="str">
        <x:v>SRC-WB-WDI-REMIT-YEM-CURRENT; EP-WB-WDI-REMITTANCE-VINTAGE-K04; CON-045; DS-K04-REMIT-SOURCE-LENSES</x:v>
      </x:c>
      <x:c r="Y110" s="24" t="str">
        <x:v>[]</x:v>
      </x:c>
      <x:c r="Z110" t="str">
        <x:v>BOUND_PARTIAL</x:v>
      </x:c>
    </x:row>
    <x:row r="111">
      <x:c r="A111" s="24" t="str">
        <x:v>CLM-059</x:v>
      </x:c>
      <x:c r="B111" s="24" t="str">
        <x:v>CLAIM</x:v>
      </x:c>
      <x:c r="C111" s="24" t="str">
        <x:v>/firms/</x:v>
      </x:c>
      <x:c r="D111" s="24" t="str">
        <x:v>SMEPS programme reach is evidence about the programme — not the national MSME universe</x:v>
      </x:c>
      <x:c r="E111" s="28" t="str">
        <x:v>وصول برنامج SMEPS دليل على نطاق البرنامج، لا على حجم قطاع المنشآت في اليمن</x:v>
      </x:c>
      <x:c r="F111" s="24" t="str">
        <x:v>The Small and Micro Enterprise Promotion Service (SMEPS) reports that in 2024 it supported 8,217 micro, small and medium enterprises (MSMEs) and disbursed USD 22,865,322. For 2021–2024 it reports support to 31,560 MSMEs and a USD 54.7 million programme total whose financial state (committed or disbursed) is not recorded in the evidence base. The 2021–2024 total may count the same enterprise in more than one year, so it is not a count of unique firms. These are programme results reported by SMEPS itself: they describe programme reach and finance, not national MSME prevalence or financial-sector lending.</x:v>
      </x:c>
      <x:c r="G111"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وبإجمالي برامجي قدره 54.7 مليون دولار لا تسجّل قاعدة الأدلة ما إذا كان مبلغًا ملتزَمًا به أم مصروفًا.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x:v>
      </x:c>
      <x:c r="H111" s="24" t="str">
        <x:v>The number of micro, small and medium enterprises (MSMEs) that SMEPS reports supporting, and the programme funds it reports, for 2024 and for 2021–2024.</x:v>
      </x:c>
      <x:c r="I111" s="28" t="str">
        <x:v>عدد المنشآت الأصغر والصغيرة والمتوسطة التي تفيد وكالة SMEPS بأنها دعمتها، والمبالغ البرامجية التي تفيد بها، لعام 2024 وللفترة 2021–2024.</x:v>
      </x:c>
      <x:c r="J111" s="24" t="str">
        <x:v>2024; cumulative 2021–2024</x:v>
      </x:c>
      <x:c r="K111" s="28" t="str">
        <x:v>2024؛ وتراكمي 2021–2024</x:v>
      </x:c>
      <x:c r="L111" s="24" t="str">
        <x:v>Micro, small and medium enterprises supported by SMEPS programmes, and the programme portfolio</x:v>
      </x:c>
      <x:c r="M111" s="28" t="str">
        <x:v>المنشآت الأصغر والصغيرة والمتوسطة التي دعمتها برامج وكالة SMEPS، ومحفظة هذه البرامج.</x:v>
      </x:c>
      <x:c r="N111" s="24" t="str">
        <x:v>Programme outputs and funding as reported by SMEPS in its 2024 annual report.</x:v>
      </x:c>
      <x:c r="O111" s="28" t="str">
        <x:v>مخرجات البرامج وتمويلها كما أوردتها وكالة SMEPS في تقريرها السنوي لعام 2024.</x:v>
      </x:c>
      <x:c r="P111" s="24" t="str">
        <x:v>Programme-supported MSMEs are not the national MSME universe, programme disbursement is not financial-sector lending, and programme outputs are not national or causal outcomes. The 2021–2024 total is not a count of unique firms. | Programme figures count the programme's own participants and disbursements; they are not drawn from a national sample of firms. Whether the USD 54.7 million 2021–2024 total is committed or disbursed funding is not recorded in the evidence base.</x:v>
      </x:c>
      <x:c r="Q111"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 تحصي أرقام البرنامج المشاركين فيه وما صرفه، ولا تستند إلى عينة وطنية من المنشآت. ولا تسجّل قاعدة الأدلة ما إذا كان إجمالي 54.7 مليون دولار للفترة 2021–2024 مبلغًا ملتزَمًا به أم مصروفًا.</x:v>
      </x:c>
      <x:c r="R111" s="24" t="str">
        <x:v>The latest observation in this record refers to 2024, with a cumulative total for 2021–2024. It should not be read as describing a later period unless a newer comparable observation is published.</x:v>
      </x:c>
      <x:c r="S111" s="28" t="str">
        <x:v>تعود أحدث مشاهدة في هذا السجل إلى عام 2024، مع إجمالي تراكمي للفترة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row>
    <x:row r="112">
      <x:c r="A112" s="24" t="str">
        <x:v>CLM-060</x:v>
      </x:c>
      <x:c r="B112" s="24" t="str">
        <x:v>CLAIM</x:v>
      </x:c>
      <x:c r="C112" s="24" t="str">
        <x:v>/firms/ | /evidence/</x:v>
      </x:c>
      <x:c r="D112" s="24" t="str">
        <x:v>The SMEPS financial-services KPI is a programme result, not a national MSME rate</x:v>
      </x:c>
      <x:c r="E112" s="28" t="str">
        <x:v>مؤشر SMEPS للوصول إلى الخدمات المالية نتيجة برنامجية، لا معدل وطني للمنشآت</x:v>
      </x:c>
      <x:c r="F112"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is therefore interpretable only within its programme universe, with that limitation visible; it is not a national MSME access rate.</x:v>
      </x:c>
      <x:c r="G112"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إبقاء هذا القيد ظاهرًا؛ ولا تمثل معدلًا وطنيًا لوصول المنشآت إلى الخدمات المالية.</x:v>
      </x:c>
      <x:c r="H112" s="24" t="str">
        <x:v>The share of SMEPS-supported micro, small and medium enterprises that SMEPS reports as having accessed financial services, for 2024 and cumulatively for 2021–2024, with the programme target.</x:v>
      </x:c>
      <x:c r="I112"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2" s="24" t="str">
        <x:v>2024; cumulative/target 2021–2024</x:v>
      </x:c>
      <x:c r="K112" s="28" t="str">
        <x:v>2024؛ والتراكمي/المستهدف 2021–2024</x:v>
      </x:c>
      <x:c r="L112" s="24" t="str">
        <x:v>SMEPS-supported MSMEs under the programme KPI</x:v>
      </x:c>
      <x:c r="M112" s="28" t="str">
        <x:v>المنشآت الأصغر والصغيرة والمتوسطة المدعومة من وكالة SMEPS ضمن قاعدة مؤشر الأداء البرامجي.</x:v>
      </x:c>
      <x:c r="N112" s="24" t="str">
        <x:v>Percentages as reported in the key performance indicator (KPI) table of the SMEPS 2024 annual report.</x:v>
      </x:c>
      <x:c r="O112" s="28" t="str">
        <x:v>النسب كما وردت في جدول مؤشرات الأداء الرئيسية في التقرير السنوي لوكالة SMEPS لعام 2024.</x:v>
      </x:c>
      <x:c r="P112"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2"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2" s="24" t="str">
        <x:v>The latest observation in this record refers to 2024; the cumulative result and the programme target cover 2021–2024. It should not be read as describing a later period unless a newer comparable observation is published.</x:v>
      </x:c>
      <x:c r="S112"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SRC-SMEPS-AR2024-2025</x:v>
      </x:c>
      <x:c r="Y112" s="24" t="str">
        <x:v>[{"source_id":"SRC-SMEPS-AR2024-2025","url":"https://smeps.org.ye/post/85","audit_state":"PASS_AUTHORITY_OR_PROVIDER_LOCATOR"}]</x:v>
      </x:c>
      <x:c r="Z112" t="str">
        <x:v>BOUND_EXACT</x:v>
      </x:c>
    </x:row>
    <x:row r="113">
      <x:c r="A113" s="24" t="str">
        <x:v>CLM-062</x:v>
      </x:c>
      <x:c r="B113" s="24" t="str">
        <x:v>CLAIM</x:v>
      </x:c>
      <x:c r="C113" s="24" t="str">
        <x:v>/firms/ | /evidence/</x:v>
      </x:c>
      <x:c r="D113" s="24" t="str">
        <x:v>Formal firms in the 2022 survey: accounts were common, bank finance for working capital was not</x:v>
      </x:c>
      <x:c r="E113" s="28" t="str">
        <x:v>المنشآت الرسمية في مسح 2022: الحساب المصرفي شائع، أما تمويل البنوك لرأس المال العامل فنادر</x:v>
      </x:c>
      <x:c r="F113"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3"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3" s="24" t="str">
        <x:v>Firm-level financial behaviour reported by a World Bank custom enterprise survey: account holding, average working-capital source shares, financial intermediaries used, and informal firms' account holding.</x:v>
      </x:c>
      <x:c r="I113" s="28" t="str">
        <x:v>سلوك مالي للمنشآت كما أورده مسح مخصص للمنشآت أجراه البنك الدولي: امتلاك الحساب، ومتوسط حصص مصادر رأس المال العامل، والوسطاء الماليون المستخدمون، وامتلاك المنشآت غير الرسمية للحسابات.</x:v>
      </x:c>
      <x:c r="J113" s="24" t="str">
        <x:v>2022 survey (September 2022); published 2024</x:v>
      </x:c>
      <x:c r="K113" s="28" t="str">
        <x:v>مسح 2022 (سبتمبر 2022)؛ نُشر في 2024</x:v>
      </x:c>
      <x:c r="L113" s="24" t="str">
        <x:v>Two separate samples in seven selected governorates: 328 formal enterprises (including micro firms with fewer than five employees) and 217 informal enterprises drawn from activity and location lists. Neither sample represents all Yemeni firms.</x:v>
      </x:c>
      <x:c r="M113"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3" s="24" t="str">
        <x:v>Tabulations reported by the source for the 2022 World Bank custom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with its base, Figures 114–115 (p. 151).</x:v>
      </x:c>
      <x:c r="O113" s="28" t="str">
        <x:v>جداول أوردها المصدر لمسح المنشآت المخصص الذي أجراه البنك الدولي عام 2022 (سبتمبر 2022)، في «التشخيص المالي لليمن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مع قاعدتها، الشكلان 114–115 (ص 151).</x:v>
      </x:c>
      <x:c r="P113" s="24" t="str">
        <x:v>The evidence base does not hold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3"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3" s="24" t="str">
        <x:v>The latest observation in this record refers to the 2022 survey (September 2022), published in 2024. It should not be read as describing a later period unless a newer comparable observation is published.</x:v>
      </x:c>
      <x:c r="S113" s="28" t="str">
        <x:v>تعود أحدث مشاهدة في هذا السجل إلى مسح 2022 (سبتمبر 2022) الذي نُشر في 2024، ولا تُقرأ على أنها تصف فترة لاحقة ما لم تُنشر مشاهدة أحدث قابلة للمقارنة.</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SRC-WB-FSD-2024-001</x:v>
      </x:c>
      <x:c r="Y113" s="24" t="str">
        <x:v>[{"source_id":"SRC-WB-FSD-2024-001","url":"https://documents1.worldbank.org/curated/en/099102324070011985/pdf/P177631-d18a7ee4-3fcf-4393-9665-77f98b3e43a7.pdf","audit_state":"PASS_AUTHORITY_OR_PROVIDER_LOCATOR"}]</x:v>
      </x:c>
      <x:c r="Z113" t="str">
        <x:v>BOUND_EXACT</x:v>
      </x:c>
    </x:row>
    <x:row r="114">
      <x:c r="A114" s="24" t="str">
        <x:v>FMIIP-BASELINE-2025-01</x:v>
      </x:c>
      <x:c r="B114" s="24" t="str">
        <x:v>TEMPORAL_OBSERVATION</x:v>
      </x:c>
      <x:c r="C114" s="24" t="str">
        <x:v>/reforms/ | /evidence/compare/</x:v>
      </x:c>
      <x:c r="D114" s="24" t="str">
        <x:v>FMIIP project baselines for January 2025 count accounts, access points, merchants and agents — not people</x:v>
      </x:c>
      <x:c r="E114" s="28" t="str">
        <x:v>خطوط الأساس لمشروع FMIIP في يناير 2025 تعدّ الحسابات ونقاط الوصول والتجار والوكلاء، لا الأشخاص</x:v>
      </x:c>
      <x:c r="F114"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4"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4"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4"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4" s="24" t="str">
        <x:v>January 2025 (project baseline)</x:v>
      </x:c>
      <x:c r="K114" s="28" t="str">
        <x:v>يناير 2025 (خط أساس المشروع)</x:v>
      </x:c>
      <x:c r="L114" s="24" t="str">
        <x:v>Project-defined indicators of the FMIIP results framework. The definitions and reporting scope behind each baseline are the project's own and are not documented in the evidence base.</x:v>
      </x:c>
      <x:c r="M114" s="28" t="str">
        <x:v>مؤشرات يعرّفها إطار نتائج مشروع FMIIP. وتعريفات كل خط أساس ونطاق الإبلاغ الخاص به تعود إلى المشروع نفسه، ولا توثقها قاعدة الأدلة.</x:v>
      </x:c>
      <x:c r="N114" s="24" t="str">
        <x:v>Baseline values as reported in the project's results framework.</x:v>
      </x:c>
      <x:c r="O114" s="28" t="str">
        <x:v>قيم خط الأساس كما يوردها إطار نتائج المشروع.</x:v>
      </x:c>
      <x:c r="P114"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x:v>
      </x:c>
      <x:c r="Q114"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x:v>
      </x:c>
      <x:c r="R114" s="24" t="str">
        <x:v>The baselines refer to January 2025, the project's starting reference. They should not be read as describing a later date; no later project result is held in this record.</x:v>
      </x:c>
      <x:c r="S114" s="28" t="str">
        <x:v>تعود خطوط الأساس إلى يناير 2025، نقطة الانطلاق المرجعية للمشروع، ولا تُقرأ على أنها تصف تاريخًا لاحقًا؛ ولا يتضمن هذا السجل أي نتيجة لاحقة للمشروع.</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SRC-WB-FMIIP-P180708</x:v>
      </x:c>
      <x:c r="Y114" s="24" t="str">
        <x:v>[{"source_id":"SRC-WB-FMIIP-P180708","url":"https://maps.worldbank.org/projects/wb/pid/P180708?status=active","audit_state":"PASS_AUTHORITY_OR_PROVIDER_LOCATOR"}]</x:v>
      </x:c>
      <x:c r="Z114" t="str">
        <x:v>BOUND_EXACT</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["73_PAYMENT_CURRENTNESS","REF-PAY-010..013","EP-CBY-PAY-INSTITUTIONAL-2026"]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x:v>
      </x:c>
      <x:c r="C62" s="24" t="str">
        <x:v>PRIMARY_PROGRAMME_OUTPUT</x:v>
      </x:c>
      <x:c r="D62" s="24" t="str">
        <x:v>PRIMARY_PROGRAMME_EVIDENCE</x:v>
      </x:c>
      <x:c r="E62" s="28" t="str">
        <x:v>["219_SMEPS_PROGRAMME_EVIDENCE","EP-SMEPS-2024-PROGRAMME"]</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domain_context_routes</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How can the evidence be interpreted when the same remittance reference year changes between published vintages?</x:v>
      </x:c>
      <x:c r="G5" s="28" t="str">
        <x:v>كيف يمكن تفسير الدليل عندما تتغير قيمة التحويلات الواردة في ميزان المدفوعات للسنة المرجعية نفسها بين نسخ النشر؟</x:v>
      </x:c>
      <x:c r="H5" s="24" t="str">
        <x:v>The 2024 remittance value differs materially between annual reports of the Central Bank of Yemen – Aden (CBY-Aden). That establishes a same-year restatement; it does not, by itself, establish year-on-year economic movement.</x:v>
      </x:c>
      <x:c r="I5" s="28" t="str">
        <x:v>تختلف قيمة التحويلات لعام 2024 بصورة جوهرية بين نسختين من التقرير السنوي للبنك المركزي اليمني – عدن. وهذا يثبت إعادة عرض للسنة نفسها، ولا يثبت في حد ذاته حركة اقتصادية بين عامين.</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["RV-CWR-001","VIS-REMITTANCE-MACRO","VIS-SOURCE-COMPARISON"]</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الثابتة تقريبًا البالغة نحو 1.838 بين سلسلتي التحويلات لدى البنك المركزي اليمني – عدن وصندوق النقد الدولي، أو حصة السكان البالغة 33% التي استخدمها الصندوق للمناطق التي تديرها عدن — معاملَ تحويل موحّدًا ينطبق على كل السلاسل؛ ولا يمثل صافي الأخطاء والسهو تحويلات مخفية؛ ولا يُعتمد تقدير ناتج عن نموذج المتبقي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row>
    <x:row r="6">
      <x:c r="A6" s="24" t="str">
        <x:v>CWR-002</x:v>
      </x:c>
      <x:c r="B6" s="24" t="str">
        <x:v>banking-jump-measurement-basis</x:v>
      </x:c>
      <x:c r="C6" s="24" t="str">
        <x:v>/readings/banking-jump-measurement-basis</x:v>
      </x:c>
      <x:c r="D6" s="24" t="str">
        <x:v>When a balance sheet jumps without the economy necessarily moving</x:v>
      </x:c>
      <x:c r="E6" s="28" t="str">
        <x:v>حين تقفز الميزانيات المصرفية من دون أن يكون الاقتصاد قد تحرك بالضرورة</x:v>
      </x:c>
      <x:c r="F6" s="24" t="str">
        <x:v>How should a published banking jump be read when the valuation or reporting basis also changes?</x:v>
      </x:c>
      <x:c r="G6" s="28" t="str">
        <x:v>كيف تُقرأ قفزة في الأرصدة المصرفية المنشورة عندما يتغير أيضًا أساس التقييم أو الإبلاغ؟</x:v>
      </x:c>
      <x:c r="H6" s="24" t="str">
        <x:v>Published banking stocks for the same reference period shift materially across vintages alongside a documented valuation change. A change in measurement basis can account for part of the published shift and needs to be separated from economic movement before intermediation or scale is interpreted.</x:v>
      </x:c>
      <x:c r="I6" s="28" t="str">
        <x:v>تغيرت أرصدة مصرفية منشورة للفترة المرجعية نفسها بصورة جوهرية بين نسخ النشر، بالتزامن مع تغيير موثق في أساس التقييم. ويمكن أن يفسر تغير أساس القياس جزءًا من التحول المنشور، لذلك يلزم فصله عن الحركة الاقتصادية قبل تفسير الوساطة أو الحجم.</x:v>
      </x:c>
      <x:c r="J6" s="24" t="str">
        <x:v>["CLM-033","CLM-038"]</x:v>
      </x:c>
      <x:c r="K6" s="24" t="str">
        <x:v>["CLM-033","CLM-038"]</x:v>
      </x:c>
      <x:c r="L6" s="24" t="str">
        <x:v>["K04-CBY-061", "AVA-005..008", "EP-CBY-BANKING-REVAL-K04", "EP-CBY-BANKING-VALUATION-LINEAGE-K04", "SRC-CBY-AR2022-001", "SRC-CBY-AR2023-001", "SRC-IMF-YEM-EGDDS-VAL-1996"]</x:v>
      </x:c>
      <x:c r="M6" s="24" t="str">
        <x:v>["RV-CWR-002","VIS-SOURCE-COMPARISON"]</x:v>
      </x:c>
      <x:c r="N6" s="24" t="str">
        <x:v>["CBY","banks","IMF/WB","researchers"]</x:v>
      </x:c>
      <x:c r="O6" s="24" t="str">
        <x:v>A same-year restatement does not show a credit or deposit boom or a change in solvency.</x:v>
      </x:c>
      <x:c r="P6" s="28" t="str">
        <x:v>لا تُظهر إعادة عرض السنة نفسها طفرة في الائتمان أو الودائع ولا تغيرًا في الملاءة.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row>
    <x:row r="7">
      <x:c r="A7" s="24" t="str">
        <x:v>CWR-003</x:v>
      </x:c>
      <x:c r="B7" s="24" t="str">
        <x:v>define-what-you-count</x:v>
      </x:c>
      <x:c r="C7" s="24" t="str">
        <x:v>/readings/define-what-you-count</x:v>
      </x:c>
      <x:c r="D7" s="24" t="str">
        <x:v>Targets depend on what is being counted</x:v>
      </x:c>
      <x:c r="E7" s="28" t="str">
        <x:v>تعتمد المستهدفات على ما يجري عدّه</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أم المعاملات؟</x:v>
      </x:c>
      <x:c r="H7" s="24" t="str">
        <x:v>Yemen's inclusion evidence mixes fundamentally different units. Targets become misleading when the unit silently changes between baseline, monitoring and outcome.</x:v>
      </x:c>
      <x:c r="I7" s="28" t="str">
        <x:v>تمزج أدلة الشمول المالي في اليمن وحدات مختلفة جوهريًا. يصبح المستهدف مضللًا حين تتغير الوحدة من دون تنبيه بين خط الأساس والمتابعة والنتيجة.</x:v>
      </x:c>
      <x:c r="J7" s="24" t="str">
        <x:v>["CLM-004","CLM-023","CLM-024","CLM-025","CLM-026"]</x:v>
      </x:c>
      <x:c r="K7" s="24" t="str">
        <x:v>["CLM-004","CLM-023","CLM-024","CLM-025","CLM-026","XW-FMIIP-005"]</x:v>
      </x:c>
      <x:c r="L7" s="24" t="str">
        <x:v>["CTR-006","SRC-WB-FINDEX-001","EP-FINDEX-2022-ACCOUNT"]</x:v>
      </x:c>
      <x:c r="M7" s="24" t="str">
        <x:v>["RV-CWR-003","VIS-PAYMENT-ANATOMY","VIS-TARGET-RESULT-STATE"]</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S7" t="str">
        <x:v>/people/; /payments/; /reforms/</x:v>
      </x:c>
    </x:row>
    <x:row r="8">
      <x:c r="A8" s="24" t="str">
        <x:v>CWR-004</x:v>
      </x:c>
      <x:c r="B8" s="24" t="str">
        <x:v>reforms-newer-than-people-evidence</x:v>
      </x:c>
      <x:c r="C8" s="24" t="str">
        <x:v>/readings/reforms-newer-than-people-evidence</x:v>
      </x:c>
      <x:c r="D8" s="24" t="str">
        <x:v>The reform clock is moving faster than the people-side evidence</x:v>
      </x:c>
      <x:c r="E8" s="28" t="str">
        <x:v>الإصلاحات أحدث من الأدلة السكانية</x:v>
      </x:c>
      <x:c r="F8" s="24" t="str">
        <x:v>What can we say when regulations, projects and payment infrastructure change after the latest population measurement?</x:v>
      </x:c>
      <x:c r="G8" s="28" t="str">
        <x:v>ماذا نستطيع أن نقول حين تتغير التنظيمات والمشروعات وبنية المدفوعات بعد أحدث قياس سكاني؟</x:v>
      </x:c>
      <x:c r="H8" s="24" t="str">
        <x:v>Several reform and infrastructure events have been recorded since the latest representative population-level inclusion survey, whose Yemen fieldwork ran from November 2022 to January 2023. The evidence therefore has to be read across several clocks: recent administrative change does not establish a population outcome, and the older population measure does not erase newer institutional change.</x:v>
      </x:c>
      <x:c r="I8" s="28" t="str">
        <x:v>شهد اليمن إصلاحات وتغيرات حديثة في البنية التحتية، بينما يظل أحدث القياس السكاني الممثل المتاح أقدم زمنيًا. لذلك تُقرأ الأدلة عبر توقيتات قياس مختلفة: فالتغير الإداري الحديث لا يثبت نتيجة سكانية، كما أن قدم القياس السكاني لا يلغي التغير المؤسسي الأحدث.</x:v>
      </x:c>
      <x:c r="J8" s="24" t="str">
        <x:v>["CLM-001","CLM-003","CLM-049","CLM-018","CLM-025"]</x:v>
      </x:c>
      <x:c r="K8" s="24" t="str">
        <x:v>["CLM-001","CLM-003","CLM-049","CLM-018","CLM-025"]</x:v>
      </x:c>
      <x:c r="L8" s="24" t="str">
        <x:v>["EP-FINDEX-2022-ACCOUNT","EP-CBY-POS-MONTHLY","SRC-IMF-YEM-SMP-2026"]</x:v>
      </x:c>
      <x:c r="M8" s="24" t="str">
        <x:v>["RV-CWR-004","VIS-EVIDENCE-FRESHNESS","VIS-POS-TERMINALS","VIS-PAYMENT-RAILS"]</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أو التنظيم أو البرامج، ولا يُعاد وصف مشاهدة مسح Findex الأقدم باعتبارها معدلًا سكانيًا لعام 2026.</x:v>
      </x:c>
      <x:c r="Q8" s="24" t="str">
        <x:v>{"claim_ids": ["CLM-001", "CLM-003", "CLM-049",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 /reforms/</x:v>
      </x:c>
      <x:c r="S8" t="str">
        <x:v>/access/</x:v>
      </x:c>
    </x:row>
    <x:row r="9">
      <x:c r="A9" s="24" t="str">
        <x:v>CWR-005</x:v>
      </x:c>
      <x:c r="B9" s="24" t="str">
        <x:v>digital-workaround-not-yet-durable-inclusion</x:v>
      </x:c>
      <x:c r="C9" s="24" t="str">
        <x:v>/readings/digital-workaround-not-yet-durable-inclusion</x:v>
      </x:c>
      <x:c r="D9" s="24" t="str">
        <x:v>When digital activity does not yet establish durable inclusion</x:v>
      </x:c>
      <x:c r="E9" s="28" t="str">
        <x:v>حين لا يثبت النشاط الرقمي بعدُ شمولًا ماليًا مستدامًا</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ومستدام؟</x:v>
      </x:c>
      <x:c r="H9" s="24" t="str">
        <x:v>Historical Yemen evidence shows account growth alongside dormancy, imposed/one-time use and a transaction mix still heavily connected to cash and account transfers. Digital activity can be economically important without proving durable inclusion.</x:v>
      </x:c>
      <x:c r="I9" s="28" t="str">
        <x:v>تُظهر الأدلة التاريخية نمو الحسابات بالتزامن مع الخمول والاستخدام المفروض أو لمرة واحدة، ومع مزيج من المعاملات ظل شديد الارتباط بالنقد والتحويل بين الحسابات. قد يكون النشاط الرقمي مهمًا اقتصاديًا من دون أن يثبت شمولًا مستدامًا.</x:v>
      </x:c>
      <x:c r="J9" s="24" t="str">
        <x:v>["CLM-050","CLM-051","CLM-052"]</x:v>
      </x:c>
      <x:c r="K9" s="24" t="str">
        <x:v>["CLM-050","CLM-051","CLM-052"]</x:v>
      </x:c>
      <x:c r="L9" s="24" t="str">
        <x:v>["EP-IBS-EMONEY-2019-K04","EP-IBS-EMONEY-VALUE-K04","EP-IBS-GEO-GENDER-K04"]</x:v>
      </x:c>
      <x:c r="M9" s="24" t="str">
        <x:v>["RV-CWR-005","VIS-PAYMENT-ANATOMY"]</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استخدامًا فريدًا أو متكررًا أو طوعيًا أو مستدامًا.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row>
    <x:row r="10">
      <x:c r="A10" s="24" t="str">
        <x:v>CWR-006</x:v>
      </x:c>
      <x:c r="B10" s="24" t="str">
        <x:v>microfinance-structural-divergence</x:v>
      </x:c>
      <x:c r="C10" s="24" t="str">
        <x:v>/readings/microfinance-structural-divergence</x:v>
      </x:c>
      <x:c r="D10" s="24" t="str">
        <x:v>Borrower counts, savers and nominal portfolio can move differently</x:v>
      </x:c>
      <x:c r="E10" s="28" t="str">
        <x:v>قد تتحرك أعداد المقترضين والمدخرين والمحفظة الاسمية بصورة مختلفة</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والمحفظة الاسمية في الاتجاه نفسه؟</x:v>
      </x:c>
      <x:c r="H10" s="24" t="str">
        <x:v>Borrower, saver and portfolio figures cannot yet be read as one story. Among providers reporting to the Social Fund for Development (SFD), verified primary tables record 93,118 active borrowers at end-2015 and 88,445 at end-2020, and a 2024 secondary source citing SFD/SMED data reports 78,686 for end-2023 for a set of providers not yet verified; with provider coverage and the period bridge unresolved, even these are separate data points rather than a trend. The saver and portfolio figures use different definitions and are nominal rials whose valuation across Yemen’s divided monetary areas is not recorded, so they cannot show whether saving or credit deepened. The evidence supports separate data points, not a story of ‘growth’, ‘deepening’ or ‘divergence’.</x:v>
      </x:c>
      <x:c r="I10" s="28" t="str">
        <x:v>لا يمكن بعدُ قراءة أرقام المقترضين والمدخرين والمحفظة بوصفها قصة واحدة. فلدى مقدمي الخدمات الذين يرفعون بياناتهم إلى الصندوق الاجتماعي للتنمية، تسجل الجداول الأصلية الموثقة 93,118 مقترضًا نشطًا في نهاية 2015 و88,445 في نهاية 2020، ويورد مصدر ثانوي منشور في 2024 يستند إلى بيانات SFD/SMED عدد 78,686 لنهاية 2023، لمجموعة من مقدمي الخدمات لم يُتحقق منها بعد؛ ومع بقاء نطاق مقدمي الخدمة والجسر الزمني دون حسم، تبقى هذه الأعداد نفسها نقاطًا مرجعية لا اتجاهًا. أما أرقام المدخرين والمحفظة فتستخدم تعريفات مختلفة، وهي قيم اسمية بالريال لا تسجل قاعدة الأدلة أساس تقييمها في ظل انقسام المناطق النقدية، فلا تكشف ما إذا كان الادخار أو الائتمان قد تعمق. وما تسنده الأدلة هو نقاط مرجعية منفصلة ومقيدة، لا قصة «نمو» أو «تعمق» أو «تباعد».</x:v>
      </x:c>
      <x:c r="J10" s="24" t="str">
        <x:v>["CLM-054","CLM-055","CLM-056","CLM-057","CLM-058"]</x:v>
      </x:c>
      <x:c r="K10" s="24" t="str">
        <x:v>["CLM-054","CLM-055","CLM-056","CLM-057","CLM-058"]</x:v>
      </x:c>
      <x:c r="L10" s="24" t="str">
        <x:v>["INS-K04-023","EP-CBY-BANK-ROSTER-2026","CON-057","SRC-SANAA-MF-2020","CON-058","SRC-WB-FSD-2024-001"]</x:v>
      </x:c>
      <x:c r="M10" s="24" t="str">
        <x:v>["RV-CWR-006","VIS-MFI-DIVERGENCE"]</x:v>
      </x:c>
      <x:c r="N10" s="24" t="str">
        <x:v>["CBY","SFD","MFBs/MFIs","DFIs","researchers"]</x:v>
      </x:c>
      <x:c r="O10" s="24" t="str">
        <x:v>Saver/depositor growth, nominal portfolio growth and changes in provider structure do not, on their own, establish broader inclusion, real credit deepening, market dominance, unique-person growth or improved borrower outcomes.</x:v>
      </x:c>
      <x:c r="P10" s="28" t="str">
        <x:v>لا يثبت نمو المدخرين أو المودعين، أو نمو المحفظة الاسمية، أو تغير هيكل مقدمي الخدمة، في حد ذاته اتساع الشمول أو تعمق الائتمان الحقيقي أو الهيمنة السوقية أو نمو عدد الأشخاص الفريدين أو تحسن نتائج المقترضين.</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x:v>
      </x:c>
      <x:c r="S10" t="str">
        <x:v>/providers/</x:v>
      </x:c>
    </x:row>
    <x:row r="11">
      <x:c r="A11" s="24" t="str">
        <x:v>CWR-007</x:v>
      </x:c>
      <x:c r="B11" s="24" t="str">
        <x:v>gender-gap-measured-causes-open</x:v>
      </x:c>
      <x:c r="C11" s="24" t="str">
        <x:v>/readings/gender-gap-measured-causes-open</x:v>
      </x:c>
      <x:c r="D11" s="24" t="str">
        <x:v>A gender gap is measured. Its causes are not.</x:v>
      </x:c>
      <x:c r="E11" s="28" t="str">
        <x:v>الفجوة بين النساء والرجال مقيسة، أما أسبابها فلم تُقَس</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Within the same Findex observation (the 2021 wave, with Yemen fieldwork in 2022–23), 5.44% of women and 18.35% of men had an account — a difference of 12.91 percentage points. That is a measured disparity. Documentation, phone access, income, work, distance, trust, household dynamics and product design are plausible mechanisms for investigation; the measured gap does not establish any of them as causes.</x:v>
      </x:c>
      <x:c r="I11" s="28" t="str">
        <x:v>ضمن مشاهدة Findex نفسها (موجة 2021، التي نُفذ عملها الميداني في اليمن خلال 2022–2023)، كان لدى 5.44% من النساء و18.35% من الرجال حساب، بفارق 12.91 نقطة مئوية. هذه فجوة مقاسة. أما الوثائق والهاتف والدخل والعمل والمسافة والثقة وديناميات الأسرة وتصميم المنتج فهي آليات محتملة للبحث؛ ولا تثبت الفجوة المقاسة أيًا منها بوصفه سببًا.</x:v>
      </x:c>
      <x:c r="J11" s="24" t="str">
        <x:v>["CLM-002","CLM-001","CLM-025"]</x:v>
      </x:c>
      <x:c r="K11" s="24" t="str">
        <x:v>["CLM-002","VIS-FINDEX-GAPS","CLM-001","CLM-025"]</x:v>
      </x:c>
      <x:c r="L11" s="24" t="str">
        <x:v>["DA-001","EP-FINDEX-2022-ACCOUNT"]</x:v>
      </x:c>
      <x:c r="M11" s="24" t="str">
        <x:v>["RV-CWR-007","VIS-FINDEX-GAPS","VIS-MECHANISM-METRIC-BRIDGE"]</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row>
    <x:row r="12">
      <x:c r="A12" s="24" t="str">
        <x:v>CWR-008</x:v>
      </x:c>
      <x:c r="B12" s="24" t="str">
        <x:v>finance-constraint-different-questions</x:v>
      </x:c>
      <x:c r="C12" s="24" t="str">
        <x:v>/readings/finance-constraint-different-questions</x:v>
      </x:c>
      <x:c r="D12" s="24" t="str">
        <x:v>Finance can be a serious constraint without being the most frequently named business challenge</x:v>
      </x:c>
      <x:c r="E12" s="28" t="str">
        <x:v>قد يكون التمويل قيدًا شديدًا من دون أن يكون التحدي الأكثر ذكرًا لدى المنشآت</x:v>
      </x:c>
      <x:c r="F12" s="24" t="str">
        <x:v>How can access to finance be reported by 22% as a business challenge while finance severity is very high in a different question?</x:v>
      </x:c>
      <x:c r="G12" s="28" t="str">
        <x:v>كيف تذكر 22% من المنشآت في مسح المحافظات السبع (2022) التمويلَ بين تحديات الأعمال، بينما تظهر شدة عالية لقيد التمويل في سؤال آخر؟</x:v>
      </x:c>
      <x:c r="H12" s="24" t="str">
        <x:v>The 22% general-challenge share and the finance-severity result answer different questions with different denominators. The Small and Micro Enterprise Promotion Service (SMEPS) adds a third lens: a source-reported programme KPI for supported MSMEs, not a representative national rate. The apparent contradictions disappear only when question, universe and denominator travel with each number.</x:v>
      </x:c>
      <x:c r="I12" s="28" t="str">
        <x:v>تجيب نسبة 22% ونتيجة شدة التمويل عن سؤالين مختلفين وبقاعدتي احتساب مختلفتين. وتضيف وكالة تنمية المنشآت الصغيرة والأصغر (SMEPS) عدسة ثالثة: مؤشر أداء برامجي كما أوردته الوكالة عن المنشآت الأصغر والصغيرة والمتوسطة التي دعمتها، لا معدلًا وطنيًا ممثلًا. ولا يزول التناقض الظاهري إلا عندما ترافق كل قيمة صياغةُ السؤال والمجتمعُ الذي ينطبق عليه الرقم وقاعدةُ الاحتساب.</x:v>
      </x:c>
      <x:c r="J12" s="24" t="str">
        <x:v>["CLM-005","CLM-006","CLM-060"]</x:v>
      </x:c>
      <x:c r="K12" s="24" t="str">
        <x:v>["CLM-005","CLM-006","CLM-060","VIS-FIRM-CONSTRAINTS"]</x:v>
      </x:c>
      <x:c r="L12" s="24" t="str">
        <x:v>["INS-004","EP-FIRM-2022","DA-020","EP-SMEPS-FINACCESS-KPI"]</x:v>
      </x:c>
      <x:c r="M12" s="24" t="str">
        <x:v>["RV-CWR-008","VIS-FIRM-CONSTRAINTS","VIS-FIRM-FINANCE-SEVERITY","VIS-TARGET-RESULT-STATE"]</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/finance/</x:v>
      </x:c>
    </x:row>
    <x:row r="13">
      <x:c r="A13" s="24" t="str">
        <x:v>CWR-009</x:v>
      </x:c>
      <x:c r="B13" s="24" t="str">
        <x:v>from-rail-to-result-missing-middle</x:v>
      </x:c>
      <x:c r="C13" s="24" t="str">
        <x:v>/readings/from-rail-to-result-missing-middle</x:v>
      </x:c>
      <x:c r="D13" s="24" t="str">
        <x:v>From rail to result: the missing middle matters</x:v>
      </x:c>
      <x:c r="E13" s="28" t="str">
        <x:v>من البنية إلى النتيجة: الحلقات الوسطى مهمة</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Infrastructure and reform evidence can establish rules, systems, implementation and activity. Inclusion requires additional evidence on access, use, quality and outcomes. Where the middle links are unmeasured, the evidence chain remains incomplete rather than established.</x:v>
      </x:c>
      <x:c r="I13" s="28" t="str">
        <x:v>يمكن لأدلة البنية والإصلاح أن تثبت وجود القاعدة التنظيمية أو النظام أو التنفيذ أو النشاط. أما الشمول فيحتاج إلى دليل إضافي على الوصول والاستخدام والجودة والنتائج. وعندما لا تُقاس الحلقات الوسطى تبقى سلسلة الدليل غير مكتملة بدل اعتبارها مثبتة.</x:v>
      </x:c>
      <x:c r="J13" s="24" t="str">
        <x:v>["CLM-003","CLM-004","CLM-018"]</x:v>
      </x:c>
      <x:c r="K13" s="24" t="str">
        <x:v>["CLM-003","CLM-004","CLM-018","XW-FMIIP-005"]</x:v>
      </x:c>
      <x:c r="L13" s="24" t="str">
        <x:v>["EP-CBY-POS-MONTHLY","CTR-006","EP-CBY-PAY-INSTITUTIONAL-2026"]</x:v>
      </x:c>
      <x:c r="M13" s="24" t="str">
        <x:v>["RV-CWR-009","VIS-PAYMENT-RAILS","VIS-TARGET-RESULT-STATE","VIS-INCLUSION-TRANSMISSION"]</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/access/; /reforms/</x:v>
      </x:c>
    </x:row>
    <x:row r="14">
      <x:c r="A14" s="24" t="str">
        <x:v>CWR-010</x:v>
      </x:c>
      <x:c r="B14" s="24" t="str">
        <x:v>after-transfer-persistence</x:v>
      </x:c>
      <x:c r="C14" s="24" t="str">
        <x:v>/readings/after-transfer-persistence</x:v>
      </x:c>
      <x:c r="D14" s="24" t="str">
        <x:v>After the transfer, the missing metric is persistence</x:v>
      </x:c>
      <x:c r="E14" s="28" t="str">
        <x:v>بعد صرف التحويلات النقدية: المقياس المفقود هو الاستمرارية</x:v>
      </x:c>
      <x:c r="F14" s="24" t="str">
        <x:v>When does a successful cash or social payment become sustained financial use?</x:v>
      </x:c>
      <x:c r="G14" s="28" t="str">
        <x:v>متى تتحول دفعة نقدية أو اجتماعية ناجحة إلى استخدام مالي مستمر؟</x:v>
      </x:c>
      <x:c r="H14" s="24" t="str">
        <x:v>Delivery, beneficiary reach, account/wallet exposure and successful payment can be measured without showing whether the recipient continues to use the financial service afterwards. The key missing evidence is whether use persists after the programme-driven transaction.</x:v>
      </x:c>
      <x:c r="I14" s="28" t="str">
        <x:v>يمكن قياس التسليم والوصول إلى المستفيدين واتصال المستفيد بحساب أو محفظة إلكترونية ونجاح الدفع من دون أن يثبت ذلك استمرار استخدام المستفيد للخدمة المالية بعد ذلك. أما الدليل الأساسي المفقود فهو ما إذا كان الاستخدام يستمر بعد المعاملة المرتبطة بالبرنامج.</x:v>
      </x:c>
      <x:c r="J14" s="24" t="str">
        <x:v>["CLM-045"]</x:v>
      </x:c>
      <x:c r="K14" s="24" t="str">
        <x:v>["CLM-045"]</x:v>
      </x:c>
      <x:c r="L14" s="24" t="str">
        <x:v>["EP-YEM-CASH-FIN-TRANSMISSION-K04", "SRC-WB-G2PX-YEM-UCT-2024-001"]</x:v>
      </x:c>
      <x:c r="M14" s="24" t="str">
        <x:v>["RV-CWR-010","VIS-INCLUSION-TRANSMISSION"]</x:v>
      </x:c>
      <x:c r="N14" s="24" t="str">
        <x:v>["Government","WB/UN","NGOs","CBY","banks/PSPs"]</x:v>
      </x:c>
      <x:c r="O14" s="24" t="str">
        <x:v>Beneficiaries, members of village savings and loan associations (VSLAs) and opened wallets or accounts are not durable active use unless follow-up shows continued use.</x:v>
      </x:c>
      <x:c r="P14" s="28" t="str">
        <x:v>لا يُعد المستفيدون أو أعضاء مجموعات الادخار والإقراض أو المحافظ الإلكترونية والحسابات المفتوحة استخدامًا نشطًا مستدامًا من دون متابعة لاحقة.</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S14" t="str">
        <x:v>/people/; /payments/</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supporting_evidence</x:v>
      </x:c>
      <x:c r="D6" s="24"/>
      <x:c r="E6" s="28"/>
      <x:c r="F6" s="24"/>
      <x:c r="G6" s="28"/>
    </x:row>
    <x:row r="7">
      <x:c r="A7" s="24" t="str">
        <x:v>CWR-001</x:v>
      </x:c>
      <x:c r="B7" s="24" t="n">
        <x:v>3</x:v>
      </x:c>
      <x:c r="C7" s="24" t="str">
        <x:v>qualifying_evidence</x:v>
      </x:c>
      <x:c r="D7" s="24"/>
      <x:c r="E7" s="28"/>
      <x:c r="F7" s="24"/>
      <x:c r="G7" s="28"/>
    </x:row>
    <x:row r="8">
      <x:c r="A8" s="24" t="str">
        <x:v>CWR-001</x:v>
      </x:c>
      <x:c r="B8" s="24" t="n">
        <x:v>4</x:v>
      </x:c>
      <x:c r="C8" s="24" t="str">
        <x:v>system_interpretation</x:v>
      </x:c>
      <x:c r="D8" s="24"/>
      <x:c r="E8" s="28"/>
      <x:c r="F8" s="24"/>
      <x:c r="G8" s="28"/>
    </x:row>
    <x:row r="9">
      <x:c r="A9" s="24" t="str">
        <x:v>CWR-001</x:v>
      </x:c>
      <x:c r="B9" s="24" t="n">
        <x:v>5</x:v>
      </x:c>
      <x:c r="C9" s="24" t="str">
        <x:v>does_not_establish</x:v>
      </x:c>
      <x:c r="D9" s="24"/>
      <x:c r="E9" s="28"/>
      <x:c r="F9" s="24"/>
      <x:c r="G9" s="28"/>
    </x:row>
    <x:row r="10">
      <x:c r="A10" s="24" t="str">
        <x:v>CWR-001</x:v>
      </x:c>
      <x:c r="B10" s="24" t="n">
        <x:v>6</x:v>
      </x:c>
      <x:c r="C10" s="24" t="str">
        <x:v>decision_implication</x:v>
      </x:c>
      <x:c r="D10" s="24"/>
      <x:c r="E10" s="28"/>
      <x:c r="F10" s="24"/>
      <x:c r="G10" s="28"/>
    </x:row>
    <x:row r="11">
      <x:c r="A11" s="24" t="str">
        <x:v>CWR-001</x:v>
      </x:c>
      <x:c r="B11" s="24" t="n">
        <x:v>7</x:v>
      </x:c>
      <x:c r="C11" s="24" t="str">
        <x:v>unknown</x:v>
      </x:c>
      <x:c r="D11" s="24"/>
      <x:c r="E11" s="28"/>
      <x:c r="F11" s="24"/>
      <x:c r="G11" s="28"/>
    </x:row>
    <x:row r="12">
      <x:c r="A12" s="24" t="str">
        <x:v>CWR-001</x:v>
      </x:c>
      <x:c r="B12" s="24" t="n">
        <x:v>8</x:v>
      </x:c>
      <x:c r="C12" s="24" t="str">
        <x:v>change_evidence</x:v>
      </x:c>
      <x:c r="D12" s="24"/>
      <x:c r="E12" s="28"/>
      <x:c r="F12" s="24"/>
      <x:c r="G12" s="28"/>
    </x:row>
    <x:row r="13">
      <x:c r="A13" s="24" t="str">
        <x:v>CWR-001</x:v>
      </x:c>
      <x:c r="B13" s="24" t="n">
        <x:v>9</x:v>
      </x:c>
      <x:c r="C13" s="24" t="str">
        <x:v>verification</x:v>
      </x:c>
      <x:c r="D13" s="24"/>
      <x:c r="E13" s="28"/>
      <x:c r="F13" s="24"/>
      <x:c r="G13" s="28"/>
    </x:row>
    <x:row r="14">
      <x:c r="A14" s="24" t="str">
        <x:v>CWR-002</x:v>
      </x:c>
      <x:c r="B14" s="24" t="n">
        <x:v>1</x:v>
      </x:c>
      <x:c r="C14" s="24" t="str">
        <x:v>strongest_reading</x:v>
      </x:c>
      <x:c r="D14" s="24" t="str">
        <x:v>What the evidence supports</x:v>
      </x:c>
      <x:c r="E14" s="28" t="str">
        <x:v>ما الذي تسنده الأدلة</x:v>
      </x:c>
      <x:c r="F14" s="24"/>
      <x:c r="G14" s="28"/>
    </x:row>
    <x:row r="15">
      <x:c r="A15" s="24" t="str">
        <x:v>CWR-002</x:v>
      </x:c>
      <x:c r="B15" s="24" t="n">
        <x:v>2</x:v>
      </x:c>
      <x:c r="C15" s="24" t="str">
        <x:v>supporting_evidence</x:v>
      </x:c>
      <x:c r="D15" s="24"/>
      <x:c r="E15" s="28"/>
      <x:c r="F15" s="24"/>
      <x:c r="G15" s="28"/>
    </x:row>
    <x:row r="16">
      <x:c r="A16" s="24" t="str">
        <x:v>CWR-002</x:v>
      </x:c>
      <x:c r="B16" s="24" t="n">
        <x:v>3</x:v>
      </x:c>
      <x:c r="C16" s="24" t="str">
        <x:v>qualifying_evidence</x:v>
      </x:c>
      <x:c r="D16" s="24"/>
      <x:c r="E16" s="28"/>
      <x:c r="F16" s="24"/>
      <x:c r="G16" s="28"/>
    </x:row>
    <x:row r="17">
      <x:c r="A17" s="24" t="str">
        <x:v>CWR-002</x:v>
      </x:c>
      <x:c r="B17" s="24" t="n">
        <x:v>4</x:v>
      </x:c>
      <x:c r="C17" s="24" t="str">
        <x:v>system_interpretation</x:v>
      </x:c>
      <x:c r="D17" s="24"/>
      <x:c r="E17" s="28"/>
      <x:c r="F17" s="24"/>
      <x:c r="G17" s="28"/>
    </x:row>
    <x:row r="18">
      <x:c r="A18" s="24" t="str">
        <x:v>CWR-002</x:v>
      </x:c>
      <x:c r="B18" s="24" t="n">
        <x:v>5</x:v>
      </x:c>
      <x:c r="C18" s="24" t="str">
        <x:v>does_not_establish</x:v>
      </x:c>
      <x:c r="D18" s="24"/>
      <x:c r="E18" s="28"/>
      <x:c r="F18" s="24"/>
      <x:c r="G18" s="28"/>
    </x:row>
    <x:row r="19">
      <x:c r="A19" s="24" t="str">
        <x:v>CWR-002</x:v>
      </x:c>
      <x:c r="B19" s="24" t="n">
        <x:v>6</x:v>
      </x:c>
      <x:c r="C19" s="24" t="str">
        <x:v>decision_implication</x:v>
      </x:c>
      <x:c r="D19" s="24"/>
      <x:c r="E19" s="28"/>
      <x:c r="F19" s="24"/>
      <x:c r="G19" s="28"/>
    </x:row>
    <x:row r="20">
      <x:c r="A20" s="24" t="str">
        <x:v>CWR-002</x:v>
      </x:c>
      <x:c r="B20" s="24" t="n">
        <x:v>7</x:v>
      </x:c>
      <x:c r="C20" s="24" t="str">
        <x:v>unknown</x:v>
      </x:c>
      <x:c r="D20" s="24"/>
      <x:c r="E20" s="28"/>
      <x:c r="F20" s="24"/>
      <x:c r="G20" s="28"/>
    </x:row>
    <x:row r="21">
      <x:c r="A21" s="24" t="str">
        <x:v>CWR-002</x:v>
      </x:c>
      <x:c r="B21" s="24" t="n">
        <x:v>8</x:v>
      </x:c>
      <x:c r="C21" s="24" t="str">
        <x:v>change_evidence</x:v>
      </x:c>
      <x:c r="D21" s="24"/>
      <x:c r="E21" s="28"/>
      <x:c r="F21" s="24"/>
      <x:c r="G21" s="28"/>
    </x:row>
    <x:row r="22">
      <x:c r="A22" s="24" t="str">
        <x:v>CWR-002</x:v>
      </x:c>
      <x:c r="B22" s="24" t="n">
        <x:v>9</x:v>
      </x:c>
      <x:c r="C22" s="24" t="str">
        <x:v>verification</x:v>
      </x:c>
      <x:c r="D22" s="24"/>
      <x:c r="E22" s="28"/>
      <x:c r="F22" s="24"/>
      <x:c r="G22" s="28"/>
    </x:row>
    <x:row r="23">
      <x:c r="A23" s="24" t="str">
        <x:v>CWR-003</x:v>
      </x:c>
      <x:c r="B23" s="24" t="n">
        <x:v>1</x:v>
      </x:c>
      <x:c r="C23" s="24" t="str">
        <x:v>strongest_reading</x:v>
      </x:c>
      <x:c r="D23" s="24" t="str">
        <x:v>What the evidence supports</x:v>
      </x:c>
      <x:c r="E23" s="28" t="str">
        <x:v>ما الذي تسنده الأدلة</x:v>
      </x:c>
      <x:c r="F23" s="24"/>
      <x:c r="G23" s="28"/>
    </x:row>
    <x:row r="24">
      <x:c r="A24" s="24" t="str">
        <x:v>CWR-003</x:v>
      </x:c>
      <x:c r="B24" s="24" t="n">
        <x:v>2</x:v>
      </x:c>
      <x:c r="C24" s="24" t="str">
        <x:v>supporting_evidence</x:v>
      </x:c>
      <x:c r="D24" s="24"/>
      <x:c r="E24" s="28"/>
      <x:c r="F24" s="24"/>
      <x:c r="G24" s="28"/>
    </x:row>
    <x:row r="25">
      <x:c r="A25" s="24" t="str">
        <x:v>CWR-003</x:v>
      </x:c>
      <x:c r="B25" s="24" t="n">
        <x:v>3</x:v>
      </x:c>
      <x:c r="C25" s="24" t="str">
        <x:v>qualifying_evidence</x:v>
      </x:c>
      <x:c r="D25" s="24"/>
      <x:c r="E25" s="28"/>
      <x:c r="F25" s="24"/>
      <x:c r="G25" s="28"/>
    </x:row>
    <x:row r="26">
      <x:c r="A26" s="24" t="str">
        <x:v>CWR-003</x:v>
      </x:c>
      <x:c r="B26" s="24" t="n">
        <x:v>4</x:v>
      </x:c>
      <x:c r="C26" s="24" t="str">
        <x:v>system_interpretation</x:v>
      </x:c>
      <x:c r="D26" s="24"/>
      <x:c r="E26" s="28"/>
      <x:c r="F26" s="24"/>
      <x:c r="G26" s="28"/>
    </x:row>
    <x:row r="27">
      <x:c r="A27" s="24" t="str">
        <x:v>CWR-003</x:v>
      </x:c>
      <x:c r="B27" s="24" t="n">
        <x:v>5</x:v>
      </x:c>
      <x:c r="C27" s="24" t="str">
        <x:v>does_not_establish</x:v>
      </x:c>
      <x:c r="D27" s="24"/>
      <x:c r="E27" s="28"/>
      <x:c r="F27" s="24"/>
      <x:c r="G27" s="28"/>
    </x:row>
    <x:row r="28">
      <x:c r="A28" s="24" t="str">
        <x:v>CWR-003</x:v>
      </x:c>
      <x:c r="B28" s="24" t="n">
        <x:v>6</x:v>
      </x:c>
      <x:c r="C28" s="24" t="str">
        <x:v>decision_implication</x:v>
      </x:c>
      <x:c r="D28" s="24"/>
      <x:c r="E28" s="28"/>
      <x:c r="F28" s="24"/>
      <x:c r="G28" s="28"/>
    </x:row>
    <x:row r="29">
      <x:c r="A29" s="24" t="str">
        <x:v>CWR-003</x:v>
      </x:c>
      <x:c r="B29" s="24" t="n">
        <x:v>7</x:v>
      </x:c>
      <x:c r="C29" s="24" t="str">
        <x:v>unknown</x:v>
      </x:c>
      <x:c r="D29" s="24"/>
      <x:c r="E29" s="28"/>
      <x:c r="F29" s="24"/>
      <x:c r="G29" s="28"/>
    </x:row>
    <x:row r="30">
      <x:c r="A30" s="24" t="str">
        <x:v>CWR-003</x:v>
      </x:c>
      <x:c r="B30" s="24" t="n">
        <x:v>8</x:v>
      </x:c>
      <x:c r="C30" s="24" t="str">
        <x:v>change_evidence</x:v>
      </x:c>
      <x:c r="D30" s="24"/>
      <x:c r="E30" s="28"/>
      <x:c r="F30" s="24"/>
      <x:c r="G30" s="28"/>
    </x:row>
    <x:row r="31">
      <x:c r="A31" s="24" t="str">
        <x:v>CWR-003</x:v>
      </x:c>
      <x:c r="B31" s="24" t="n">
        <x:v>9</x:v>
      </x:c>
      <x:c r="C31" s="24" t="str">
        <x:v>verification</x:v>
      </x:c>
      <x:c r="D31" s="24"/>
      <x:c r="E31" s="28"/>
      <x:c r="F31" s="24"/>
      <x:c r="G31" s="28"/>
    </x:row>
    <x:row r="32">
      <x:c r="A32" s="24" t="str">
        <x:v>CWR-004</x:v>
      </x:c>
      <x:c r="B32" s="24" t="n">
        <x:v>1</x:v>
      </x:c>
      <x:c r="C32" s="24" t="str">
        <x:v>strongest_reading</x:v>
      </x:c>
      <x:c r="D32" s="24" t="str">
        <x:v>What the evidence supports</x:v>
      </x:c>
      <x:c r="E32" s="28" t="str">
        <x:v>ما الذي تسنده الأدلة</x:v>
      </x:c>
      <x:c r="F32" s="24"/>
      <x:c r="G32" s="28"/>
    </x:row>
    <x:row r="33">
      <x:c r="A33" s="24" t="str">
        <x:v>CWR-004</x:v>
      </x:c>
      <x:c r="B33" s="24" t="n">
        <x:v>2</x:v>
      </x:c>
      <x:c r="C33" s="24" t="str">
        <x:v>supporting_evidence</x:v>
      </x:c>
      <x:c r="D33" s="24"/>
      <x:c r="E33" s="28"/>
      <x:c r="F33" s="24"/>
      <x:c r="G33" s="28"/>
    </x:row>
    <x:row r="34">
      <x:c r="A34" s="24" t="str">
        <x:v>CWR-004</x:v>
      </x:c>
      <x:c r="B34" s="24" t="n">
        <x:v>3</x:v>
      </x:c>
      <x:c r="C34" s="24" t="str">
        <x:v>qualifying_evidence</x:v>
      </x:c>
      <x:c r="D34" s="24"/>
      <x:c r="E34" s="28"/>
      <x:c r="F34" s="24"/>
      <x:c r="G34" s="28"/>
    </x:row>
    <x:row r="35">
      <x:c r="A35" s="24" t="str">
        <x:v>CWR-004</x:v>
      </x:c>
      <x:c r="B35" s="24" t="n">
        <x:v>4</x:v>
      </x:c>
      <x:c r="C35" s="24" t="str">
        <x:v>system_interpretation</x:v>
      </x:c>
      <x:c r="D35" s="24"/>
      <x:c r="E35" s="28"/>
      <x:c r="F35" s="24"/>
      <x:c r="G35" s="28"/>
    </x:row>
    <x:row r="36">
      <x:c r="A36" s="24" t="str">
        <x:v>CWR-004</x:v>
      </x:c>
      <x:c r="B36" s="24" t="n">
        <x:v>5</x:v>
      </x:c>
      <x:c r="C36" s="24" t="str">
        <x:v>does_not_establish</x:v>
      </x:c>
      <x:c r="D36" s="24"/>
      <x:c r="E36" s="28"/>
      <x:c r="F36" s="24"/>
      <x:c r="G36" s="28"/>
    </x:row>
    <x:row r="37">
      <x:c r="A37" s="24" t="str">
        <x:v>CWR-004</x:v>
      </x:c>
      <x:c r="B37" s="24" t="n">
        <x:v>6</x:v>
      </x:c>
      <x:c r="C37" s="24" t="str">
        <x:v>decision_implication</x:v>
      </x:c>
      <x:c r="D37" s="24"/>
      <x:c r="E37" s="28"/>
      <x:c r="F37" s="24"/>
      <x:c r="G37" s="28"/>
    </x:row>
    <x:row r="38">
      <x:c r="A38" s="24" t="str">
        <x:v>CWR-004</x:v>
      </x:c>
      <x:c r="B38" s="24" t="n">
        <x:v>7</x:v>
      </x:c>
      <x:c r="C38" s="24" t="str">
        <x:v>unknown</x:v>
      </x:c>
      <x:c r="D38" s="24"/>
      <x:c r="E38" s="28"/>
      <x:c r="F38" s="24"/>
      <x:c r="G38" s="28"/>
    </x:row>
    <x:row r="39">
      <x:c r="A39" s="24" t="str">
        <x:v>CWR-004</x:v>
      </x:c>
      <x:c r="B39" s="24" t="n">
        <x:v>8</x:v>
      </x:c>
      <x:c r="C39" s="24" t="str">
        <x:v>change_evidence</x:v>
      </x:c>
      <x:c r="D39" s="24"/>
      <x:c r="E39" s="28"/>
      <x:c r="F39" s="24"/>
      <x:c r="G39" s="28"/>
    </x:row>
    <x:row r="40">
      <x:c r="A40" s="24" t="str">
        <x:v>CWR-004</x:v>
      </x:c>
      <x:c r="B40" s="24" t="n">
        <x:v>9</x:v>
      </x:c>
      <x:c r="C40" s="24" t="str">
        <x:v>verification</x:v>
      </x:c>
      <x:c r="D40" s="24"/>
      <x:c r="E40" s="28"/>
      <x:c r="F40" s="24"/>
      <x:c r="G40" s="28"/>
    </x:row>
    <x:row r="41">
      <x:c r="A41" s="24" t="str">
        <x:v>CWR-005</x:v>
      </x:c>
      <x:c r="B41" s="24" t="n">
        <x:v>1</x:v>
      </x:c>
      <x:c r="C41" s="24" t="str">
        <x:v>strongest_reading</x:v>
      </x:c>
      <x:c r="D41" s="24" t="str">
        <x:v>What the evidence supports</x:v>
      </x:c>
      <x:c r="E41" s="28" t="str">
        <x:v>ما الذي تسنده الأدلة</x:v>
      </x:c>
      <x:c r="F41" s="24"/>
      <x:c r="G41" s="28"/>
    </x:row>
    <x:row r="42">
      <x:c r="A42" s="24" t="str">
        <x:v>CWR-005</x:v>
      </x:c>
      <x:c r="B42" s="24" t="n">
        <x:v>2</x:v>
      </x:c>
      <x:c r="C42" s="24" t="str">
        <x:v>supporting_evidence</x:v>
      </x:c>
      <x:c r="D42" s="24"/>
      <x:c r="E42" s="28"/>
      <x:c r="F42" s="24"/>
      <x:c r="G42" s="28"/>
    </x:row>
    <x:row r="43">
      <x:c r="A43" s="24" t="str">
        <x:v>CWR-005</x:v>
      </x:c>
      <x:c r="B43" s="24" t="n">
        <x:v>3</x:v>
      </x:c>
      <x:c r="C43" s="24" t="str">
        <x:v>qualifying_evidence</x:v>
      </x:c>
      <x:c r="D43" s="24"/>
      <x:c r="E43" s="28"/>
      <x:c r="F43" s="24"/>
      <x:c r="G43" s="28"/>
    </x:row>
    <x:row r="44">
      <x:c r="A44" s="24" t="str">
        <x:v>CWR-005</x:v>
      </x:c>
      <x:c r="B44" s="24" t="n">
        <x:v>4</x:v>
      </x:c>
      <x:c r="C44" s="24" t="str">
        <x:v>system_interpretation</x:v>
      </x:c>
      <x:c r="D44" s="24"/>
      <x:c r="E44" s="28"/>
      <x:c r="F44" s="24"/>
      <x:c r="G44" s="28"/>
    </x:row>
    <x:row r="45">
      <x:c r="A45" s="24" t="str">
        <x:v>CWR-005</x:v>
      </x:c>
      <x:c r="B45" s="24" t="n">
        <x:v>5</x:v>
      </x:c>
      <x:c r="C45" s="24" t="str">
        <x:v>does_not_establish</x:v>
      </x:c>
      <x:c r="D45" s="24"/>
      <x:c r="E45" s="28"/>
      <x:c r="F45" s="24"/>
      <x:c r="G45" s="28"/>
    </x:row>
    <x:row r="46">
      <x:c r="A46" s="24" t="str">
        <x:v>CWR-005</x:v>
      </x:c>
      <x:c r="B46" s="24" t="n">
        <x:v>6</x:v>
      </x:c>
      <x:c r="C46" s="24" t="str">
        <x:v>decision_implication</x:v>
      </x:c>
      <x:c r="D46" s="24"/>
      <x:c r="E46" s="28"/>
      <x:c r="F46" s="24"/>
      <x:c r="G46" s="28"/>
    </x:row>
    <x:row r="47">
      <x:c r="A47" s="24" t="str">
        <x:v>CWR-005</x:v>
      </x:c>
      <x:c r="B47" s="24" t="n">
        <x:v>7</x:v>
      </x:c>
      <x:c r="C47" s="24" t="str">
        <x:v>unknown</x:v>
      </x:c>
      <x:c r="D47" s="24"/>
      <x:c r="E47" s="28"/>
      <x:c r="F47" s="24"/>
      <x:c r="G47" s="28"/>
    </x:row>
    <x:row r="48">
      <x:c r="A48" s="24" t="str">
        <x:v>CWR-005</x:v>
      </x:c>
      <x:c r="B48" s="24" t="n">
        <x:v>8</x:v>
      </x:c>
      <x:c r="C48" s="24" t="str">
        <x:v>change_evidence</x:v>
      </x:c>
      <x:c r="D48" s="24"/>
      <x:c r="E48" s="28"/>
      <x:c r="F48" s="24"/>
      <x:c r="G48" s="28"/>
    </x:row>
    <x:row r="49">
      <x:c r="A49" s="24" t="str">
        <x:v>CWR-005</x:v>
      </x:c>
      <x:c r="B49" s="24" t="n">
        <x:v>9</x:v>
      </x:c>
      <x:c r="C49" s="24" t="str">
        <x:v>verification</x:v>
      </x:c>
      <x:c r="D49" s="24"/>
      <x:c r="E49" s="28"/>
      <x:c r="F49" s="24"/>
      <x:c r="G49" s="28"/>
    </x:row>
    <x:row r="50">
      <x:c r="A50" s="24" t="str">
        <x:v>CWR-006</x:v>
      </x:c>
      <x:c r="B50" s="24" t="n">
        <x:v>1</x:v>
      </x:c>
      <x:c r="C50" s="24" t="str">
        <x:v>strongest_reading</x:v>
      </x:c>
      <x:c r="D50" s="24" t="str">
        <x:v>What the evidence supports</x:v>
      </x:c>
      <x:c r="E50" s="28" t="str">
        <x:v>ما الذي تسنده الأدلة</x:v>
      </x:c>
      <x:c r="F50" s="24"/>
      <x:c r="G50" s="28"/>
    </x:row>
    <x:row r="51">
      <x:c r="A51" s="24" t="str">
        <x:v>CWR-006</x:v>
      </x:c>
      <x:c r="B51" s="24" t="n">
        <x:v>2</x:v>
      </x:c>
      <x:c r="C51" s="24" t="str">
        <x:v>supporting_evidence</x:v>
      </x:c>
      <x:c r="D51" s="24"/>
      <x:c r="E51" s="28"/>
      <x:c r="F51" s="24"/>
      <x:c r="G51" s="28"/>
    </x:row>
    <x:row r="52">
      <x:c r="A52" s="24" t="str">
        <x:v>CWR-006</x:v>
      </x:c>
      <x:c r="B52" s="24" t="n">
        <x:v>3</x:v>
      </x:c>
      <x:c r="C52" s="24" t="str">
        <x:v>qualifying_evidence</x:v>
      </x:c>
      <x:c r="D52" s="24"/>
      <x:c r="E52" s="28"/>
      <x:c r="F52" s="24"/>
      <x:c r="G52" s="28"/>
    </x:row>
    <x:row r="53">
      <x:c r="A53" s="24" t="str">
        <x:v>CWR-006</x:v>
      </x:c>
      <x:c r="B53" s="24" t="n">
        <x:v>4</x:v>
      </x:c>
      <x:c r="C53" s="24" t="str">
        <x:v>system_interpretation</x:v>
      </x:c>
      <x:c r="D53" s="24"/>
      <x:c r="E53" s="28"/>
      <x:c r="F53" s="24"/>
      <x:c r="G53" s="28"/>
    </x:row>
    <x:row r="54">
      <x:c r="A54" s="24" t="str">
        <x:v>CWR-006</x:v>
      </x:c>
      <x:c r="B54" s="24" t="n">
        <x:v>5</x:v>
      </x:c>
      <x:c r="C54" s="24" t="str">
        <x:v>does_not_establish</x:v>
      </x:c>
      <x:c r="D54" s="24"/>
      <x:c r="E54" s="28"/>
      <x:c r="F54" s="24"/>
      <x:c r="G54" s="28"/>
    </x:row>
    <x:row r="55">
      <x:c r="A55" s="24" t="str">
        <x:v>CWR-006</x:v>
      </x:c>
      <x:c r="B55" s="24" t="n">
        <x:v>6</x:v>
      </x:c>
      <x:c r="C55" s="24" t="str">
        <x:v>decision_implication</x:v>
      </x:c>
      <x:c r="D55" s="24"/>
      <x:c r="E55" s="28"/>
      <x:c r="F55" s="24"/>
      <x:c r="G55" s="28"/>
    </x:row>
    <x:row r="56">
      <x:c r="A56" s="24" t="str">
        <x:v>CWR-006</x:v>
      </x:c>
      <x:c r="B56" s="24" t="n">
        <x:v>7</x:v>
      </x:c>
      <x:c r="C56" s="24" t="str">
        <x:v>unknown</x:v>
      </x:c>
      <x:c r="D56" s="24"/>
      <x:c r="E56" s="28"/>
      <x:c r="F56" s="24"/>
      <x:c r="G56" s="28"/>
    </x:row>
    <x:row r="57">
      <x:c r="A57" s="24" t="str">
        <x:v>CWR-006</x:v>
      </x:c>
      <x:c r="B57" s="24" t="n">
        <x:v>8</x:v>
      </x:c>
      <x:c r="C57" s="24" t="str">
        <x:v>change_evidence</x:v>
      </x:c>
      <x:c r="D57" s="24"/>
      <x:c r="E57" s="28"/>
      <x:c r="F57" s="24"/>
      <x:c r="G57" s="28"/>
    </x:row>
    <x:row r="58">
      <x:c r="A58" s="24" t="str">
        <x:v>CWR-006</x:v>
      </x:c>
      <x:c r="B58" s="24" t="n">
        <x:v>9</x:v>
      </x:c>
      <x:c r="C58" s="24" t="str">
        <x:v>verification</x:v>
      </x:c>
      <x:c r="D58" s="24"/>
      <x:c r="E58" s="28"/>
      <x:c r="F58" s="24"/>
      <x:c r="G58" s="28"/>
    </x:row>
    <x:row r="59">
      <x:c r="A59" s="24" t="str">
        <x:v>CWR-007</x:v>
      </x:c>
      <x:c r="B59" s="24" t="n">
        <x:v>1</x:v>
      </x:c>
      <x:c r="C59" s="24" t="str">
        <x:v>strongest_reading</x:v>
      </x:c>
      <x:c r="D59" s="24" t="str">
        <x:v>What the evidence supports</x:v>
      </x:c>
      <x:c r="E59" s="28" t="str">
        <x:v>ما الذي تسنده الأدلة</x:v>
      </x:c>
      <x:c r="F59" s="24"/>
      <x:c r="G59" s="28"/>
    </x:row>
    <x:row r="60">
      <x:c r="A60" s="24" t="str">
        <x:v>CWR-007</x:v>
      </x:c>
      <x:c r="B60" s="24" t="n">
        <x:v>2</x:v>
      </x:c>
      <x:c r="C60" s="24" t="str">
        <x:v>supporting_evidence</x:v>
      </x:c>
      <x:c r="D60" s="24"/>
      <x:c r="E60" s="28"/>
      <x:c r="F60" s="24"/>
      <x:c r="G60" s="28"/>
    </x:row>
    <x:row r="61">
      <x:c r="A61" s="24" t="str">
        <x:v>CWR-007</x:v>
      </x:c>
      <x:c r="B61" s="24" t="n">
        <x:v>3</x:v>
      </x:c>
      <x:c r="C61" s="24" t="str">
        <x:v>qualifying_evidence</x:v>
      </x:c>
      <x:c r="D61" s="24"/>
      <x:c r="E61" s="28"/>
      <x:c r="F61" s="24"/>
      <x:c r="G61" s="28"/>
    </x:row>
    <x:row r="62">
      <x:c r="A62" s="24" t="str">
        <x:v>CWR-007</x:v>
      </x:c>
      <x:c r="B62" s="24" t="n">
        <x:v>4</x:v>
      </x:c>
      <x:c r="C62" s="24" t="str">
        <x:v>system_interpretation</x:v>
      </x:c>
      <x:c r="D62" s="24"/>
      <x:c r="E62" s="28"/>
      <x:c r="F62" s="24"/>
      <x:c r="G62" s="28"/>
    </x:row>
    <x:row r="63">
      <x:c r="A63" s="24" t="str">
        <x:v>CWR-007</x:v>
      </x:c>
      <x:c r="B63" s="24" t="n">
        <x:v>5</x:v>
      </x:c>
      <x:c r="C63" s="24" t="str">
        <x:v>does_not_establish</x:v>
      </x:c>
      <x:c r="D63" s="24"/>
      <x:c r="E63" s="28"/>
      <x:c r="F63" s="24"/>
      <x:c r="G63" s="28"/>
    </x:row>
    <x:row r="64">
      <x:c r="A64" s="24" t="str">
        <x:v>CWR-007</x:v>
      </x:c>
      <x:c r="B64" s="24" t="n">
        <x:v>6</x:v>
      </x:c>
      <x:c r="C64" s="24" t="str">
        <x:v>decision_implication</x:v>
      </x:c>
      <x:c r="D64" s="24"/>
      <x:c r="E64" s="28"/>
      <x:c r="F64" s="24"/>
      <x:c r="G64" s="28"/>
    </x:row>
    <x:row r="65">
      <x:c r="A65" s="24" t="str">
        <x:v>CWR-007</x:v>
      </x:c>
      <x:c r="B65" s="24" t="n">
        <x:v>7</x:v>
      </x:c>
      <x:c r="C65" s="24" t="str">
        <x:v>unknown</x:v>
      </x:c>
      <x:c r="D65" s="24"/>
      <x:c r="E65" s="28"/>
      <x:c r="F65" s="24"/>
      <x:c r="G65" s="28"/>
    </x:row>
    <x:row r="66">
      <x:c r="A66" s="24" t="str">
        <x:v>CWR-007</x:v>
      </x:c>
      <x:c r="B66" s="24" t="n">
        <x:v>8</x:v>
      </x:c>
      <x:c r="C66" s="24" t="str">
        <x:v>change_evidence</x:v>
      </x:c>
      <x:c r="D66" s="24"/>
      <x:c r="E66" s="28"/>
      <x:c r="F66" s="24"/>
      <x:c r="G66" s="28"/>
    </x:row>
    <x:row r="67">
      <x:c r="A67" s="24" t="str">
        <x:v>CWR-007</x:v>
      </x:c>
      <x:c r="B67" s="24" t="n">
        <x:v>9</x:v>
      </x:c>
      <x:c r="C67" s="24" t="str">
        <x:v>verification</x:v>
      </x:c>
      <x:c r="D67" s="24"/>
      <x:c r="E67" s="28"/>
      <x:c r="F67" s="24"/>
      <x:c r="G67" s="28"/>
    </x:row>
    <x:row r="68">
      <x:c r="A68" s="24" t="str">
        <x:v>CWR-008</x:v>
      </x:c>
      <x:c r="B68" s="24" t="n">
        <x:v>1</x:v>
      </x:c>
      <x:c r="C68" s="24" t="str">
        <x:v>strongest_reading</x:v>
      </x:c>
      <x:c r="D68" s="24" t="str">
        <x:v>What the evidence supports</x:v>
      </x:c>
      <x:c r="E68" s="28" t="str">
        <x:v>ما الذي تسنده الأدلة</x:v>
      </x:c>
      <x:c r="F68" s="24"/>
      <x:c r="G68" s="28"/>
    </x:row>
    <x:row r="69">
      <x:c r="A69" s="24" t="str">
        <x:v>CWR-008</x:v>
      </x:c>
      <x:c r="B69" s="24" t="n">
        <x:v>2</x:v>
      </x:c>
      <x:c r="C69" s="24" t="str">
        <x:v>supporting_evidence</x:v>
      </x:c>
      <x:c r="D69" s="24"/>
      <x:c r="E69" s="28"/>
      <x:c r="F69" s="24"/>
      <x:c r="G69" s="28"/>
    </x:row>
    <x:row r="70">
      <x:c r="A70" s="24" t="str">
        <x:v>CWR-008</x:v>
      </x:c>
      <x:c r="B70" s="24" t="n">
        <x:v>3</x:v>
      </x:c>
      <x:c r="C70" s="24" t="str">
        <x:v>qualifying_evidence</x:v>
      </x:c>
      <x:c r="D70" s="24"/>
      <x:c r="E70" s="28"/>
      <x:c r="F70" s="24"/>
      <x:c r="G70" s="28"/>
    </x:row>
    <x:row r="71">
      <x:c r="A71" s="24" t="str">
        <x:v>CWR-008</x:v>
      </x:c>
      <x:c r="B71" s="24" t="n">
        <x:v>4</x:v>
      </x:c>
      <x:c r="C71" s="24" t="str">
        <x:v>system_interpretation</x:v>
      </x:c>
      <x:c r="D71" s="24"/>
      <x:c r="E71" s="28"/>
      <x:c r="F71" s="24"/>
      <x:c r="G71" s="28"/>
    </x:row>
    <x:row r="72">
      <x:c r="A72" s="24" t="str">
        <x:v>CWR-008</x:v>
      </x:c>
      <x:c r="B72" s="24" t="n">
        <x:v>5</x:v>
      </x:c>
      <x:c r="C72" s="24" t="str">
        <x:v>does_not_establish</x:v>
      </x:c>
      <x:c r="D72" s="24"/>
      <x:c r="E72" s="28"/>
      <x:c r="F72" s="24"/>
      <x:c r="G72" s="28"/>
    </x:row>
    <x:row r="73">
      <x:c r="A73" s="24" t="str">
        <x:v>CWR-008</x:v>
      </x:c>
      <x:c r="B73" s="24" t="n">
        <x:v>6</x:v>
      </x:c>
      <x:c r="C73" s="24" t="str">
        <x:v>decision_implication</x:v>
      </x:c>
      <x:c r="D73" s="24"/>
      <x:c r="E73" s="28"/>
      <x:c r="F73" s="24"/>
      <x:c r="G73" s="28"/>
    </x:row>
    <x:row r="74">
      <x:c r="A74" s="24" t="str">
        <x:v>CWR-008</x:v>
      </x:c>
      <x:c r="B74" s="24" t="n">
        <x:v>7</x:v>
      </x:c>
      <x:c r="C74" s="24" t="str">
        <x:v>unknown</x:v>
      </x:c>
      <x:c r="D74" s="24"/>
      <x:c r="E74" s="28"/>
      <x:c r="F74" s="24"/>
      <x:c r="G74" s="28"/>
    </x:row>
    <x:row r="75">
      <x:c r="A75" s="24" t="str">
        <x:v>CWR-008</x:v>
      </x:c>
      <x:c r="B75" s="24" t="n">
        <x:v>8</x:v>
      </x:c>
      <x:c r="C75" s="24" t="str">
        <x:v>change_evidence</x:v>
      </x:c>
      <x:c r="D75" s="24"/>
      <x:c r="E75" s="28"/>
      <x:c r="F75" s="24"/>
      <x:c r="G75" s="28"/>
    </x:row>
    <x:row r="76">
      <x:c r="A76" s="24" t="str">
        <x:v>CWR-008</x:v>
      </x:c>
      <x:c r="B76" s="24" t="n">
        <x:v>9</x:v>
      </x:c>
      <x:c r="C76" s="24" t="str">
        <x:v>verification</x:v>
      </x:c>
      <x:c r="D76" s="24"/>
      <x:c r="E76" s="28"/>
      <x:c r="F76" s="24"/>
      <x:c r="G76" s="28"/>
    </x:row>
    <x:row r="77">
      <x:c r="A77" s="24" t="str">
        <x:v>CWR-009</x:v>
      </x:c>
      <x:c r="B77" s="24" t="n">
        <x:v>1</x:v>
      </x:c>
      <x:c r="C77" s="24" t="str">
        <x:v>strongest_reading</x:v>
      </x:c>
      <x:c r="D77" s="24" t="str">
        <x:v>What the evidence supports</x:v>
      </x:c>
      <x:c r="E77" s="28" t="str">
        <x:v>ما الذي تسنده الأدلة</x:v>
      </x:c>
      <x:c r="F77" s="24"/>
      <x:c r="G77" s="28"/>
    </x:row>
    <x:row r="78">
      <x:c r="A78" s="24" t="str">
        <x:v>CWR-009</x:v>
      </x:c>
      <x:c r="B78" s="24" t="n">
        <x:v>2</x:v>
      </x:c>
      <x:c r="C78" s="24" t="str">
        <x:v>supporting_evidence</x:v>
      </x:c>
      <x:c r="D78" s="24"/>
      <x:c r="E78" s="28"/>
      <x:c r="F78" s="24"/>
      <x:c r="G78" s="28"/>
    </x:row>
    <x:row r="79">
      <x:c r="A79" s="24" t="str">
        <x:v>CWR-009</x:v>
      </x:c>
      <x:c r="B79" s="24" t="n">
        <x:v>3</x:v>
      </x:c>
      <x:c r="C79" s="24" t="str">
        <x:v>qualifying_evidence</x:v>
      </x:c>
      <x:c r="D79" s="24"/>
      <x:c r="E79" s="28"/>
      <x:c r="F79" s="24"/>
      <x:c r="G79" s="28"/>
    </x:row>
    <x:row r="80">
      <x:c r="A80" s="24" t="str">
        <x:v>CWR-009</x:v>
      </x:c>
      <x:c r="B80" s="24" t="n">
        <x:v>4</x:v>
      </x:c>
      <x:c r="C80" s="24" t="str">
        <x:v>system_interpretation</x:v>
      </x:c>
      <x:c r="D80" s="24"/>
      <x:c r="E80" s="28"/>
      <x:c r="F80" s="24"/>
      <x:c r="G80" s="28"/>
    </x:row>
    <x:row r="81">
      <x:c r="A81" s="24" t="str">
        <x:v>CWR-009</x:v>
      </x:c>
      <x:c r="B81" s="24" t="n">
        <x:v>5</x:v>
      </x:c>
      <x:c r="C81" s="24" t="str">
        <x:v>does_not_establish</x:v>
      </x:c>
      <x:c r="D81" s="24"/>
      <x:c r="E81" s="28"/>
      <x:c r="F81" s="24"/>
      <x:c r="G81" s="28"/>
    </x:row>
    <x:row r="82">
      <x:c r="A82" s="24" t="str">
        <x:v>CWR-009</x:v>
      </x:c>
      <x:c r="B82" s="24" t="n">
        <x:v>6</x:v>
      </x:c>
      <x:c r="C82" s="24" t="str">
        <x:v>decision_implication</x:v>
      </x:c>
      <x:c r="D82" s="24"/>
      <x:c r="E82" s="28"/>
      <x:c r="F82" s="24"/>
      <x:c r="G82" s="28"/>
    </x:row>
    <x:row r="83">
      <x:c r="A83" s="24" t="str">
        <x:v>CWR-009</x:v>
      </x:c>
      <x:c r="B83" s="24" t="n">
        <x:v>7</x:v>
      </x:c>
      <x:c r="C83" s="24" t="str">
        <x:v>unknown</x:v>
      </x:c>
      <x:c r="D83" s="24"/>
      <x:c r="E83" s="28"/>
      <x:c r="F83" s="24"/>
      <x:c r="G83" s="28"/>
    </x:row>
    <x:row r="84">
      <x:c r="A84" s="24" t="str">
        <x:v>CWR-009</x:v>
      </x:c>
      <x:c r="B84" s="24" t="n">
        <x:v>8</x:v>
      </x:c>
      <x:c r="C84" s="24" t="str">
        <x:v>change_evidence</x:v>
      </x:c>
      <x:c r="D84" s="24"/>
      <x:c r="E84" s="28"/>
      <x:c r="F84" s="24"/>
      <x:c r="G84" s="28"/>
    </x:row>
    <x:row r="85">
      <x:c r="A85" s="24" t="str">
        <x:v>CWR-009</x:v>
      </x:c>
      <x:c r="B85" s="24" t="n">
        <x:v>9</x:v>
      </x:c>
      <x:c r="C85" s="24" t="str">
        <x:v>verification</x:v>
      </x:c>
      <x:c r="D85" s="24"/>
      <x:c r="E85" s="28"/>
      <x:c r="F85" s="24"/>
      <x:c r="G85" s="28"/>
    </x:row>
    <x:row r="86">
      <x:c r="A86" s="24" t="str">
        <x:v>CWR-010</x:v>
      </x:c>
      <x:c r="B86" s="24" t="n">
        <x:v>1</x:v>
      </x:c>
      <x:c r="C86" s="24" t="str">
        <x:v>strongest_reading</x:v>
      </x:c>
      <x:c r="D86" s="24" t="str">
        <x:v>What the evidence supports</x:v>
      </x:c>
      <x:c r="E86" s="28" t="str">
        <x:v>ما الذي تسنده الأدلة</x:v>
      </x:c>
      <x:c r="F86" s="24"/>
      <x:c r="G86" s="28"/>
    </x:row>
    <x:row r="87">
      <x:c r="A87" s="24" t="str">
        <x:v>CWR-010</x:v>
      </x:c>
      <x:c r="B87" s="24" t="n">
        <x:v>2</x:v>
      </x:c>
      <x:c r="C87" s="24" t="str">
        <x:v>supporting_evidence</x:v>
      </x:c>
      <x:c r="D87" s="24"/>
      <x:c r="E87" s="28"/>
      <x:c r="F87" s="24"/>
      <x:c r="G87" s="28"/>
    </x:row>
    <x:row r="88">
      <x:c r="A88" s="24" t="str">
        <x:v>CWR-010</x:v>
      </x:c>
      <x:c r="B88" s="24" t="n">
        <x:v>3</x:v>
      </x:c>
      <x:c r="C88" s="24" t="str">
        <x:v>qualifying_evidence</x:v>
      </x:c>
      <x:c r="D88" s="24"/>
      <x:c r="E88" s="28"/>
      <x:c r="F88" s="24"/>
      <x:c r="G88" s="28"/>
    </x:row>
    <x:row r="89">
      <x:c r="A89" s="24" t="str">
        <x:v>CWR-010</x:v>
      </x:c>
      <x:c r="B89" s="24" t="n">
        <x:v>4</x:v>
      </x:c>
      <x:c r="C89" s="24" t="str">
        <x:v>system_interpretation</x:v>
      </x:c>
      <x:c r="D89" s="24"/>
      <x:c r="E89" s="28"/>
      <x:c r="F89" s="24"/>
      <x:c r="G89" s="28"/>
    </x:row>
    <x:row r="90">
      <x:c r="A90" s="24" t="str">
        <x:v>CWR-010</x:v>
      </x:c>
      <x:c r="B90" s="24" t="n">
        <x:v>5</x:v>
      </x:c>
      <x:c r="C90" s="24" t="str">
        <x:v>does_not_establish</x:v>
      </x:c>
      <x:c r="D90" s="24"/>
      <x:c r="E90" s="28"/>
      <x:c r="F90" s="24"/>
      <x:c r="G90" s="28"/>
    </x:row>
    <x:row r="91">
      <x:c r="A91" s="24" t="str">
        <x:v>CWR-010</x:v>
      </x:c>
      <x:c r="B91" s="24" t="n">
        <x:v>6</x:v>
      </x:c>
      <x:c r="C91" s="24" t="str">
        <x:v>decision_implication</x:v>
      </x:c>
      <x:c r="D91" s="24"/>
      <x:c r="E91" s="28"/>
      <x:c r="F91" s="24"/>
      <x:c r="G91" s="28"/>
    </x:row>
    <x:row r="92">
      <x:c r="A92" s="24" t="str">
        <x:v>CWR-010</x:v>
      </x:c>
      <x:c r="B92" s="24" t="n">
        <x:v>7</x:v>
      </x:c>
      <x:c r="C92" s="24" t="str">
        <x:v>unknown</x:v>
      </x:c>
      <x:c r="D92" s="24"/>
      <x:c r="E92" s="28"/>
      <x:c r="F92" s="24"/>
      <x:c r="G92" s="28"/>
    </x:row>
    <x:row r="93">
      <x:c r="A93" s="24" t="str">
        <x:v>CWR-010</x:v>
      </x:c>
      <x:c r="B93" s="24" t="n">
        <x:v>8</x:v>
      </x:c>
      <x:c r="C93" s="24" t="str">
        <x:v>change_evidence</x:v>
      </x:c>
      <x:c r="D93" s="24"/>
      <x:c r="E93" s="28"/>
      <x:c r="F93" s="24"/>
      <x:c r="G93" s="28"/>
    </x:row>
    <x:row r="94">
      <x:c r="A94" s="24" t="str">
        <x:v>CWR-010</x:v>
      </x:c>
      <x:c r="B94" s="24" t="n">
        <x:v>9</x:v>
      </x:c>
      <x:c r="C94" s="24" t="str">
        <x:v>verification</x:v>
      </x:c>
      <x:c r="D94" s="24"/>
      <x:c r="E94" s="28"/>
      <x:c r="F94" s="24"/>
      <x:c r="G94"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in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تمثيلي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سكاني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within this evidence agenda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بفعل الظروف؛ لكن المستخدمين الفريدين والمتكررين لا يُقاسون باتساق.</x:v>
      </x:c>
      <x:c r="J6" s="24" t="str">
        <x:v>Provider/rail administrative data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واستخدام التجار والاستخدام المالي المستدام.</x:v>
      </x:c>
      <x:c r="P6" s="24" t="str">
        <x:v>Whether digital finance is repeat use rather than registration or one-off activity.,Which channels/providers support sustained use.,How much administrative activity can be interpreted as durable financial use.</x:v>
      </x:c>
      <x:c r="Q6" s="28" t="str">
        <x:v>هل يعكس التمويل الرقمي استخدامًا متكررًا أم مجرد تسجيل أو نشاطًا لمرة واحدة؟,ما القنوات أو مقدمو الخدمات الذين يرتبطون باستخدام أكثر استمرارية؟,إلى أي مدى يمكن تفسير النشاط الإداري باعتباره استخدامًا ماليًا مستدامًا؟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provider/rail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within this evidence agenda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12.91 percentage points between women (5.44%) and men (18.35%), and by about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(5.44%) والرجال (18.35%) بمقدار 12.91 نقطة مئوية، وبين البالغين في أفقر 40% (6.5%) وأغنى 60% (15.5%) بحسب دخل الأسرة بنحو 9.0 نقاط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within this evidence agenda because one material disparity is measured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 مهمًا واحدًا مقاس بالفعل،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A 2022 survey of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الذي شمل سبع محافظات عام 2022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Do not trend incompatible 2013/2022 frames without variable-level comparability. SMEPS 2024 adds a primary programme KPI (19% of supported MSMEs accessed financial services) but does not close the need for a current representative MSME demand/use baseline; the KPI's metric-specific assessment base remains open.</x:v>
      </x:c>
      <x:c r="M8" s="28" t="str">
        <x:v>لا يجوز إنشاء اتجاه بين أطر 2013 و2022 من دون اختبار المقارنة على مستوى المتغيرات.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within this evidence agenda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and route denominators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السكان أو المناطق التي تواجه مسافات أطول أو كثافة أقل في قنوات الخدمة؟,ما المواقع المدرجة أو المرخصة التي لا يمكن بعد التحقق من تشغيلها؟</x:v>
      </x:c>
      <x:c r="R9" s="24" t="str">
        <x:v>A current, source-dated, disclosure-documented operating access-point registry.</x:v>
      </x:c>
      <x:c r="S9" s="28" t="str">
        <x:v>سجل حديث لنقاط الوصول العاملة، مؤرخ بالمصدر ومحكوم بقواعد الإفصاح.</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within this evidence agenda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Unlocks a defensible access atlas and travel/coverage analysis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remain open.</x:v>
      </x:c>
      <x:c r="I10" s="28" t="str">
        <x:v>تحدد المواد الرسمية بنية الشكوى والتصعيد والمدد المرتبطة بها، بينما تظل أحجام الشكاوى وأزمنة المعالجة والنتائج الفعلية مفتوحة.</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within this evidence agenda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الهوية/اعرف عميلك التي تولد أكبر احتكاك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within this evidence agenda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فشل محددة يمكن اختبارها ومعالجتها.</x:v>
      </x:c>
      <x:c r="Z11" s="24" t="str">
        <x:v>Onboarding funnel with reason codes</x:v>
      </x:c>
      <x:c r="AA11" s="28" t="str">
        <x:v>مسار الانضمام للخدمة من البداية إلى الاكتمال مع أسباب التعثر</x:v>
      </x:c>
      <x:c r="AB11" s="24" t="str">
        <x:v>["/people","/payments","/providers"]</x:v>
      </x:c>
    </x:row>
    <x:row r="12">
      <x:c r="A12" s="24" t="str">
        <x:v>MA-008</x:v>
      </x:c>
      <x:c r="B12" s="24" t="str">
        <x:v>P1</x:v>
      </x:c>
      <x:c r="C12" s="24" t="str">
        <x:v>Credit-infrastructure reach and actual use</x:v>
      </x:c>
      <x:c r="D12" s="28" t="str">
        <x:v>وصول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project and institutional states can establish that credit infrastructure exists or is being developed; lender participation, inquiry use and borrower reach are not yet documented as one complete evidence chain.</x:v>
      </x:c>
      <x:c r="I12" s="28" t="str">
        <x:v>قد تثبت الأوضاع القانونية والمشروعات والمؤسسات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within this evidence agenda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row>
    <x:row r="13">
      <x:c r="A13" s="24" t="str">
        <x:v>MA-009</x:v>
      </x:c>
      <x:c r="B13" s="24" t="str">
        <x:v>P0</x:v>
      </x:c>
      <x:c r="C13" s="24" t="str">
        <x:v>Post-transfer persistence</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آمنة تحمي الخصوصية بين استلام التحويل النقدي ثم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مستدامًا.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transfer-related account/wallet exposure persists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within this evidence agenda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فعلًا؟,أين تتوقف سلسلة الانتقال عن امتلاك دليل؟,ما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reform owner access and indicator definitions.</x:v>
      </x:c>
      <x:c r="U14" s="28" t="str">
        <x:v>متوسطة — تعتمد على الوصول إلى مالك الإصلاح وعلى وضوح تعريفات المؤشرات.</x:v>
      </x:c>
      <x:c r="V14" s="24" t="str">
        <x:v>P0 within this evidence agenda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What must sit underneath a mobile wallet?</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named-provider set is known.</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إلى عملة أجنبية ضمن نطاقه، ويضع سقوفًا لحسابات الأفراد: 1,000,000 ريال للمعاملة الواحدة، و2,000,000 يوميًا، و5,000,000 شهريًا، و50,000,000 سنويًا؛ و400 و500 و1,000 و10,000 دولار أو ما يعادلها لحسابات العملة الأجنبية؛ وحدًّا أقصى للرصيد قدره 8,000,000 ريال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promoted into one another.</x:v>
      </x:c>
      <x:c r="J6" s="28" t="str">
        <x:v>يحمي حدود الاستنتاج بين فئات الدليل، فلا تُرقّى التصورات إلى نتائج سكانية، ولا التوصيات إلى تنفيذ، ولا المعالم المؤسسية إلى أثر.</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x:v>
      </x:c>
      <x:c r="Q6" s="24" t="str">
        <x:v>Content version dated 26 September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vintage by domain and evidence class,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Content version dated 26 September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البيانات الإدارية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سكانية تمثيلية أساسية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مكانية متعذرة، أو مجتمع قياس غير محسوم.</x:v>
      </x:c>
      <x:c r="I8" s="24" t="str">
        <x:v>Shows typed evidence gaps—missing periods, bases, primary files, mappable locations and unresolved universes—so missingness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content version dated 26 September 2026</x:v>
      </x:c>
      <x:c r="R8" s="24" t="str">
        <x:v>Matrix/timeline with explicit gap types; blank/unknown never plotted as zero.</x:v>
      </x:c>
      <x:c r="S8" s="24" t="str">
        <x:v>A gap is not zero, and it is not evidence of absence or failure.</x:v>
      </x:c>
      <x:c r="T8" s="28" t="str">
        <x:v>الفجوة ليست صفرًا وليست دليلًا على الغياب أو الفشل.</x:v>
      </x:c>
      <x:c r="U8" s="24" t="str">
        <x:v>The evidence gaps recorded in this resource as of the content version dated 26 September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نسخة المحتوى المؤرخة في 26 سبتمبر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ونافذة المعالجة البالغة 10 أيام عمل، وإمكان التمديد بشروطه، ومحفزات التصعيد، ونافذة التصعيد إلى البنك المركزي في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فعالية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no data on complaint volumes, resolution quality or enforcement are held.</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فعالية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so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ولذلك 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2023–2025 activity + latest available capability reference</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that level remains open;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يبقى هذا المستوى مفتوحًا؛ فالمشاركة في نشاط لا تثبت بذاتها تحسن القدرة أو تحقق أثر.</x:v>
      </x:c>
      <x:c r="W11" s="24" t="str">
        <x:v>["/people"]</x:v>
      </x:c>
    </x:row>
    <x:row r="12">
      <x:c r="A12" s="24" t="str">
        <x:v>VIS-INCLUSION-TRANSMISSION</x:v>
      </x:c>
      <x:c r="B12" s="24" t="str">
        <x:v>Financial inclusion is a connected system, not a sector score</x:v>
      </x:c>
      <x:c r="C12" s="28" t="str">
        <x:v>الشمول المالي منظومة مترابطة، لا درجة واحدة</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الحوالات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والقيود المُمكِّنة أو المعطِّلة.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جسر تحقق إلى مصدر أولي، مع كتابة التفسير المسموح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source-bounded / multi-period</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primary-verification needs that have an explicit supported relationship.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Consumer protection and financial capability: from framework to implementation</x:v>
      </x:c>
      <x:c r="C14" s="28" t="str">
        <x:v>حماية المستهلك والقدرة المالية: من الإطار إلى التنفيذ</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وأداء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x:v>
      </x:c>
      <x:c r="Q14" s="24" t="str">
        <x:v>2021 to 2024;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فعالية الحماية، ولا يرفع تحليل منظمة التعاون والتنمية في الميدان الاقتصادي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no evidence on implementation, complaint handling, enforcement or consumer outcomes is held;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والتنمية في الميدان الاقتصادي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crosswalk and deduplication method exists.</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both are kept and neither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وتبقى القيمتان ظاهرتين ولا تُصحَّح أي منهما.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Mar-2025–Jan-2026 monthly</x:v>
      </x:c>
      <x:c r="L16" s="24" t="str">
        <x:v>HIGH_ADMIN</x:v>
      </x:c>
      <x:c r="M16" s="24" t="str">
        <x:v>2025-03→2026-01</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Mar-2025–Jan-2026 monthly</x:v>
      </x:c>
      <x:c r="R16" s="24" t="str">
        <x:v>Raw monthly line with exact month/source detail and an explicit Dec-2025→Jan-2026 contradiction annotation: 1,357→1,473 ≈ +8.55%; source graphic displays +11%.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1,473 in January 2026, within CBY-Aden's reporting scope. Between December 2025 (1,357) and January 2026 (1,473), the raw totals imply growth of 8.55%, while the January source graphic displays +11%; both the reported totals and the publisher's displayed percentage are kept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1,473 جهازًا في يناير 2026، ضمن نطاق الإبلاغ لديه. وبين ديسمبر 2025 (1,357) ويناير 2026 (1,473) تعطي الإجماليات الخام نموًا نسبته 8.55%، بينما يعرض الرسم المنشور في مصدر يناير نسبة +11%؛ وتُبقى الإجماليات المنشورة والنسبة التي عرضها الناشر ظاهرتين بوصفهما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both stay visible as a discrepancy within the source and neither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تُعرض المعلومتان بوصفهما اختلافًا داخل المصدر، ولا تُصحَّح أي منهما بصمت.</x:v>
      </x:c>
      <x:c r="I17" s="24" t="str">
        <x:v>Shows reported POS transaction activity while making the January source-arithmetic discrepancy inspectable instead of turning either the publisher's percentage or the derived change into uncontested truth.</x:v>
      </x:c>
      <x:c r="J17" s="28" t="str">
        <x:v>يوضح نشاط معاملات نقاط البيع المبلغ عنه مع جعل الاختلاف الحسابي في مصدر يناير قابلًا للفحص، بدل تحويل نسبة الناشر أو النسبة المشتقة إلى حقيقة غير متنازع عليها.</x:v>
      </x:c>
      <x:c r="K17" s="24" t="str">
        <x:v>Mar-2025–Jan-2026 monthly</x:v>
      </x:c>
      <x:c r="L17" s="24" t="str">
        <x:v>HIGH_ADMIN</x:v>
      </x:c>
      <x:c r="M17" s="24" t="str">
        <x:v>2025-03→2026-01</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Mar-2025–Jan-2026 monthly</x:v>
      </x:c>
      <x:c r="R17" s="24" t="str">
        <x:v>Raw monthly line with exact month/source detail and an explicit Dec-2025→Jan-2026 contradiction annotation: 21,099→24,026 ≈ +13.87%; source graphic displays +4.9%.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24,026 in January 2026, within CBY-Aden's reporting scope, but not steadily: the monthly high was 27,187 in July 2025. Between December 2025 (21,099) and January 2026 (24,026), the raw totals imply growth of 13.87%, while the January source graphic displays +4.9%; both are kept as a discrepancy within the source. Transactions are events, not unique users or merchants, so the series does not measure how many people or businesses used POS services.</x:v>
      </x:c>
      <x:c r="V17" s="28" t="str">
        <x:v>ارتفع عدد معاملات نقاط البيع التي يُبلغ عنها البنك المركزي اليمني – عدن من 8,015 معاملة في مارس 2025 إلى 24,026 معاملة في يناير 2026، ضمن نطاق الإبلاغ لديه، ولكن ليس بصورة مطردة: فقد بلغ أعلى مستوى شهري 27,187 معاملة في يوليو 2025. وبين ديسمبر 2025 (21,099) ويناير 2026 (24,026) تعطي الإجماليات الخام نموًا نسبته 13.87%، بينما يعرض رسم مصدر يناير نسبة +4.9%؛ وتُبقى المعلومتان بوصفهما اختلافًا داخل المصدر. والمعاملة حدث وليست مستخدمًا أو تاجرًا فريدًا، لذلك لا تقيس السلسلة عدد الأشخاص أو المنشآت التي استخدمت نقاط البيع.</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Nominal YER series with missing September retained visually.</x:v>
      </x:c>
      <x:c r="H18" s="28" t="str">
        <x:v>يعرض القيمة الاسمية لمعاملات نقاط البيع بالريال اليمني مع إبقاء شهر سبتمبر المفقود مفقودًا بصريًا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Mar-2025–Jan-2026 monthly with Sep gap</x:v>
      </x:c>
      <x:c r="L18" s="24" t="str">
        <x:v>HIGH_ADMIN</x:v>
      </x:c>
      <x:c r="M18" s="24" t="str">
        <x:v>2025-03→2026-01</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Mar-2025–Jan-2026;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1.262 billion in January 2026, within CBY-Aden's reporting scope. The September 2025 value is missing because no verified value is available for that month.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1.262 مليار ريال في يناير 2026، ضمن نطاق الإبلاغ لديه. وقيمة سبتمبر 2025 مفقودة لعدم توفر قيمة متحقق منها لذلك الشهر.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مصدر السلطة، والمجتمع الاسمي المعروف، والعدد، والقرارات أو الأحداث السلبية، وحالة التشغيل أو النشاط، وما يزال محجوبًا أو غير معروف.</x:v>
      </x:c>
      <x:c r="I19" s="24" t="str">
        <x:v>Separates authority, named universe, counts, adverse/status events and operating evidence for each provider class, making unresolved current universes explicit.</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7 September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or close named entities. E-wallets: CBY-Aden publications give counts of licensed e-wallets for 2024 and 2025, and a June 2024 circular names wallets, entities or services as unlicensed; no current named list of licensed wallets is held. Non-bank microfinance institutions: only network membership pages are held, not a licensing list. Payment-system operators: no named list is held.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7 سبتمبر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 المحافظ الإلكترونية المرخصة في 2024 و2025،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يقارن التعريف والفترة والجغرافيا ومجتمع القياس أو قاعدة الاحتساب والوحدة ومجتمع المصدر والطريقة قبل السماح لرقمين بالظهور على مقياس واحد.</x:v>
      </x:c>
      <x:c r="I20" s="24" t="str">
        <x:v>Compares definitions, periods, geographies, populations or bases, units, source universes and methods before allowing values to share a scale.</x:v>
      </x:c>
      <x:c r="J20" s="28" t="str">
        <x:v>يمنع المقارنة الزائفة بين أرقام تحمل الاسم نفسه لكنها تقيس أشياء مختلفة، ويبين متى تكون المقارنة مشروطة أو غير صالحة.</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documented crosswalk of measures and the evidence records being compared</x:v>
      </x:c>
      <x:c r="Q20" s="24" t="str">
        <x:v>source-native / 2025 baseline-admin comparison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تُجري المقارنة مطابقة مُصطنعة بين الأرقام المختلفة، ولا تفضّل رقمًا على آخر ما لم تسند ذلك أدلة على تعريفاتها.</x:v>
      </x:c>
      <x:c r="U20" s="24" t="str">
        <x:v>The comparison table sets the selected records side by side on definition, period, population or calculation base, source scope and method, and on geography and unit where these are recorded.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والفترة والمجتمع أو قاعدة الاحتساب ونطاق المصدر والطريقة، ومن حيث الجغرافيا والوحدة حيث تكون مسجلة.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held;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held</x:v>
      </x:c>
      <x:c r="R21" s="24" t="str">
        <x:v>Table: baseline, target and result (not held); no dated axis and no progress bar.</x:v>
      </x:c>
      <x:c r="S21" s="24" t="str">
        <x:v>A target is not an observation or an achievement. No percentage of the target can be calculated where definitions differ, and no observed result is held.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held in the evidence base, so no progress can be shown, and the project count is not comparable with administrative counts of ATMs,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يقارَن عدد المشروع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فئات علاقات مختلفة، ولا يعامل كل التمويل كتدفق واحد.</x:v>
      </x:c>
      <x:c r="I22" s="24" t="str">
        <x:v>Separates humanitarian, development, project and financial-institution finance as different relationship classes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source-defined funding/programme relationships</x:v>
      </x:c>
      <x:c r="Q22" s="24" t="str">
        <x:v>event-level / 2026 context</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لاحقًا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firms report</x:v>
      </x:c>
      <x:c r="C23" s="28" t="str">
        <x:v>التمويل ليس القيد الوحيد أمام المنشآت</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custom survey</x:v>
      </x:c>
      <x:c r="L23" s="24" t="str">
        <x:v>PRIMARY_SURVEY</x:v>
      </x:c>
      <x:c r="M23" s="24" t="str">
        <x:v>2022 custom survey</x:v>
      </x:c>
      <x:c r="N23" s="24" t="str">
        <x:v>12_FIRM_FINANCE FFM-007</x:v>
      </x:c>
      <x:c r="O23" s="24" t="str">
        <x:v>percent of surveyed firms selecting/reporting constraint</x:v>
      </x:c>
      <x:c r="P23" s="24" t="str">
        <x:v>Formal enterprises in seven selected governorates covered by the 2022 custom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a 2022 custom survey of seven governorates; they are not a national ranking of business constraints for all Yemeni firms. They follow the source's own item wording and are not comparable with the standard Enterprise Survey 'biggest obstacle' indicator.</x:v>
      </x:c>
      <x:c r="T23" s="28" t="str">
        <x:v>تصف النسب المنشآت الرسمية في مسح مخصص شمل سبع محافظات عام 2022، ولا تمثل ترتيبًا وطنيًا لقيود الأعمال لدى جميع منشآت اليمن. وهي تتبع صياغة البنود كما وردت في المصدر، ولا تُقارن بمؤشر «أكبر عائق» في مسوح المنشآت المعيارية للبنك الدولي.</x:v>
      </x:c>
      <x:c r="U23" s="24" t="str">
        <x:v>Among formal firms in the 2022 custom survey of seven governorates, 50% named electricity as a business challenge, 46% fuel shortages, 32% transport or road blockades, 30% tax administration or tax rates, 27% political instability and 22% access to finance; 18% named siege and 17% practices of informal competitors. Firms could name more than one challenge, so the shares add up to more than 100%, and neither the number of firms answering nor the exact question wording is held in the evidence base. These results apply to the survey sample in seven governorates and are not a national ranking for all Yemeni firms.</x:v>
      </x:c>
      <x:c r="V23" s="28" t="str">
        <x:v>بين المنشآت الرسمية في المسح المخصص الذي شمل سبع محافظات عام 2022،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reported by 18 surveyed formal firms, 2022</x:v>
      </x:c>
      <x:c r="C24" s="28" t="str">
        <x:v>مصادر القروض كما أفادت بها 18 منشأة رسمية في 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custom survey</x:v>
      </x:c>
      <x:c r="L24" s="24" t="str">
        <x:v>MEDIUM_SMALL_N</x:v>
      </x:c>
      <x:c r="M24" s="24" t="str">
        <x:v>2022 custom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Major 68.71% + moderate 23.13% are shown only within the report's filtered denominator.</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custom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held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held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promoting milestones into adoption or outcomes.</x:v>
      </x:c>
      <x:c r="J26" s="28" t="str">
        <x:v>يتتبع تغير بنية المدفوعات من دون ترقية القرار أو المؤسسة أو التشغيل إلى تبنٍ من المستخدمين أو نتيجة 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U26"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and the mobile e-money amendment (9 July 2025). Project: the World Bank-financed Financial Market Infrastructure and Inclusion Project (FMIIP), approved on 17 June 2025 and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the source owner's own statement.</x:v>
      </x:c>
      <x:c r="V26"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وتعديل تعليمات النقود الإلكترونية عبر الهاتف المحمول (9 يوليو 2025). المشروع: مشروع البنية التحتية للأسواق المالية والشمول المالي في اليمن (FMIIP) الممول من البنك الدولي، الذي أُقر في 17 يونيو 2025 وبدأ في يوليو 2025، ويتضمن مكونين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الجهة المصدرة نفسها.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التحويلات: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التحويلات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evidence state and source document by year</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الحوالة غير الرسمية،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are different vintages, so the two parts are not joined into one continuous series. The series covers the IMF's analytical scope for areas under the internationally recognized government, not the whole of Yemen. Estimates and projections are not observations, and the series is not a measure of informal hawala volume.</x:v>
      </x:c>
      <x:c r="V28"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ملايين دولار في 2030. ولأن الوثيقتين نسختان مختلفتان، لا يُوصل الجزءان في سلسلة واحدة متصلة. وتغطي السلسلة النطاق التحليلي للصندوق الخاص بالمناطق الخاضعة للحكومة المعترف بها دوليًا، لا اليمن كله. والتقديرات والتوقعات ليست مشاهدات فعلية، ولا تقيس السلسلة حجم الحوالة غير الرسمية.</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تم التحقق منها، وأين ما تزال الجغرافيا غير معروفة؟</x:v>
      </x:c>
      <x:c r="G29" s="24" t="str">
        <x:v>Access evidence in three states: verified, dated operating locations, the only kind that can appear as points and not yet available as a register;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object-specific</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وليست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المحفظة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والمحفظة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 million savers/depositors at end-2020. The loan portfolio is YER 6.741 billion at end-2015 in the provider table, while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 مليون مدخر/مودع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Sana’a Center for Strategic Studies، مستندةً إلى بيانات محفظة التمويل لدى SFD/SMED، عدد 78,686 مقترضًا، وما تسميه 3.3 مليون «مدخر نشط»، ومحفظة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المحفظة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التحويلات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على أنه تأكيدان مستقلان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للتحويلات الواردة في ميزان المدفوعات لعام 2024 قدرها 6,245 مليون دولار أمريكي، ثم أعاد تقرير 2025 عرض السنة نفسها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بالرقم القياسي 2021–2024</x:v>
      </x:c>
      <x:c r="Y31" t="str">
        <x:v>التحويلات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A banking jump across a method break</x:v>
      </x:c>
      <x:c r="C32" s="28" t="str">
        <x:v>قفزة مصرفية عبر تغير في أساس القياس</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الأوضاع المصرفية المرجعية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object</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until the project's taxonomy and deduplication rules are documented. A baseline or target changes meaning when the counted object changes: accounts, e-wallets, subscribers, terminals and transactions are not unique people unless a documented method converts them.</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ما لم تُوثق تصنيفات المشروع وقواعد إزالة الازدواج. ويتغير معنى خط الأساس أو المستهدف عندما يتغير ما يُعدّ؛ فالحسابات والمحافظ الإلكترونية والمشتركون والأجهزة والمعاملات ليست أشخاصًا فريدين ما لم تحوّلها طريقة موثقة.</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1,473 in January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1,473 جهازًا في يناير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مستدامًا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والمستدام.</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 registered accounts are not unique active people, and the 2016–2019 pattern cannot be extended to national prevalence in 2026.</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 فالحسابات المسجلة ليست أشخاصًا فريدين نشطين، ولا يصح مدّ نمط 2016–2019 إلى الانتشار الوطني في 2026.</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والمحفظة: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والمحفظة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والمحفظة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المحفظة بالريال، ولا تُوصل ملاحظات 2023 غير المتوافقة في سلسلة واحدة. ولا تسمح هذه النقاط بتحديد اتجاه للمدخرين أو للمحفظة،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5.44% of women and 18.35% of men have an account, a difference of 12.91 percentage points — and places possible mechanisms in a separate layer of hypotheses to test, not causal arrows.</x:v>
      </x:c>
      <x:c r="H37" s="28" t="str">
        <x:v>يبدأ بالمستويات المقاسة داخل الموجة نفسها — تملك 5.44% من النساء و18.35% من الرجال حسابًا، بفارق 12.91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12.91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5.44% of women and 18.35% of men aged 15 and over in the survey's coverage had an account, a difference of 12.91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5.44% من النساء و18.35% من الرجال بعمر 15 سنة فأكثر ضمن تغطية المسح حسابًا، بفارق 12.91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Three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ثلاثة 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middle from rail to inclusion result</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promoted into inclusion outcomes.</x:v>
      </x:c>
      <x:c r="J39" s="28" t="str">
        <x:v>يمنع ترقية البنية التحتية أو المعالم المؤسسية مباشرة إلى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which started in July 2025 with components to support a Fast Payment System in areas under the internationally recognized government, a real-time gross settlement system with an upgrade of CBY-Aden core banking, and an access-point database;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January 2026 within CBY-Aden's reporting scope (1,473 terminals; 24,026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بدأ في يوليو 2025 بمكونات لدعم تطوير نظام للدفع السريع في مناطق الحكومة المعترف بها دوليًا، وإنشاء نظام للتسوية الإجمالية الفورية مع تحديث النظام المصرفي الأساسي للبنك المركزي في عدن، وإنشاء قاعدة بيانات لنقاط الوصول؛ وقرار مجلس إدارة البنك المركزي في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يناير 2026 (1,473 جهازًا و24,026 معاملة)،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التعرض المالي،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المستدام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مستدامًا.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No longitudinal follow-up is held, so the evidence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والتعرض لخدمة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مستدامًا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row>
    <x:row r="7">
      <x:c r="A7" s="24" t="str">
        <x:v>YSC-003</x:v>
      </x:c>
      <x:c r="B7" s="24" t="str">
        <x:v>September 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تشغيل المدفوعات وظروف النقد والوصول الرسمي إلى الخدمات المالية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سبتمبر 2016</x:v>
      </x:c>
    </x:row>
    <x:row r="8">
      <x:c r="A8" s="24" t="str">
        <x:v>YSC-004</x:v>
      </x:c>
      <x:c r="B8" s="24" t="str">
        <x:v>2017–2018</x:v>
      </x:c>
      <x:c r="C8" s="24" t="str">
        <x:v>LIQUIDITY_MONETARY</x:v>
      </x:c>
      <x:c r="D8" s="24" t="str">
        <x:v>World Bank monitoring estimated currency outside banks rose from YER810.9 billion in 2014 to YER1,673 billion by end-2017, alongside large issuance of new banknotes and rapid expected money-supply growth in 2018.</x:v>
      </x:c>
      <x:c r="E8" s="28" t="str">
        <x:v>قدرت متابعة البنك الدولي ارتفاع النقد المتداول خارج البنوك من 810.9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x:c r="Q8" t="str">
        <x:v>2017–2018</x:v>
      </x:c>
    </x:row>
    <x:row r="9">
      <x:c r="A9" s="24" t="str">
        <x:v>YSC-005</x:v>
      </x:c>
      <x:c r="B9" s="24" t="str">
        <x:v>January–March 2018</x:v>
      </x:c>
      <x:c r="C9" s="24" t="str">
        <x:v>INTERNATIONAL_SUPPORT</x:v>
      </x:c>
      <x:c r="D9" s="24" t="str">
        <x:v>Saudi Arabia directed and then signed an agreement to deliver a US$2 billion deposit to the Central Bank of Yemen, intended to support the financial/economic position and the riyal.</x:v>
      </x:c>
      <x:c r="E9" s="28" t="str">
        <x:v>وجهت المملكة العربية السعودية ثم وقعت اتفاقية لتقديم وديعة بقيمة ملياري دولار للبنك المركزي اليمني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يناير–مارس 2018</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مستدامًا.</x:v>
      </x:c>
      <x:c r="N10" s="24" t="str">
        <x:v>CONTEXT</x:v>
      </x:c>
      <x:c r="O10" s="24" t="str">
        <x:v>/payments | /remittances | /access</x:v>
      </x:c>
      <x:c r="P10" s="24"/>
      <x:c r="Q10" t="str">
        <x:v>ديسمبر 2019</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التحويلات.</x:v>
      </x:c>
      <x:c r="F11" s="24" t="str">
        <x:v>SRC-WB-YEM-ECON-2020-04-001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والتحويلات وقدرة الاستيراد في ظل نظم صرف مجزأة.</x:v>
      </x:c>
      <x:c r="J11" s="24" t="str">
        <x:v>Remittances matter as both household flows and part of broader FX/payment conditions.</x:v>
      </x:c>
      <x:c r="K11" s="28" t="str">
        <x:v>تهم التحويلات كتدفق للأسر وكجزء من ظروف النقد الأجنبي والمدفوعات الأوسع.</x:v>
      </x:c>
      <x:c r="L11" s="24" t="str">
        <x:v>A stated risk to remittances is not an observed decline unless separately measured.</x:v>
      </x:c>
      <x:c r="M11" s="28" t="str">
        <x:v>مخاطر تراجع التحويلات لا تعني حدوث انخفاض فعلي ما لم يُقَس بصورة مستقلة.</x:v>
      </x:c>
      <x:c r="N11" s="24" t="str">
        <x:v>MECHANISM_HYPOTHESIS</x:v>
      </x:c>
      <x:c r="O11" s="24" t="str">
        <x:v>/remittances | /payments | /finance</x:v>
      </x:c>
      <x:c r="P11" s="24"/>
      <x:c r="Q11" t="str">
        <x:v>أوائل 2020</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أعقبت الهجمات على منشآت تصدير النفط في أكتوبر 2022 عملية تعليق لصادرات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row>
    <x:row r="13">
      <x:c r="A13" s="24" t="str">
        <x:v>YSC-009</x:v>
      </x:c>
      <x:c r="B13" s="24" t="str">
        <x:v>21 February 2023</x:v>
      </x:c>
      <x:c r="C13" s="24" t="str">
        <x:v>INTERNATIONAL_SUPPORT</x:v>
      </x:c>
      <x:c r="D13" s="24" t="str">
        <x:v>Saudi Arabia signed a US$1 billion deposit agreement with the Central Bank of Yemen and stated that the amount was fully deposited in the bank's account.</x:v>
      </x:c>
      <x:c r="E13" s="28" t="str">
        <x:v>وقعت المملكة العربية السعودية اتفاقية وديعة بقيمة مليار دولار مع البنك المركزي اليمني، وأعلنت أن المبلغ أودع بالكامل في حساب البنك.</x:v>
      </x:c>
      <x:c r="F13" s="24" t="str">
        <x:v>SRC-SPA-SAU-CBY-DEPOSIT-2023-001</x:v>
      </x:c>
      <x:c r="G13" s="24" t="str">
        <x:v>Official Saudi deposit announcement; later availability/use states are distinct.</x:v>
      </x:c>
      <x:c r="H13" s="24" t="str">
        <x:v>Deposit custody is not the same state as funds made available or auctioned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the downstream FX-auction use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moved through distinct states—budget support, deposit availability and FX-auction use—that answer different questions and cannot be summed mechanically.</x:v>
      </x:c>
      <x:c r="I14" s="28" t="str">
        <x:v>انتقل الدعم الخارجي عبر مراحل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الإطار الاقتصادي للحكومة المعترف بها دوليًا لدى صندوق النقد، تحسن عجز الحساب الجاري من نحو 40.5% من الناتج المحلي الإجمالي في 2022 إلى متوسط يقارب 14.5% في 2023–2024، نتيجة ضغط الواردات وقوة التحويلات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التحويلات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أعقب طرح عملة معدنية جديدة من فئة 100 ريال في صنعاء في مارس 2024 توجيه من البنك المركزي في عدن خلال أبريل بنقل مقار البنوك الموجودة في صنعاء إلى عدن، ثم تدابير إضافية في يونيو طالت جهات غير مرخصة ومحافظ إلكترونية وخدمات دفع وشبكات حوالات.</x:v>
      </x:c>
      <x:c r="F16" s="24" t="str">
        <x:v>SRC-WB-YEM-FRAGMENTATION-2025-001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row>
    <x:row r="17">
      <x:c r="A17" s="24" t="str">
        <x:v>YSC-024</x:v>
      </x:c>
      <x:c r="B17" s="24" t="str">
        <x:v>By 30 May 2024</x:v>
      </x:c>
      <x:c r="C17" s="24" t="str">
        <x:v>G2P_DIGITISATION_PILOT</x:v>
      </x:c>
      <x:c r="D17" s="24" t="str">
        <x:v>World Bank/G2Px reported that Yemen's Unconditional Cash Transfer programme had piloted digital payments in eight districts, benefiting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واستفاد من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المستدام يحتاج إلى متابعة التفعيل وتكرار المعاملات واستخدام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row>
    <x:row r="18">
      <x:c r="A18" s="24" t="str">
        <x:v>YSC-013</x:v>
      </x:c>
      <x:c r="B18" s="24" t="str">
        <x:v>2024 value revised across CBY annual-report vintages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التحويلات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Remittance trend analysis must expose vintage and method changes before drawing behavioral conclusions.</x:v>
      </x:c>
      <x:c r="K18" s="28" t="str">
        <x:v>يجب أن تعرض قراءات التحويلات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التحويلات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row>
    <x:row r="19">
      <x:c r="A19" s="24" t="str">
        <x:v>YSC-014</x:v>
      </x:c>
      <x:c r="B19" s="24" t="str">
        <x:v>2022–April 2025</x:v>
      </x:c>
      <x:c r="C19" s="24" t="str">
        <x:v>BANKING_LIQUIDITY_CAPITAL_STRESS</x:v>
      </x:c>
      <x:c r="D19" s="24" t="str">
        <x:v>In the IMF's banking data for areas under the internationally recognized government, the liquid-assets to short-term-liabilities ratio fell from 148 in 2022 to 69 in April 2025, while the capital-to-assets ratio fell from about 5 to about 2.5.</x:v>
      </x:c>
      <x:c r="E19" s="28" t="str">
        <x:v>في بيانات القطاع المصرفي للحكومة المعترف بها دوليًا لدى صندوق النقد، انخفضت نسبة الأصول السائلة إلى الالتزامات قصيرة الأجل من 148 في 2022 إلى 69 في أبريل 2025، كما تراجعت نسبة رأس المال إلى الأصول من نحو 5 إلى نحو 2.5.</x:v>
      </x:c>
      <x:c r="F19" s="24" t="str">
        <x:v>SRC-IMF-AIV-2025-STAFF-001</x:v>
      </x:c>
      <x:c r="G19" s="24" t="str">
        <x:v>IRG-supervised banking system data; not automatically whole-Yemen banking coverage.</x:v>
      </x:c>
      <x:c r="H19" s="24" t="str">
        <x:v>Liquidity and capital constraints can limit bank capacity and alter provider/customer behavior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row>
    <x:row r="20">
      <x:c r="A20" s="24" t="str">
        <x:v>YSC-015</x:v>
      </x:c>
      <x:c r="B20" s="24" t="str">
        <x:v>July 2025 onward</x:v>
      </x:c>
      <x:c r="C20" s="24" t="str">
        <x:v>FX_IMPORT_POLICY</x:v>
      </x:c>
      <x:c r="D20" s="24" t="str">
        <x:v>The government established the National Committee for the Regulation and Financing of Imports to prioritize FX for essential imports, improve import transparency and channel FX through the formal banking sector.</x:v>
      </x:c>
      <x:c r="E20" s="28" t="str">
        <x:v>أنشأت الحكومة اللجنة الوطنية لتنظيم وتمويل الواردات لإعطاء الأولوية للنقد الأجنبي للواردات الأساسية، وتعزيز شفافية الاستيراد، وتوجيه النقد الأجنبي عبر القطاع المصرفي الرسمي.</x:v>
      </x:c>
      <x:c r="F20" s="24" t="str">
        <x:v>SRC-IMF-AIV-2025-STAFF-001</x:v>
      </x:c>
      <x:c r="G20" s="24" t="str">
        <x:v>IRG policy framework.</x:v>
      </x:c>
      <x:c r="H20" s="24" t="str">
        <x:v>Import finance and FX allocation became more explicitly tied to formal banking and regulatory control.</x:v>
      </x:c>
      <x:c r="I20" s="28" t="str">
        <x:v>أصبح تمويل الواردات وتخصيص النقد الأجنبي أكثر ارتباطًا بالقطاع المصرفي الرسمي والضبط التنظيمي.</x:v>
      </x:c>
      <x:c r="J20" s="24" t="str">
        <x:v>This may change incentives and flows through banks and exchangers, which should be measured.</x:v>
      </x:c>
      <x:c r="K20" s="28" t="str">
        <x:v>قد يغير ذلك الحوافز والتدفقات عبر البنوك والصرافين، وهو أثر يحتاج إلى قياس.</x:v>
      </x:c>
      <x:c r="L20" s="24" t="str">
        <x:v>Creation of the committee does not prove improved access, lower costs or successful formalization.</x:v>
      </x:c>
      <x:c r="M20" s="28" t="str">
        <x:v>إنشاء اللجنة لا يثبت تحسن الوصول أو انخفاض التكلفة أو نجاح التحول إلى القنوات الرسمية.</x:v>
      </x:c>
      <x:c r="N20" s="24" t="str">
        <x:v>MECHANISM_HYPOTHESIS</x:v>
      </x:c>
      <x:c r="O20" s="24" t="str">
        <x:v>/finance | /firms | /providers | /reforms</x:v>
      </x:c>
      <x:c r="P20" s="24"/>
      <x:c r="Q20" t="str">
        <x:v>من يوليو 2025 فصاعدًا</x:v>
      </x:c>
    </x:row>
    <x:row r="21">
      <x:c r="A21" s="24" t="str">
        <x:v>YSC-016</x:v>
      </x:c>
      <x:c r="B21" s="24" t="str">
        <x:v>Mid-July–early August 2025</x:v>
      </x:c>
      <x:c r="C21" s="24" t="str">
        <x:v>FX_STABILIZATION_EPISODE</x:v>
      </x:c>
      <x:c r="D21" s="24" t="str">
        <x:v>The IMF reports the rial, in markets in areas under the internationally recognized government, strengthening from about YER2,900 to about YER1,600 per US dollar from mid-July to early August 2025 after a package of FX and market measures.</x:v>
      </x:c>
      <x:c r="E21"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1" s="24" t="str">
        <x:v>SRC-IMF-AIV-2025-STAFF-001</x:v>
      </x:c>
      <x:c r="G21" s="24" t="str">
        <x:v>IRG market/exchange-rate context, not a unified Yemen exchange rate.</x:v>
      </x:c>
      <x:c r="H21" s="24" t="str">
        <x:v>The episode shows how quickly FX conditions can change under fragmented markets and policy intervention.</x:v>
      </x:c>
      <x:c r="I21" s="28" t="str">
        <x:v>توضح هذه الحلقة سرعة تغير أوضاع النقد الأجنبي في سوق مجزأة وتحت تدخلات سياسة.</x:v>
      </x:c>
      <x:c r="J21" s="24" t="str">
        <x:v>Exchange-rate conditions affect prices, remittance conversion, firm costs and channel incentives.</x:v>
      </x:c>
      <x:c r="K21" s="28" t="str">
        <x:v>تؤثر أوضاع سعر الصرف في الأسعار وتحويل قيمة الحوالات وتكاليف المنشآت وحوافز القنوات المالية.</x:v>
      </x:c>
      <x:c r="L21" s="24" t="str">
        <x:v>The appreciation does not by itself prove durable macro stability or improved financial inclusion.</x:v>
      </x:c>
      <x:c r="M21" s="28" t="str">
        <x:v>لا يثبت تحسن سعر الصرف بذاته استقرارًا اقتصاديًا كليًا مستدامًا أو تحسنًا في الشمول المالي.</x:v>
      </x:c>
      <x:c r="N21" s="24" t="str">
        <x:v>CONTEXT</x:v>
      </x:c>
      <x:c r="O21" s="24" t="str">
        <x:v>/remittances | /finance | /firms</x:v>
      </x:c>
      <x:c r="P21" s="24"/>
      <x:c r="Q21" t="str">
        <x:v>منتصف يوليو–أوائل أغسطس 2025</x:v>
      </x:c>
    </x:row>
    <x:row r="22">
      <x:c r="A22" s="24" t="str">
        <x:v>YSC-017</x:v>
      </x:c>
      <x:c r="B22" s="24" t="str">
        <x:v>September 2025</x:v>
      </x:c>
      <x:c r="C22" s="24" t="str">
        <x:v>RESERVE_CONSTRAINT</x:v>
      </x:c>
      <x:c r="D22" s="24" t="str">
        <x:v>The IMF reports operational foreign-exchange reserves of about US$350 million in September 2025, covering roughly one month of imports.</x:v>
      </x:c>
      <x:c r="E22" s="28" t="str">
        <x:v>يفيد صندوق النقد بأن الاحتياطيات التشغيلية من النقد الأجنبي بلغت نحو 350 مليون دولار في سبتمبر 2025، بما يغطي قرابة شهر واحد من الواردات.</x:v>
      </x:c>
      <x:c r="F22" s="24" t="str">
        <x:v>SRC-IMF-AIV-2025-STAFF-001</x:v>
      </x:c>
      <x:c r="G22" s="24" t="str">
        <x:v>IRG operational reserves.</x:v>
      </x:c>
      <x:c r="H22" s="24" t="str">
        <x:v>Even after substantial external support and FX auctions, reserve capacity remained critically constrained.</x:v>
      </x:c>
      <x:c r="I22" s="28" t="str">
        <x:v>رغم الدعم الخارجي الكبير ومزادات النقد الأجنبي، ظلت قدرة الاحتياطيات شديدة المحدودية.</x:v>
      </x:c>
      <x:c r="J22" s="24" t="str">
        <x:v>Reserve scarcity conditions import finance, bank liquidity and prices.</x:v>
      </x:c>
      <x:c r="K22" s="28" t="str">
        <x:v>يؤثر شح الاحتياطيات في تمويل الواردات وسيولة البنوك والأسعار.</x:v>
      </x:c>
      <x:c r="L22" s="24" t="str">
        <x:v>Import-cover reserves do not measure household financial resilience or account use.</x:v>
      </x:c>
      <x:c r="M22" s="28" t="str">
        <x:v>لا يقيس غطاء الواردات من الاحتياطيات مرونة الأسر المالية أو استخدام الحسابات.</x:v>
      </x:c>
      <x:c r="N22" s="24" t="str">
        <x:v>CONTEXT</x:v>
      </x:c>
      <x:c r="O22" s="24" t="str">
        <x:v>/finance | /firms</x:v>
      </x:c>
      <x:c r="P22" s="24"/>
      <x:c r="Q22" t="str">
        <x:v>سبتمبر 2025</x:v>
      </x:c>
    </x:row>
    <x:row r="23">
      <x:c r="A23" s="24" t="str">
        <x:v>YSC-018</x:v>
      </x:c>
      <x:c r="B23" s="24" t="str">
        <x:v>17 June 2025–2030 project period</x:v>
      </x:c>
      <x:c r="C23" s="24" t="str">
        <x:v>INTERNATIONAL_INFRASTRUCTURE_SUPPORT</x:v>
      </x:c>
      <x:c r="D23" s="24" t="str">
        <x:v>The World Bank approved a US$20 million IDA grant for the Yemen Financial Market Infrastructure and Inclusion Project (P180708) on 17 June 2025. The project is active, implemented by UNDP, closes on 30 June 2030, and the latest disclosed ISR identified in this review is sequence 2 dated 8 April 2026.</x:v>
      </x:c>
      <x:c r="E23"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3" s="24" t="str">
        <x:v>SRC-WB-FMIIP-P180708 | SRC-UNDP-FMIIP-001 | SRC-WB-FMIIP-ISR2-2026-001</x:v>
      </x:c>
      <x:c r="G23" s="24" t="str">
        <x:v>Project approval/status and disclosed implementation-report currentness. Project baselines/targets are separate from observed inclusion outcomes.</x:v>
      </x:c>
      <x:c r="H23" s="24" t="str">
        <x:v>A new infrastructure and reform clock is underway; approval, procurement, installation, go-live, institutional participation, access, use, quality and population outcomes remain separate evidence states.</x:v>
      </x:c>
      <x:c r="I23"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3" s="24" t="str">
        <x:v>The project can create payment-system capacity and targeted access/usage mechanisms, while population adoption and inclusion effects require later evidence.</x:v>
      </x:c>
      <x:c r="K23" s="28" t="str">
        <x:v>يمكن للمشروع بناء قدرة في نظام المدفوعات وآليات مستهدفة للوصول والاستخدام، لكن تبني السكان وأثر الشمول يحتاجان إلى أدلة لاحقة.</x:v>
      </x:c>
      <x:c r="L23" s="24" t="str">
        <x:v>The US$20 million commitment, an implementation report, a system go-live or a 2030 target is not evidence that users have already adopted services or that inclusion outcomes have been achieved.</x:v>
      </x:c>
      <x:c r="M23"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3" s="24" t="str">
        <x:v>DEPENDENCY</x:v>
      </x:c>
      <x:c r="O23" s="24" t="str">
        <x:v>/payments | /reforms | /people</x:v>
      </x:c>
      <x:c r="P23" s="24" t="str">
        <x:v>Project cost/commitment must not be counted as an observed financial flow to users.</x:v>
      </x:c>
      <x:c r="Q23" t="str">
        <x:v>فترة المشروع من 17 يونيو 2025 حتى 2030</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تم فعلًا.</x:v>
      </x:c>
      <x:c r="N24" s="24" t="str">
        <x:v>DEPENDENCY</x:v>
      </x:c>
      <x:c r="O24" s="24" t="str">
        <x:v>/finance | /reforms</x:v>
      </x:c>
      <x:c r="P24" s="24" t="str">
        <x:v>Keep SAR-denominated agreement and IMF USD-denominated support states separate until identity is proven.</x:v>
      </x:c>
      <x:c r="Q24" t="str">
        <x:v>1 مارس 2026</x:v>
      </x:c>
    </x:row>
    <x:row r="25">
      <x:c r="A25" t="str">
        <x:v>YSC-021</x:v>
      </x:c>
      <x:c r="B25" t="str">
        <x:v>4 June 2026</x:v>
      </x:c>
      <x:c r="C25" t="str">
        <x:v>COUNTRY_STRATEGY_AND_PORTFOLIO</x:v>
      </x:c>
      <x:c r="D25" t="str">
        <x:v>The World Bank Group endorsed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أقرت مجموعة البنك الدولي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sits inside the World Bank Group’s FY2026–FY2030 strategy for Yemen, that links jobs, livelihoods, infrastructure, private-sector conditions and women’s economic participation.</x:v>
      </x:c>
      <x:c r="I25" t="str">
        <x:v>تقع أدلة الشمول المالي داخل استراتيجية مجموعة البنك الدولي لليمن للسنوات المالية 2026–2030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project design and target states,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للبنك أو المحفظة،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clock has advanced, but programme stage, legal or supervisory change, implementation and experienced financial-service outcomes remain separate states.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تهم التزامات إصلاح القطاع المالي الوساطة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التحويلات والدعم الدولي ومزادات النقد الأجنبي وضغط الواردات وتغير الاحتياطيات وسيولة البنوك والإجراءات التنظيمية وبنية المدفوعات بوصفها أدلة مترابطة لكنها غير قابلة للاستبدال.</x:v>
      </x:c>
      <x:c r="F28"/>
      <x:c r="G28" t="str">
        <x:v>System synthesis rule derived from the evidence relationships documented here.</x:v>
      </x:c>
      <x:c r="H28" t="str">
        <x:v>This resource can trace transmission across the system without turning sequence or co-movement into causality.</x:v>
      </x:c>
      <x:c r="I28" t="str">
        <x:v>يمكن لهذا المورد تتبع انتقال الأثر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S5" t="str">
        <x:v>NOT_ASSESSED</x:v>
      </x:c>
      <x:c r="V5" t="str">
        <x:v>2026-09-26</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https://english.cby-ye.com/files/69dfc71a51c14.pdf</x:v>
      </x:c>
      <x:c r="C6" s="24" t="str">
        <x:v>["https://english.cby-ye.com/pages/14", "https://english.cby-ye.com/files/670f66ad9ce87.pdf"]</x:v>
      </x:c>
      <x:c r="D6" s="24" t="str">
        <x:v>DS-PROVIDER-MASTER, DS-PROVIDER-UNIVERSE</x:v>
      </x:c>
      <x:c r="E6" s="24" t="n">
        <x:v>27</x:v>
      </x:c>
      <x:c r="F6" s="168" t="str">
        <x:v>List of licensed banks in the Republic of Yemen (undated; as checked on 7 September 2026)</x:v>
      </x:c>
      <x:c r="G6" s="168" t="str">
        <x:v>Central Bank of Yemen — Aden</x:v>
      </x:c>
      <x:c r="H6" s="168"/>
      <x:c r="I6" s="168"/>
      <x:c r="J6" s="168"/>
      <x:c r="K6" s="168" t="str">
        <x:v>CITATION_CARD</x:v>
      </x:c>
      <x:c r="L6" s="168" t="str">
        <x:v>كشف بالبنوك المرخصة بالجمهورية اليمنية (غير مؤرخ؛ كما اطُّلع عليه في 7 سبتمبر 2026)</x:v>
      </x:c>
      <x:c r="M6" s="168"/>
      <x:c r="N6" s="168"/>
      <x:c r="O6" s="168"/>
      <x:c r="S6" t="str">
        <x:v>NOT_ASSESSED</x:v>
      </x:c>
      <x:c r="V6" t="str">
        <x:v>2026-09-26</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c r="D14" s="24" t="str">
        <x:v>DS-PROVIDER-MASTER,DS-PROVIDER-STATUS-EVENTS</x:v>
      </x:c>
      <x:c r="E14" s="24" t="n">
        <x:v>2</x:v>
      </x:c>
      <x:c r="F14" s="168" t="str">
        <x:v>Governor's Decision No. 10 of 2026 on the licence suspension and closure of a remittance agent</x:v>
      </x:c>
      <x:c r="G14" s="168" t="str">
        <x:v>Central Bank of Yemen — Aden</x:v>
      </x:c>
      <x:c r="H14" s="168"/>
      <x:c r="I14" s="168"/>
      <x:c r="J14" s="168"/>
      <x:c r="K14" s="168" t="str">
        <x:v>CITATION_CARD</x:v>
      </x:c>
      <x:c r="L14" s="168" t="str">
        <x:v>قرار المحافظ رقم (10) لسنة 2026 بشأن إيقاف ترخيص وكيل حوالة وإغلاق مقره</x:v>
      </x:c>
      <x:c r="M14" s="168"/>
      <x:c r="N14" s="168"/>
      <x:c r="O14" s="168"/>
      <x:c r="S14" t="str">
        <x:v>NOT_ASSESSED</x:v>
      </x:c>
      <x:c r="W14" t="str">
        <x:v>decision/enforcement</x:v>
      </x:c>
      <x:c r="X14" t="str">
        <x:v>status event</x:v>
      </x:c>
      <x:c r="Y14" t="str">
        <x:v>البنك المركزي اليمني – عدن</x:v>
      </x:c>
      <x:c r="Z14" t="str">
        <x:v>Enforcement decision</x:v>
      </x:c>
      <x:c r="AA14" t="str">
        <x:v>قرار إنفاذ</x:v>
      </x:c>
    </x:row>
    <x:row r="15">
      <x:c r="A15" s="24" t="str">
        <x:v>SRC-CBY-ENF-11-2026</x:v>
      </x:c>
      <x:c r="B15" s="24" t="str">
        <x:v>https://www.cby-ye.com/news/945</x:v>
      </x:c>
      <x:c r="C15" s="24" t="str"/>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c r="D16" s="24" t="str">
        <x:v>DS-PROVIDER-MASTER,DS-PROVIDER-STATUS-EVENTS</x:v>
      </x:c>
      <x:c r="E16" s="24" t="n">
        <x:v>4</x:v>
      </x:c>
      <x:c r="F16" s="168" t="str">
        <x:v>Governor's Decision No. 13 of 2026 on licence suspensions and closures (6 August 2026)</x:v>
      </x:c>
      <x:c r="G16" s="168" t="str">
        <x:v>Central Bank of Yemen — Aden</x:v>
      </x:c>
      <x:c r="H16" s="168"/>
      <x:c r="I16" s="168"/>
      <x:c r="J16" s="168"/>
      <x:c r="K16" s="168" t="str">
        <x:v>CITATION_CARD</x:v>
      </x:c>
      <x:c r="L16" s="168" t="str">
        <x:v>قرار المحافظ رقم (13) لسنة 2026 بشأن إيقاف تراخيص وإغلاق مقرات (6 أغسطس 2026)</x:v>
      </x:c>
      <x:c r="M16" s="168"/>
      <x:c r="N16" s="168"/>
      <x:c r="O16" s="168"/>
      <x:c r="S16" t="str">
        <x:v>NOT_ASSESSED</x:v>
      </x:c>
      <x:c r="W16" t="str">
        <x:v>decision/enforcement</x:v>
      </x:c>
      <x:c r="X16" t="str">
        <x:v>status event</x:v>
      </x:c>
      <x:c r="Y16" t="str">
        <x:v>البنك المركزي اليمني – عدن</x:v>
      </x:c>
      <x:c r="Z16" t="str">
        <x:v>Enforcement decision</x:v>
      </x:c>
      <x:c r="AA16" t="str">
        <x:v>قرار إنفاذ</x:v>
      </x:c>
      <x:c r="AB16" t="str">
        <x:v>2026-08-06</x:v>
      </x:c>
    </x:row>
    <x:row r="17">
      <x:c r="A17" s="24" t="str">
        <x:v>SRC-CBY-ENF-14-2026</x:v>
      </x:c>
      <x:c r="B17" s="24" t="str">
        <x:v>https://cby-ye.com/news/968</x:v>
      </x:c>
      <x:c r="C17" s="24" t="str"/>
      <x:c r="D17" s="24" t="str">
        <x:v>DS-PROVIDER-MASTER,DS-PROVIDER-STATUS-EVENTS</x:v>
      </x:c>
      <x:c r="E17" s="24" t="n">
        <x:v>4</x:v>
      </x:c>
      <x:c r="F17" s="168" t="str">
        <x:v>Governor's Decision No. 14 of 2026 on licence suspensions and closures (20 August 2026)</x:v>
      </x:c>
      <x:c r="G17" s="168" t="str">
        <x:v>Central Bank of Yemen — Aden</x:v>
      </x:c>
      <x:c r="H17" s="168"/>
      <x:c r="I17" s="168"/>
      <x:c r="J17" s="168"/>
      <x:c r="K17" s="168" t="str">
        <x:v>CITATION_CARD</x:v>
      </x:c>
      <x:c r="L17" s="168" t="str">
        <x:v>قرار المحافظ رقم (14) لسنة 2026 بشأن إيقاف تراخيص وإغلاق مقرات (20 أغسطس 2026)</x:v>
      </x:c>
      <x:c r="M17" s="168"/>
      <x:c r="N17" s="168"/>
      <x:c r="O17" s="168"/>
      <x:c r="S17" t="str">
        <x:v>NOT_ASSESSED</x:v>
      </x:c>
      <x:c r="W17" t="str">
        <x:v>decision/enforcement</x:v>
      </x:c>
      <x:c r="X17" t="str">
        <x:v>status event</x:v>
      </x:c>
      <x:c r="Y17" t="str">
        <x:v>البنك المركزي اليمني – عدن</x:v>
      </x:c>
      <x:c r="Z17" t="str">
        <x:v>Enforcement decision</x:v>
      </x:c>
      <x:c r="AA17" t="str">
        <x:v>قرار إنفاذ</x:v>
      </x:c>
      <x:c r="AB17" t="str">
        <x:v>2026-08-20</x:v>
      </x:c>
    </x:row>
    <x:row r="18">
      <x:c r="A18" s="24" t="str">
        <x:v>SRC-CBY-ENF-15-2026</x:v>
      </x:c>
      <x:c r="B18" s="24" t="str">
        <x:v>https://cby-ye.com/news/969</x:v>
      </x:c>
      <x:c r="C18" s="24" t="str"/>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https://www.cby-ye.com/files/6a87039fd05bb.pdf</x:v>
      </x:c>
      <x:c r="C19" s="24" t="str"/>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Y20" t="str">
        <x:v>البنك المركزي اليمني – عدن</x:v>
      </x:c>
      <x:c r="Z20" t="str">
        <x:v>News release</x:v>
      </x:c>
      <x:c r="AA20" t="str">
        <x:v>بيان صحفي</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2026-09-26</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2026-09-26</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Y33" t="str">
        <x:v>البنك المركزي اليمني – عدن</x:v>
      </x:c>
      <x:c r="Z33" t="str">
        <x:v>Statistical release</x:v>
      </x:c>
      <x:c r="AA33" t="str">
        <x:v>إصدار إحصائي</x:v>
      </x:c>
    </x:row>
    <x:row r="34">
      <x:c r="A34" s="24" t="str">
        <x:v>SRC-IMF-AIV-2025-STAFF-001</x:v>
      </x:c>
      <x:c r="B34" s="24" t="str">
        <x:v>https://www.elibrary.imf.org/view/journals/002/2026/080/article-A001-en.xml</x:v>
      </x:c>
      <x:c r="C34" s="24" t="str"/>
      <x:c r="D34" s="24" t="str">
        <x:v>DS-REMITTANCES</x:v>
      </x:c>
      <x:c r="E34" s="24" t="n">
        <x:v>7</x:v>
      </x:c>
      <x:c r="F34" s="168" t="str">
        <x:v>Republic of Yemen: 2025 Article IV Consultation — Staff Report (IMF Country Report No. 26/80)</x:v>
      </x:c>
      <x:c r="G34" s="168" t="str">
        <x:v>International Monetary Fund</x:v>
      </x:c>
      <x:c r="H34" s="168"/>
      <x:c r="I34" s="168"/>
      <x:c r="J34" s="168"/>
      <x:c r="K34" s="168" t="str">
        <x:v>CITATION_CARD</x:v>
      </x:c>
      <x:c r="L34" s="168" t="str">
        <x:v>الجمهورية اليمنية: مشاورات المادة الرابعة لعام 2025 — تقرير الخبراء (تقرير صندوق النقد الدولي القُطري رقم 26/80)</x:v>
      </x:c>
      <x:c r="M34" s="168"/>
      <x:c r="N34" s="168"/>
      <x:c r="O34" s="168"/>
      <x:c r="S34" t="str">
        <x:v>NOT_ASSESSED</x:v>
      </x:c>
      <x:c r="Y34" t="str">
        <x:v>صندوق النقد الدولي</x:v>
      </x:c>
      <x:c r="Z34" t="str">
        <x:v>Staff report</x:v>
      </x:c>
      <x:c r="AA34" t="str">
        <x:v>تقرير خبراء</x:v>
      </x:c>
    </x:row>
    <x:row r="35">
      <x:c r="A35" s="24" t="str">
        <x:v>SRC-IMF-AIV-2025-SUPP-001</x:v>
      </x:c>
      <x:c r="B35" s="24" t="str">
        <x:v>https://www.elibrary.imf.org/view/journals/002/2026/080/article-A004-en.xml</x:v>
      </x:c>
      <x:c r="C35" s="24" t="str"/>
      <x:c r="D35" s="24" t="str">
        <x:v>DS-REMITTANCES</x:v>
      </x:c>
      <x:c r="E35" s="24" t="n">
        <x:v>6</x:v>
      </x:c>
      <x:c r="F35" s="168" t="str">
        <x:v>Republic of Yemen: 2025 Article IV Consultation — supplement to the staff report (IMF Country Report No. 26/80)</x:v>
      </x:c>
      <x:c r="G35" s="168" t="str">
        <x:v>International Monetary Fund</x:v>
      </x:c>
      <x:c r="H35" s="168"/>
      <x:c r="I35" s="168"/>
      <x:c r="J35" s="168"/>
      <x:c r="K35" s="168" t="str">
        <x:v>CITATION_CARD</x:v>
      </x:c>
      <x:c r="L35" s="168" t="str">
        <x:v>الجمهورية اليمنية: مشاورات المادة الرابعة لعام 2025 — ملحق تقرير الخبراء (تقرير صندوق النقد الدولي القُطري رقم 26/80)</x:v>
      </x:c>
      <x:c r="M35" s="168"/>
      <x:c r="N35" s="168"/>
      <x:c r="O35" s="168"/>
      <x:c r="S35" t="str">
        <x:v>NOT_ASSESSED</x:v>
      </x:c>
      <x:c r="Y35" t="str">
        <x:v>صندوق النقد الدولي</x:v>
      </x:c>
      <x:c r="Z35" t="str">
        <x:v>Staff report</x:v>
      </x:c>
      <x:c r="AA35" t="str">
        <x:v>تقرير خبراء</x:v>
      </x:c>
    </x:row>
    <x:row r="36">
      <x:c r="A36" s="24" t="str">
        <x:v>SRC-WB-ES-2013-PROFILE-001</x:v>
      </x:c>
      <x:c r="B36" s="24" t="str">
        <x:v>https://www.enterprisesurveys.org/content/dam/enterprisesurveys/documents/country/Yemen-2013.pdf</x:v>
      </x:c>
      <x:c r="C36" s="24" t="str"/>
      <x:c r="D36" s="24" t="str">
        <x:v>DS-FIRM-FINANCE</x:v>
      </x:c>
      <x:c r="E36" s="24" t="n">
        <x:v>7</x:v>
      </x:c>
      <x:c r="F36" s="168" t="str">
        <x:v>Enterprise Surveys: Yemen Country Profile 2013 (survey period 2013–2014)</x:v>
      </x:c>
      <x:c r="G36" s="168" t="str">
        <x:v>World Bank</x:v>
      </x:c>
      <x:c r="H36" s="168"/>
      <x:c r="I36" s="168"/>
      <x:c r="J36" s="168"/>
      <x:c r="K36" s="168" t="str">
        <x:v>CITATION_CARD</x:v>
      </x:c>
      <x:c r="L36" s="168" t="str">
        <x:v>مسوح المنشآت (Enterprise Surveys): الملف القُطري لليمن 2013 (فترة المسح 2013–2014)</x:v>
      </x:c>
      <x:c r="M36" s="168"/>
      <x:c r="N36" s="168"/>
      <x:c r="O36" s="168"/>
      <x:c r="S36" t="str">
        <x:v>NOT_ASSESSED</x:v>
      </x:c>
      <x:c r="Y36" t="str">
        <x:v>البنك الدولي</x:v>
      </x:c>
      <x:c r="Z36" t="str">
        <x:v>Survey dataset or indicator</x:v>
      </x:c>
      <x:c r="AA36" t="str">
        <x:v>مسح أو مؤشر</x:v>
      </x:c>
    </x:row>
    <x:row r="37">
      <x:c r="A37" s="24" t="str">
        <x:v>SRC-WB-FSD-2024-001</x:v>
      </x:c>
      <x:c r="B37" s="24" t="str">
        <x:v>https://documents1.worldbank.org/curated/en/099102324070011985/pdf/P177631-d18a7ee4-3fcf-4393-9665-77f98b3e43a7.pdf</x:v>
      </x:c>
      <x:c r="C37" s="24" t="str"/>
      <x:c r="D37" s="24" t="str">
        <x:v>DS-FIRM-FINANCE,DS-K04-MFB2023-RECON,DS-K04-MFB-TRANSFORM-LENS,DS-K04-CAUSEWAY-READING-003</x:v>
      </x:c>
      <x:c r="E37" s="24" t="n">
        <x:v>81</x:v>
      </x:c>
      <x:c r="F37" s="168" t="str">
        <x:v>Yemen Financial Sector Diagnostics (2024)</x:v>
      </x:c>
      <x:c r="G37" s="168" t="str">
        <x:v>World Bank</x:v>
      </x:c>
      <x:c r="H37" s="168" t="str">
        <x:v>Yemen financial-sector diagnostics and evidence</x:v>
      </x:c>
      <x:c r="I37" s="168" t="str">
        <x:v>A major analytical reference covering CBY-Aden, banking, money transfer and exchange services, access to finance, and the 2022 Yemen Enterprise Survey annex; useful for sector structure, historical context and source triangulation.</x:v>
      </x:c>
      <x:c r="J37" s="168" t="str">
        <x:v>A diagnostic is not a current administrative census or regulator statement. Institution-level and survey results retain their own dates, universes, methods and limitations.</x:v>
      </x:c>
      <x:c r="K37" s="168" t="str">
        <x:v>FULL_PUBLIC_CARD</x:v>
      </x:c>
      <x:c r="L37" s="168" t="str">
        <x:v>تشخيص القطاع المالي في اليمن (2024)</x:v>
      </x:c>
      <x:c r="M37" s="168" t="str">
        <x:v>تشخيصات وأدلة القطاع المالي في اليمن</x:v>
      </x:c>
      <x:c r="N37" s="168" t="str">
        <x:v>مرجع تحليلي رئيسي يغطي البنك المركزي في عدن والقطاع المصرفي وخدمات الصرافة والتحويل والوصول إلى التمويل، ويتضمن ملحق مسح المنشآت اليمنية لعام 2022؛ ويفيد في فهم هيكل القطاع والسياق التاريخي والمقارنة بين المصادر.</x:v>
      </x:c>
      <x:c r="O37" s="168" t="str">
        <x:v>التشخيص ليس تعدادًا إداريًا راهنًا ولا بيانًا تنظيميًا آنيًا. وتحتفظ نتائج المؤسسات والمسوح بتواريخها ومجتمعاتها ومناهجها وحدودها الخاصة.</x:v>
      </x:c>
      <x:c r="S37" t="str">
        <x:v>NOT_ASSESSED</x:v>
      </x:c>
      <x:c r="Y37" t="str">
        <x:v>البنك الدولي</x:v>
      </x:c>
      <x:c r="Z37" t="str">
        <x:v>Research or policy paper</x:v>
      </x:c>
      <x:c r="AA37" t="str">
        <x:v>ورقة بحثية أو سياساتية</x:v>
      </x:c>
      <x:c r="AB37" t="str">
        <x:v>2024</x:v>
      </x:c>
    </x:row>
    <x:row r="38">
      <x:c r="A38" s="24" t="str">
        <x:v>SRC-WB-RPW-SA-YEM-2025Q3-001</x:v>
      </x:c>
      <x:c r="B38" s="24" t="str">
        <x:v>https://remittanceprices.worldbank.org/corridor/Saudi%20Arabia/Yemen</x:v>
      </x:c>
      <x:c r="C38" s="24" t="str"/>
      <x:c r="D38" s="24" t="str">
        <x:v>DS-REMITTANCES</x:v>
      </x:c>
      <x:c r="E38" s="24" t="n">
        <x:v>2</x:v>
      </x:c>
      <x:c r="F38" s="168" t="str">
        <x:v>Remittance Prices Worldwide: Saudi Arabia to Yemen corridor (third quarter of 2025)</x:v>
      </x:c>
      <x:c r="G38" s="168" t="str">
        <x:v>World Bank</x:v>
      </x:c>
      <x:c r="H38" s="168"/>
      <x:c r="I38" s="168"/>
      <x:c r="J38" s="168"/>
      <x:c r="K38" s="168" t="str">
        <x:v>CITATION_CARD</x:v>
      </x:c>
      <x:c r="L38" s="168" t="str">
        <x:v>قاعدة بيانات Remittance Prices Worldwide: ممر الحوالات من المملكة العربية السعودية إلى اليمن (الربع الثالث من 2025)</x:v>
      </x:c>
      <x:c r="M38" s="168"/>
      <x:c r="N38" s="168"/>
      <x:c r="O38" s="168"/>
      <x:c r="S38" t="str">
        <x:v>NOT_ASSESSED</x:v>
      </x:c>
      <x:c r="Y38" t="str">
        <x:v>البنك الدولي</x:v>
      </x:c>
      <x:c r="Z38" t="str">
        <x:v>Database or web interface</x:v>
      </x:c>
      <x:c r="AA38" t="str">
        <x:v>قاعدة بيانات أو واجهة إلكترونية</x:v>
      </x:c>
    </x:row>
    <x:row r="39">
      <x:c r="A39" s="24" t="str">
        <x:v>SRC-WB-RPW-UAE-YEM-2025Q3-001</x:v>
      </x:c>
      <x:c r="B39" s="24" t="str">
        <x:v>https://remittanceprices.worldbank.org/corridor/United%20Arab%20Emirates/Yemen</x:v>
      </x:c>
      <x:c r="C39" s="24" t="str"/>
      <x:c r="D39" s="24" t="str">
        <x:v>DS-REMITTANCES</x:v>
      </x:c>
      <x:c r="E39" s="24" t="n">
        <x:v>2</x:v>
      </x:c>
      <x:c r="F39" s="168" t="str">
        <x:v>Remittance Prices Worldwide: United Arab Emirates to Yemen corridor (third quarter of 2025)</x:v>
      </x:c>
      <x:c r="G39" s="168" t="str">
        <x:v>World Bank</x:v>
      </x:c>
      <x:c r="H39" s="168"/>
      <x:c r="I39" s="168"/>
      <x:c r="J39" s="168"/>
      <x:c r="K39" s="168" t="str">
        <x:v>CITATION_CARD</x:v>
      </x:c>
      <x:c r="L39" s="168" t="str">
        <x:v>قاعدة بيانات Remittance Prices Worldwide: ممر الحوالات من الإمارات العربية المتحدة إلى اليمن (الربع الثالث من 2025)</x:v>
      </x:c>
      <x:c r="M39" s="168"/>
      <x:c r="N39" s="168"/>
      <x:c r="O39" s="168"/>
      <x:c r="S39" t="str">
        <x:v>NOT_ASSESSED</x:v>
      </x:c>
      <x:c r="Y39" t="str">
        <x:v>البنك الدولي</x:v>
      </x:c>
      <x:c r="Z39" t="str">
        <x:v>Database or web interface</x:v>
      </x:c>
      <x:c r="AA39" t="str">
        <x:v>قاعدة بيانات أو واجهة إلكترونية</x:v>
      </x:c>
    </x:row>
    <x:row r="40">
      <x:c r="A40" s="24" t="str">
        <x:v>SRC-YMN-AR-2012-001</x:v>
      </x:c>
      <x:c r="B40" s="24" t="str">
        <x:v>https://yemennetwork.org/wp-content/uploads/2019/05/Annual-report-for-sending-via-email_English.pdf</x:v>
      </x:c>
      <x:c r="C40" s="24" t="str"/>
      <x:c r="D40" s="24" t="str">
        <x:v>DS-MFI-EVIDENCE</x:v>
      </x:c>
      <x:c r="E40" s="24" t="n">
        <x:v>4</x:v>
      </x:c>
      <x:c r="F40" s="168" t="str">
        <x:v>Yemen Microfinance Network (YMN) Annual Report 2012</x:v>
      </x:c>
      <x:c r="G40" s="168" t="str">
        <x:v>Yemen Microfinance Network</x:v>
      </x:c>
      <x:c r="H40" s="168"/>
      <x:c r="I40" s="168"/>
      <x:c r="J40" s="168"/>
      <x:c r="K40" s="168" t="str">
        <x:v>CITATION_CARD</x:v>
      </x:c>
      <x:c r="L40" s="168" t="str">
        <x:v>التقرير السنوي لشبكة اليمن للتمويل الأصغر (YMN) لعام 2012</x:v>
      </x:c>
      <x:c r="M40" s="168"/>
      <x:c r="N40" s="168"/>
      <x:c r="O40" s="168"/>
      <x:c r="S40" t="str">
        <x:v>NOT_ASSESSED</x:v>
      </x:c>
      <x:c r="Y40" t="str">
        <x:v>شبكة اليمن للتمويل الأصغر</x:v>
      </x:c>
      <x:c r="Z40" t="str">
        <x:v>Annual report</x:v>
      </x:c>
      <x:c r="AA40" t="str">
        <x:v>تقرير سنوي</x:v>
      </x:c>
    </x:row>
    <x:row r="41">
      <x:c r="A41" s="24" t="str">
        <x:v>SRC-YMN-IMPACT-2021-001</x:v>
      </x:c>
      <x:c r="B41" s="24" t="str">
        <x:v>https://yemennetwork.org/wp-content/uploads/2022/11/YMN_Impact-Assessment_Final_Arabic_Final_V2.pdf</x:v>
      </x:c>
      <x:c r="C41" s="24" t="str"/>
      <x:c r="D41" s="24" t="str">
        <x:v>DS-MFI-EVIDENCE, DS-MFI-PROVIDER-PANEL</x:v>
      </x:c>
      <x:c r="E41" s="24" t="n">
        <x:v>14</x:v>
      </x:c>
      <x:c r="F41" s="168" t="str">
        <x:v>Impact Assessment of Microfinance Services in Yemen (May 2021)</x:v>
      </x:c>
      <x:c r="G41" s="168" t="str">
        <x:v>Yemen Microfinance Network</x:v>
      </x:c>
      <x:c r="H41" s="168"/>
      <x:c r="I41" s="168"/>
      <x:c r="J41" s="168"/>
      <x:c r="K41" s="168" t="str">
        <x:v>CITATION_CARD</x:v>
      </x:c>
      <x:c r="L41" s="168" t="str">
        <x:v>تقييم أثر خدمات التمويل الأصغر في اليمن (مايو 2021)</x:v>
      </x:c>
      <x:c r="M41" s="168"/>
      <x:c r="N41" s="168"/>
      <x:c r="O41" s="168"/>
      <x:c r="S41" t="str">
        <x:v>NOT_ASSESSED</x:v>
      </x:c>
      <x:c r="Y41" t="str">
        <x:v>شبكة اليمن للتمويل الأصغر</x:v>
      </x:c>
      <x:c r="Z41" t="str">
        <x:v>Research or policy paper</x:v>
      </x:c>
      <x:c r="AA41" t="str">
        <x:v>ورقة بحثية أو سياساتية</x:v>
      </x:c>
      <x:c r="AB41" t="str">
        <x:v>2021-05</x:v>
      </x:c>
    </x:row>
    <x:row r="42">
      <x:c r="A42" s="24" t="str">
        <x:v>SRC-YMN-MEMBERS-2026-001</x:v>
      </x:c>
      <x:c r="B42" s="24" t="str">
        <x:v>https://yemennetwork.org/</x:v>
      </x:c>
      <x:c r="C42" s="24" t="str">
        <x:v>["https://ymn.yemennetwork.org/about-us", "https://yemennetwork.org/banks/", "https://yemennetwork.org/%D9%85%D8%A4%D8%B3%D8%B3%D8%A7%D8%AA/?lang=ar"]</x:v>
      </x:c>
      <x:c r="D42" s="24" t="str">
        <x:v>DS-PROVIDER-UNIVERSE</x:v>
      </x:c>
      <x:c r="E42" s="24" t="n">
        <x:v>1</x:v>
      </x:c>
      <x:c r="F42" s="168" t="str">
        <x:v>Yemen Microfinance Network website: membership pages (observed 7 September 2026)</x:v>
      </x:c>
      <x:c r="G42" s="168" t="str">
        <x:v>Yemen Microfinance Network</x:v>
      </x:c>
      <x:c r="H42" s="168"/>
      <x:c r="I42" s="168"/>
      <x:c r="J42" s="168"/>
      <x:c r="K42" s="168" t="str">
        <x:v>CITATION_CARD</x:v>
      </x:c>
      <x:c r="L42" s="168" t="str">
        <x:v>الموقع الإلكتروني لشبكة اليمن للتمويل الأصغر: صفحات العضوية (كما رُصدت في 7 سبتمبر 2026)</x:v>
      </x:c>
      <x:c r="M42" s="168"/>
      <x:c r="N42" s="168"/>
      <x:c r="O42" s="168"/>
      <x:c r="S42" t="str">
        <x:v>NOT_ASSESSED</x:v>
      </x:c>
      <x:c r="Y42" t="str">
        <x:v>شبكة اليمن للتمويل الأصغر</x:v>
      </x:c>
      <x:c r="Z42" t="str">
        <x:v>Database or web interface</x:v>
      </x:c>
      <x:c r="AA42" t="str">
        <x:v>قاعدة بيانات أو واجهة إلكترونية</x:v>
      </x:c>
    </x:row>
    <x:row r="43">
      <x:c r="A43" s="24" t="str">
        <x:v>SRC-YMN-MFMAG-2014-Q1-001</x:v>
      </x:c>
      <x:c r="B43" s="24" t="str">
        <x:v>https://yemennetwork.org/wp-content/uploads/2015/02/mf_magazine_1st_issue_2014eng..pdf</x:v>
      </x:c>
      <x:c r="C43" s="24" t="str"/>
      <x:c r="D43" s="24" t="str">
        <x:v>DS-MFI-EVIDENCE, DS-MFI-PROVIDER-PANEL</x:v>
      </x:c>
      <x:c r="E43" s="24" t="n">
        <x:v>13</x:v>
      </x:c>
      <x:c r="F43" s="168" t="str">
        <x:v>MicroFinance Magazine, issue no. 1 (2014)</x:v>
      </x:c>
      <x:c r="G43" s="168" t="str">
        <x:v>Yemen Microfinance Network</x:v>
      </x:c>
      <x:c r="H43" s="168"/>
      <x:c r="I43" s="168"/>
      <x:c r="J43" s="168"/>
      <x:c r="K43" s="168" t="str">
        <x:v>CITATION_CARD</x:v>
      </x:c>
      <x:c r="L43" s="168" t="str">
        <x:v>مجلة التمويل الأصغر، العدد الأول (2014)</x:v>
      </x:c>
      <x:c r="M43" s="168"/>
      <x:c r="N43" s="168"/>
      <x:c r="O43" s="168"/>
      <x:c r="S43" t="str">
        <x:v>NOT_ASSESSED</x:v>
      </x:c>
      <x:c r="Y43" t="str">
        <x:v>شبكة اليمن للتمويل الأصغر</x:v>
      </x:c>
      <x:c r="Z43" t="str">
        <x:v>Newsletter</x:v>
      </x:c>
      <x:c r="AA43" t="str">
        <x:v>نشرة دورية</x:v>
      </x:c>
      <x:c r="AB43" t="str">
        <x:v>2014</x:v>
      </x:c>
    </x:row>
    <x:row r="44">
      <x:c r="A44" s="24" t="str">
        <x:v>SRC-YMN-MFMAG-2014-Q2-001</x:v>
      </x:c>
      <x:c r="B44" s="24" t="str">
        <x:v>https://yemennetwork.org/wp-content/uploads/2015/02/mf_magazine_2nd_issue_2014eng..pdf</x:v>
      </x:c>
      <x:c r="C44" s="24" t="str"/>
      <x:c r="D44" s="24" t="str">
        <x:v>DS-MFI-EVIDENCE, DS-MFI-PROVIDER-PANEL</x:v>
      </x:c>
      <x:c r="E44" s="24" t="n">
        <x:v>13</x:v>
      </x:c>
      <x:c r="F44" s="168" t="str">
        <x:v>MicroFinance Magazine, issue no. 2 (2014)</x:v>
      </x:c>
      <x:c r="G44" s="168" t="str">
        <x:v>Yemen Microfinance Network</x:v>
      </x:c>
      <x:c r="H44" s="168"/>
      <x:c r="I44" s="168"/>
      <x:c r="J44" s="168"/>
      <x:c r="K44" s="168" t="str">
        <x:v>CITATION_CARD</x:v>
      </x:c>
      <x:c r="L44" s="168" t="str">
        <x:v>مجلة التمويل الأصغر، العدد الثاني (2014)</x:v>
      </x:c>
      <x:c r="M44" s="168"/>
      <x:c r="N44" s="168"/>
      <x:c r="O44" s="168"/>
      <x:c r="S44" t="str">
        <x:v>NOT_ASSESSED</x:v>
      </x:c>
      <x:c r="Y44" t="str">
        <x:v>شبكة اليمن للتمويل الأصغر</x:v>
      </x:c>
      <x:c r="Z44" t="str">
        <x:v>Newsletter</x:v>
      </x:c>
      <x:c r="AA44" t="str">
        <x:v>نشرة دورية</x:v>
      </x:c>
      <x:c r="AB44" t="str">
        <x:v>2014</x:v>
      </x:c>
    </x:row>
    <x:row r="45">
      <x:c r="A45" s="24" t="str">
        <x:v>SRC-WB-FINDEX-001</x:v>
      </x:c>
      <x:c r="B45" s="24" t="str">
        <x:v>https://microdata.worldbank.org/catalog/5862</x:v>
      </x:c>
      <x:c r="C45" s="24" t="str"/>
      <x:c r="D45" s="24" t="str">
        <x:v>DS-FINDEX-META, DS-FINDEX-VARS, DS-FINDEX-WAVES, DS-FINDEX-RULES, DS-FINDEX-PANEL-CATALOG, DS-FINDEX-SUBGROUP-MATRIX, DS-FINDEX-DENOMINATOR-STRESS, DS-FINDEX-MICRODATA-GATE</x:v>
      </x:c>
      <x:c r="E45" s="24" t="n">
        <x:v>401</x:v>
      </x:c>
      <x:c r="F45" s="168" t="str">
        <x:v>Global Findex 2021 survey for Yemen: study YEM_2022_FINDEX_v01_M (fieldwork 7 November 2022 to 9 January 2023)</x:v>
      </x:c>
      <x:c r="G45" s="168" t="str">
        <x:v>World Bank</x:v>
      </x:c>
      <x:c r="H45" s="168"/>
      <x:c r="I45" s="168"/>
      <x:c r="J45" s="168"/>
      <x:c r="K45" s="168" t="str">
        <x:v>CITATION_CARD</x:v>
      </x:c>
      <x:c r="L45" s="168" t="str">
        <x:v>المؤشر العالمي للشمول المالي (Global Findex) 2021 — مسح اليمن: الدراسة YEM_2022_FINDEX_v01_M (العمل الميداني من 7 نوفمبر 2022 إلى 9 يناير 2023)</x:v>
      </x:c>
      <x:c r="M45" s="168"/>
      <x:c r="N45" s="168"/>
      <x:c r="O45" s="168"/>
      <x:c r="S45" t="str">
        <x:v>NOT_ASSESSED</x:v>
      </x:c>
      <x:c r="W45" t="str">
        <x:v>survey</x:v>
      </x:c>
      <x:c r="X45" t="str">
        <x:v>primary factual evidence</x:v>
      </x:c>
      <x:c r="Y45" t="str">
        <x:v>البنك الدولي</x:v>
      </x:c>
      <x:c r="Z45" t="str">
        <x:v>Survey dataset or indicator</x:v>
      </x:c>
      <x:c r="AA45" t="str">
        <x:v>مسح أو مؤشر</x:v>
      </x:c>
      <x:c r="AB45" t="str">
        <x:v>2023-05-19</x:v>
      </x:c>
    </x:row>
    <x:row r="46">
      <x:c r="A46" s="24" t="str">
        <x:v>SRC-WB-FINDEX-AGG-2022</x:v>
      </x:c>
      <x:c r="B46" s="24" t="str">
        <x:v>https://data.worldbank.org/indicator/FX.OWN.TOTL.ZS?locations=YE</x:v>
      </x:c>
      <x:c r="C46"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46" s="24" t="str">
        <x:v>DS-FINDEX-WAVES, DS-FINDEX-WB-OBS, DS-FINDEX-PANEL-CATALOG, DS-FINDEX-SUBGROUP-MATRIX, DS-FINDEX-ANALYTIC-SURFACES</x:v>
      </x:c>
      <x:c r="E46" s="24" t="n">
        <x:v>247</x:v>
      </x:c>
      <x:c r="F46" s="168" t="str">
        <x:v>Global Findex indicators for Yemen: account ownership, adults 15+, total and by group (World Bank data year 2022)</x:v>
      </x:c>
      <x:c r="G46" s="168" t="str">
        <x:v>World Bank</x:v>
      </x:c>
      <x:c r="H46" s="168"/>
      <x:c r="I46" s="168"/>
      <x:c r="J46" s="168"/>
      <x:c r="K46" s="168" t="str">
        <x:v>CITATION_CARD</x:v>
      </x:c>
      <x:c r="L46" s="168" t="str">
        <x:v>المؤشر العالمي للشمول المالي (Global Findex) — اليمن: امتلاك الحساب لدى البالغين بعمر 15 سنة فأكثر، إجمالًا وحسب الفئة (سنة البيانات لدى البنك الدولي: 2022)</x:v>
      </x:c>
      <x:c r="M46" s="168"/>
      <x:c r="N46" s="168"/>
      <x:c r="O46" s="168"/>
      <x:c r="S46" t="str">
        <x:v>NOT_ASSESSED</x:v>
      </x:c>
      <x:c r="W46" t="str">
        <x:v>dataset</x:v>
      </x:c>
      <x:c r="X46" t="str">
        <x:v>primary factual evidence</x:v>
      </x:c>
      <x:c r="Y46" t="str">
        <x:v>البنك الدولي</x:v>
      </x:c>
      <x:c r="Z46" t="str">
        <x:v>Survey dataset or indicator</x:v>
      </x:c>
      <x:c r="AA46" t="str">
        <x:v>مسح أو مؤشر</x:v>
      </x:c>
    </x:row>
    <x:row r="47">
      <x:c r="A47" s="24" t="str">
        <x:v>SRC-OECD-YEM-RESILIENCE-001</x:v>
      </x:c>
      <x:c r="B47" s="24" t="str">
        <x:v>https://doi.org/10.1787/81ed2898-en</x:v>
      </x:c>
      <x:c r="C47" s="24" t="str"/>
      <x:c r="D47" s="24" t="str">
        <x:v>DS-OECD-NARRATIVE, DS-OECD-POLICY, DS-SYSTEM-CONSEQ</x:v>
      </x:c>
      <x:c r="E47" s="24" t="n">
        <x:v>48</x:v>
      </x:c>
      <x:c r="F47" s="168" t="str">
        <x:v>Promoting Economic Resilience in Yemen (2026)</x:v>
      </x:c>
      <x:c r="G47" s="168" t="str">
        <x:v>OECD</x:v>
      </x:c>
      <x:c r="H47" s="168" t="str">
        <x:v>Yemen analytical literature and diagnostics</x:v>
      </x:c>
      <x:c r="I47"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47" s="168" t="str">
        <x:v>An OECD synthesis does not replace the underlying Yemen datasets or regulator records, establish current provider operation, or prove causal effects on financial inclusion.</x:v>
      </x:c>
      <x:c r="K47" s="168" t="str">
        <x:v>FULL_PUBLIC_CARD</x:v>
      </x:c>
      <x:c r="L47" s="168" t="str">
        <x:v>تعزيز المرونة الاقتصادية في اليمن (2026)</x:v>
      </x:c>
      <x:c r="M47" s="168" t="str">
        <x:v>الأدبيات والتحليلات الخاصة باليمن</x:v>
      </x:c>
      <x:c r="N47"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الأدلة المقاسة وفي تحديد الأسئلة التي يجب التحقق منها بالرجوع إلى المصدر الأولي.</x:v>
      </x:c>
      <x:c r="O47" s="168" t="str">
        <x:v>لا يحل تحليل منظمة التعاون والتنمية في الميدان الاقتصادي محل مجموعات البيانات اليمنية أو سجلات الجهات التنظيمية الأصلية، ولا يثبت حالة التشغيل الحالية لمقدمي الخدمات أو آثارًا سببية على الشمول المالي.</x:v>
      </x:c>
      <x:c r="S47" t="str">
        <x:v>NOT_ASSESSED</x:v>
      </x:c>
      <x:c r="Y47" t="str">
        <x:v>منظمة التعاون الاقتصادي والتنمية</x:v>
      </x:c>
      <x:c r="Z47" t="str">
        <x:v>Research or policy paper</x:v>
      </x:c>
      <x:c r="AA47" t="str">
        <x:v>ورقة بحثية أو سياساتية</x:v>
      </x:c>
      <x:c r="AB47" t="str">
        <x:v>2026</x:v>
      </x:c>
    </x:row>
    <x:row r="48">
      <x:c r="A48" s="24" t="str">
        <x:v>SRC-OCHA-FTS-YEM-2026-001</x:v>
      </x:c>
      <x:c r="B48" s="24" t="str">
        <x:v>https://fts.unocha.org/countries/248/flows/2026</x:v>
      </x:c>
      <x:c r="C48" s="24" t="str"/>
      <x:c r="D48" s="24" t="str">
        <x:v>DS-OCHA-FTS-2026, DS-OCHA-LINKS</x:v>
      </x:c>
      <x:c r="E48" s="24" t="n">
        <x:v>77</x:v>
      </x:c>
      <x:c r="F48" s="168" t="str">
        <x:v>Financial Tracking Service: Yemen funding flows, 2026 (snapshot of 7 September 2026)</x:v>
      </x:c>
      <x:c r="G48" s="168" t="str">
        <x:v>UN OCHA</x:v>
      </x:c>
      <x:c r="H48" s="168"/>
      <x:c r="I48" s="168"/>
      <x:c r="J48" s="168"/>
      <x:c r="K48" s="168" t="str">
        <x:v>CITATION_CARD</x:v>
      </x:c>
      <x:c r="L48" s="168" t="str">
        <x:v>خدمة تتبع التمويل (FTS): تدفقات التمويل إلى اليمن لعام 2026 (لقطة بتاريخ 7 سبتمبر 2026)</x:v>
      </x:c>
      <x:c r="M48" s="168"/>
      <x:c r="N48" s="168"/>
      <x:c r="O48" s="168"/>
      <x:c r="S48" t="str">
        <x:v>NOT_ASSESSED</x:v>
      </x:c>
      <x:c r="Y48" t="str">
        <x:v>مكتب الأمم المتحدة لتنسيق الشؤون الإنسانية</x:v>
      </x:c>
      <x:c r="Z48" t="str">
        <x:v>Database or web interface</x:v>
      </x:c>
      <x:c r="AA48" t="str">
        <x:v>قاعدة بيانات أو واجهة إلكترونية</x:v>
      </x:c>
    </x:row>
    <x:row r="49">
      <x:c r="A49" s="24" t="str">
        <x:v>SRC-WB-YEM-MFI-2004-001</x:v>
      </x:c>
      <x:c r="B49" s="24" t="str">
        <x:v>https://documents1.worldbank.org/curated/en/494591468320937438/pdf/925610BRI0Box30e0for0Small0Business.pdf</x:v>
      </x:c>
      <x:c r="C49" s="24" t="str"/>
      <x:c r="D49" s="24" t="str">
        <x:v>DS-WB2004-NARR, DS-WB2004-CASES, DS-WB2004-CHRON, DS-WB2004-CONTROLS</x:v>
      </x:c>
      <x:c r="E49" s="24" t="n">
        <x:v>18</x:v>
      </x:c>
      <x:c r="F49" s="168" t="str">
        <x:v>Yemen: Microfinance for Small Business (3 May 2004)</x:v>
      </x:c>
      <x:c r="G49" s="168" t="str">
        <x:v>World Bank</x:v>
      </x:c>
      <x:c r="H49" s="168"/>
      <x:c r="I49" s="168"/>
      <x:c r="J49" s="168"/>
      <x:c r="K49" s="168" t="str">
        <x:v>CITATION_CARD</x:v>
      </x:c>
      <x:c r="L49" s="168" t="str">
        <x:v>اليمن: التمويل الأصغر للمنشآت الصغيرة (3 مايو 2004)</x:v>
      </x:c>
      <x:c r="M49" s="168"/>
      <x:c r="N49" s="168"/>
      <x:c r="O49" s="168"/>
      <x:c r="S49" t="str">
        <x:v>NOT_ASSESSED</x:v>
      </x:c>
      <x:c r="Y49" t="str">
        <x:v>البنك الدولي</x:v>
      </x:c>
      <x:c r="Z49" t="str">
        <x:v>News release</x:v>
      </x:c>
      <x:c r="AA49" t="str">
        <x:v>بيان صحفي</x:v>
      </x:c>
      <x:c r="AB49" t="str">
        <x:v>2004-05-03</x:v>
      </x:c>
    </x:row>
    <x:row r="50">
      <x:c r="A50" s="24" t="str">
        <x:v>SRC-AJMBFS-CBY-FI-2025-001</x:v>
      </x:c>
      <x:c r="B50" s="24" t="str">
        <x:v>https://ojs.aambfsye.org/index.php/arab-Journal/article/view/18</x:v>
      </x:c>
      <x:c r="C50" s="24" t="str">
        <x:v>["https://doi.org/10.59559/ajmbfs.1.1.4"]</x:v>
      </x:c>
      <x:c r="D50" s="24" t="str">
        <x:v>DS-LIT-CBY-FI,DS-PRIMARY-POINTERS</x:v>
      </x:c>
      <x:c r="E50" s="24" t="n">
        <x:v>10</x:v>
      </x:c>
      <x:c r="F50" s="168" t="str">
        <x:v>The Impact of the Efforts and Measures of the Yemeni Central Bank on Promoting Financial Inclusion in Yemen (April 2025)</x:v>
      </x:c>
      <x:c r="G50" s="168" t="str">
        <x:v>Arab Journal of Management, Banking, and Financial Studies</x:v>
      </x:c>
      <x:c r="H50" s="168"/>
      <x:c r="I50" s="168"/>
      <x:c r="J50" s="168"/>
      <x:c r="K50" s="168" t="str">
        <x:v>CITATION_CARD</x:v>
      </x:c>
      <x:c r="L50" s="168" t="str">
        <x:v>أثر جهود وإجراءات البنك المركزي اليمني في تعزيز الشمول المالي في اليمن (أبريل 2025)</x:v>
      </x:c>
      <x:c r="M50" s="168"/>
      <x:c r="N50" s="168"/>
      <x:c r="O50" s="168"/>
      <x:c r="S50" t="str">
        <x:v>NOT_ASSESSED</x:v>
      </x:c>
      <x:c r="Y50" t="str">
        <x:v>المجلة العربية للإدارة والدراسات المصرفية والمالية</x:v>
      </x:c>
      <x:c r="Z50" t="str">
        <x:v>Research or policy paper</x:v>
      </x:c>
      <x:c r="AA50" t="str">
        <x:v>ورقة بحثية أو سياساتية</x:v>
      </x:c>
      <x:c r="AB50" t="str">
        <x:v>2025-04-27</x:v>
      </x:c>
    </x:row>
    <x:row r="51">
      <x:c r="A51" s="24" t="str">
        <x:v>SRC-KFW-RMMV-2023-001</x:v>
      </x:c>
      <x:c r="B51" s="24" t="str">
        <x:v>https://www.kfw-entwicklungsbank.de/Service/RMMV-conference-2023/</x:v>
      </x:c>
      <x:c r="C51" s="24" t="str">
        <x:v>["https://www.kfw-entwicklungsbank.de/PDF/Entwicklungsfinanzierung/RMMV/Booklet-of-RMMV-Service-Providers.pdf"]</x:v>
      </x:c>
      <x:c r="D51" s="24" t="str">
        <x:v>DS-CONTRADICTIONS</x:v>
      </x:c>
      <x:c r="E51" s="24" t="n">
        <x:v>1</x:v>
      </x:c>
      <x:c r="F51" s="168" t="str">
        <x:v>Interactive Conference on Remote Management, Monitoring and Verification (RMMV) and booklet of RMMV tools and service providers (8–9 February 2023)</x:v>
      </x:c>
      <x:c r="G51" s="168" t="str">
        <x:v>KfW Development Bank</x:v>
      </x:c>
      <x:c r="H51" s="168"/>
      <x:c r="I51" s="168"/>
      <x:c r="J51" s="168"/>
      <x:c r="K51" s="168" t="str">
        <x:v>CITATION_CARD</x:v>
      </x:c>
      <x:c r="L51" s="168" t="str">
        <x:v>المؤتمر التفاعلي حول الإدارة والرصد والتحقق عن بُعد (RMMV) وكتيّب أدوات RMMV ومقدمي خدماتها (8–9 فبراير 2023)</x:v>
      </x:c>
      <x:c r="M51" s="168"/>
      <x:c r="N51" s="168"/>
      <x:c r="O51" s="168"/>
      <x:c r="S51" t="str">
        <x:v>NOT_ASSESSED</x:v>
      </x:c>
      <x:c r="Y51" t="str">
        <x:v>بنك التنمية الألماني KfW</x:v>
      </x:c>
      <x:c r="Z51" t="str">
        <x:v>Event or programme page</x:v>
      </x:c>
      <x:c r="AA51" t="str">
        <x:v>صفحة فعالية أو برنامج</x:v>
      </x:c>
    </x:row>
    <x:row r="52">
      <x:c r="A52" s="24" t="str">
        <x:v>SRC-CBY-GMW-2023-001</x:v>
      </x:c>
      <x:c r="B52" s="24" t="str">
        <x:v>https://www.cby-ye.com/news/481</x:v>
      </x:c>
      <x:c r="C52" s="24" t="str"/>
      <x:c r="D52" s="24" t="str">
        <x:v>DS-PRIMARY-AUTHORITY, DS-EVIDENCE-PASSPORTS</x:v>
      </x:c>
      <x:c r="E52" s="24" t="n">
        <x:v>2</x:v>
      </x:c>
      <x:c r="F52" s="168" t="str">
        <x:v>Global Money Week 2023: launch and activity programme (20–26 March 2023)</x:v>
      </x:c>
      <x:c r="G52" s="168" t="str">
        <x:v>Central Bank of Yemen — Aden</x:v>
      </x:c>
      <x:c r="H52" s="168"/>
      <x:c r="I52" s="168"/>
      <x:c r="J52" s="168"/>
      <x:c r="K52" s="168" t="str">
        <x:v>CITATION_CARD</x:v>
      </x:c>
      <x:c r="L52" s="168" t="str">
        <x:v>الأسبوع العالمي للمال 2023: الإطلاق وبرنامج الأنشطة (20–26 مارس 2023)</x:v>
      </x:c>
      <x:c r="M52" s="168"/>
      <x:c r="N52" s="168"/>
      <x:c r="O52" s="168"/>
      <x:c r="S52" t="str">
        <x:v>NOT_ASSESSED</x:v>
      </x:c>
      <x:c r="Y52" t="str">
        <x:v>البنك المركزي اليمني – عدن</x:v>
      </x:c>
      <x:c r="Z52" t="str">
        <x:v>News release</x:v>
      </x:c>
      <x:c r="AA52" t="str">
        <x:v>بيان صحفي</x:v>
      </x:c>
    </x:row>
    <x:row r="53">
      <x:c r="A53" s="24" t="str">
        <x:v>SRC-CBY-GMW-2024-001</x:v>
      </x:c>
      <x:c r="B53" s="24" t="str">
        <x:v>https://cby-ye.com/news/648</x:v>
      </x:c>
      <x:c r="C53" s="24" t="str"/>
      <x:c r="D53" s="24" t="str">
        <x:v>DS-PRIMARY-AUTHORITY, DS-EVIDENCE-PASSPORTS</x:v>
      </x:c>
      <x:c r="E53" s="24" t="n">
        <x:v>2</x:v>
      </x:c>
      <x:c r="F53" s="168" t="str">
        <x:v>Launch of Global Money Week 2024 (18 March 2024)</x:v>
      </x:c>
      <x:c r="G53" s="168" t="str">
        <x:v>Central Bank of Yemen — Aden</x:v>
      </x:c>
      <x:c r="H53" s="168"/>
      <x:c r="I53" s="168"/>
      <x:c r="J53" s="168"/>
      <x:c r="K53" s="168" t="str">
        <x:v>CITATION_CARD</x:v>
      </x:c>
      <x:c r="L53" s="168" t="str">
        <x:v>إطلاق الأسبوع العالمي للمال 2024 (18 مارس 2024)</x:v>
      </x:c>
      <x:c r="M53" s="168"/>
      <x:c r="N53" s="168"/>
      <x:c r="O53" s="168"/>
      <x:c r="S53" t="str">
        <x:v>NOT_ASSESSED</x:v>
      </x:c>
      <x:c r="Y53" t="str">
        <x:v>البنك المركزي اليمني – عدن</x:v>
      </x:c>
      <x:c r="Z53" t="str">
        <x:v>News release</x:v>
      </x:c>
      <x:c r="AA53" t="str">
        <x:v>بيان صحفي</x:v>
      </x:c>
    </x:row>
    <x:row r="54">
      <x:c r="A54" s="24" t="str">
        <x:v>SRC-CBY-GMW-2024-CLOSE-001</x:v>
      </x:c>
      <x:c r="B54" s="24" t="str">
        <x:v>https://cby-ye.com/news/660</x:v>
      </x:c>
      <x:c r="C54" s="24" t="str"/>
      <x:c r="D54" s="24" t="str">
        <x:v>DS-PRIMARY-AUTHORITY, DS-EVIDENCE-PASSPORTS</x:v>
      </x:c>
      <x:c r="E54" s="24" t="n">
        <x:v>2</x:v>
      </x:c>
      <x:c r="F54" s="168" t="str">
        <x:v>Conclusion of Global Money Week 2024 and recognition of participating institutions (3 April 2024)</x:v>
      </x:c>
      <x:c r="G54" s="168" t="str">
        <x:v>Central Bank of Yemen — Aden</x:v>
      </x:c>
      <x:c r="H54" s="168"/>
      <x:c r="I54" s="168"/>
      <x:c r="J54" s="168"/>
      <x:c r="K54" s="168" t="str">
        <x:v>CITATION_CARD</x:v>
      </x:c>
      <x:c r="L54" s="168" t="str">
        <x:v>اختتام الأسبوع العالمي للمال 2024 وتكريم الجهات المشاركة (3 أبريل 2024)</x:v>
      </x:c>
      <x:c r="M54" s="168"/>
      <x:c r="N54" s="168"/>
      <x:c r="O54" s="168"/>
      <x:c r="S54" t="str">
        <x:v>NOT_ASSESSED</x:v>
      </x:c>
      <x:c r="Y54" t="str">
        <x:v>البنك المركزي اليمني – عدن</x:v>
      </x:c>
      <x:c r="Z54" t="str">
        <x:v>News release</x:v>
      </x:c>
      <x:c r="AA54" t="str">
        <x:v>بيان صحفي</x:v>
      </x:c>
    </x:row>
    <x:row r="55">
      <x:c r="A55" s="24" t="str">
        <x:v>SRC-CBY-GMW-2025-001</x:v>
      </x:c>
      <x:c r="B55" s="24" t="str">
        <x:v>https://cby-ye.com/news/790</x:v>
      </x:c>
      <x:c r="C55" s="24" t="str"/>
      <x:c r="D55" s="24" t="str">
        <x:v>DS-PRIMARY-AUTHORITY, DS-EVIDENCE-PASSPORTS</x:v>
      </x:c>
      <x:c r="E55" s="24" t="n">
        <x:v>2</x:v>
      </x:c>
      <x:c r="F55" s="168" t="str">
        <x:v>Global Money Week 2025: launch and programme (16–22 March 2025)</x:v>
      </x:c>
      <x:c r="G55" s="168" t="str">
        <x:v>Central Bank of Yemen — Aden</x:v>
      </x:c>
      <x:c r="H55" s="168"/>
      <x:c r="I55" s="168"/>
      <x:c r="J55" s="168"/>
      <x:c r="K55" s="168" t="str">
        <x:v>CITATION_CARD</x:v>
      </x:c>
      <x:c r="L55" s="168" t="str">
        <x:v>الأسبوع العالمي للمال 2025: الإطلاق والبرنامج (16–22 مارس 2025)</x:v>
      </x:c>
      <x:c r="M55" s="168"/>
      <x:c r="N55" s="168"/>
      <x:c r="O55" s="168"/>
      <x:c r="S55" t="str">
        <x:v>NOT_ASSESSED</x:v>
      </x:c>
      <x:c r="Y55" t="str">
        <x:v>البنك المركزي اليمني – عدن</x:v>
      </x:c>
      <x:c r="Z55" t="str">
        <x:v>News release</x:v>
      </x:c>
      <x:c r="AA55" t="str">
        <x:v>بيان صحفي</x:v>
      </x:c>
    </x:row>
    <x:row r="56">
      <x:c r="A56" s="24" t="str">
        <x:v>SRC-CBY-FCP-INSTR-2023-001</x:v>
      </x:c>
      <x:c r="B56" s="24" t="str">
        <x:v>https://cby-ye.com/news/567</x:v>
      </x:c>
      <x:c r="C56" s="24" t="str">
        <x:v>["https://www.cby-ye.com/files/64e6f1e87e2a1.pdf"]</x:v>
      </x:c>
      <x:c r="D56" s="24" t="str">
        <x:v>DS-PRIMARY-AUTHORITY, DS-EVIDENCE-PASSPORTS, DS-REFORM-EVENTS</x:v>
      </x:c>
      <x:c r="E56" s="24" t="n">
        <x:v>3</x:v>
      </x:c>
      <x:c r="F56" s="168" t="str">
        <x:v>Regulatory Instructions for Financial Consumer Protection (issuance announced 28 August 2023)</x:v>
      </x:c>
      <x:c r="G56" s="168" t="str">
        <x:v>Central Bank of Yemen — Aden</x:v>
      </x:c>
      <x:c r="H56" s="168"/>
      <x:c r="I56" s="168"/>
      <x:c r="J56" s="168"/>
      <x:c r="K56" s="168" t="str">
        <x:v>CITATION_CARD</x:v>
      </x:c>
      <x:c r="L56" s="168" t="str">
        <x:v>التعليمات التنظيمية لحماية المستهلك المالي (أُعلن إصدارها في 28 أغسطس 2023)</x:v>
      </x:c>
      <x:c r="M56" s="168"/>
      <x:c r="N56" s="168"/>
      <x:c r="O56" s="168"/>
      <x:c r="S56" t="str">
        <x:v>NOT_ASSESSED</x:v>
      </x:c>
      <x:c r="W56" t="str">
        <x:v>instruction/circular</x:v>
      </x:c>
      <x:c r="Y56" t="str">
        <x:v>البنك المركزي اليمني – عدن</x:v>
      </x:c>
      <x:c r="Z56" t="str">
        <x:v>Circular or instruction</x:v>
      </x:c>
      <x:c r="AA56" t="str">
        <x:v>تعميم أو تعليمات</x:v>
      </x:c>
      <x:c r="AB56" t="str">
        <x:v>2023-08-28</x:v>
      </x:c>
    </x:row>
    <x:row r="57">
      <x:c r="A57" s="24" t="str">
        <x:v>SRC-CBY-FCP-AWARE-2024-001</x:v>
      </x:c>
      <x:c r="B57" s="24" t="str">
        <x:v>https://cby-ye.com/news/652</x:v>
      </x:c>
      <x:c r="C57" s="24" t="str"/>
      <x:c r="D57" s="24" t="str">
        <x:v>DS-PRIMARY-AUTHORITY</x:v>
      </x:c>
      <x:c r="E57" s="24" t="n">
        <x:v>1</x:v>
      </x:c>
      <x:c r="F57" s="168" t="str">
        <x:v>Awareness brochure 'Financial Consumer Protection in Yemen' issued during Global Money Week (23 March 2024)</x:v>
      </x:c>
      <x:c r="G57" s="168" t="str">
        <x:v>Central Bank of Yemen — Aden</x:v>
      </x:c>
      <x:c r="H57" s="168"/>
      <x:c r="I57" s="168"/>
      <x:c r="J57" s="168"/>
      <x:c r="K57" s="168" t="str">
        <x:v>CITATION_CARD</x:v>
      </x:c>
      <x:c r="L57" s="168" t="str">
        <x:v>إصدار الكتيّب التوعوي «حماية المستهلك المالي في اليمن» خلال الأسبوع العالمي للمال (23 مارس 2024)</x:v>
      </x:c>
      <x:c r="M57" s="168"/>
      <x:c r="N57" s="168"/>
      <x:c r="O57" s="168"/>
      <x:c r="S57" t="str">
        <x:v>NOT_ASSESSED</x:v>
      </x:c>
      <x:c r="Y57" t="str">
        <x:v>البنك المركزي اليمني – عدن</x:v>
      </x:c>
      <x:c r="Z57" t="str">
        <x:v>News release</x:v>
      </x:c>
      <x:c r="AA57" t="str">
        <x:v>بيان صحفي</x:v>
      </x:c>
    </x:row>
    <x:row r="58">
      <x:c r="A58" s="24" t="str">
        <x:v>SRC-CBY-PSP-RULES-2022-001</x:v>
      </x:c>
      <x:c r="B58" s="24" t="str">
        <x:v>https://cby-ye.com/files/632b0c240dc11.pdf</x:v>
      </x:c>
      <x:c r="C58" s="24" t="str">
        <x:v>["https://cby-ye.com/news/376"]</x:v>
      </x:c>
      <x:c r="D58" s="24" t="str">
        <x:v>DS-PRIMARY-AUTHORITY</x:v>
      </x:c>
      <x:c r="E58" s="24" t="n">
        <x:v>1</x:v>
      </x:c>
      <x:c r="F58" s="168" t="str">
        <x:v>Instructions governing payment service providers and payment system operators (14 September 2022)</x:v>
      </x:c>
      <x:c r="G58" s="168" t="str">
        <x:v>Central Bank of Yemen — Aden</x:v>
      </x:c>
      <x:c r="H58" s="168"/>
      <x:c r="I58" s="168"/>
      <x:c r="J58" s="168"/>
      <x:c r="K58" s="168" t="str">
        <x:v>CITATION_CARD</x:v>
      </x:c>
      <x:c r="L58" s="168" t="str">
        <x:v>تعليمات بشأن مقدمي خدمات الدفع ومشغلي أنظمة الدفع (14 سبتمبر 2022)</x:v>
      </x:c>
      <x:c r="M58" s="168"/>
      <x:c r="N58" s="168"/>
      <x:c r="O58" s="168"/>
      <x:c r="S58" t="str">
        <x:v>NOT_ASSESSED</x:v>
      </x:c>
      <x:c r="W58" t="str">
        <x:v>regulation</x:v>
      </x:c>
      <x:c r="Y58" t="str">
        <x:v>البنك المركزي اليمني – عدن</x:v>
      </x:c>
      <x:c r="Z58" t="str">
        <x:v>Regulation</x:v>
      </x:c>
      <x:c r="AA58" t="str">
        <x:v>لائحة تنظيمية</x:v>
      </x:c>
      <x:c r="AB58" t="str">
        <x:v>2022-09-14</x:v>
      </x:c>
    </x:row>
    <x:row r="59">
      <x:c r="A59" s="24" t="str">
        <x:v>SRC-CBY-PAY-BOARD-2026-001</x:v>
      </x:c>
      <x:c r="B59" s="24" t="str">
        <x:v>https://cby-ye.com/news/922</x:v>
      </x:c>
      <x:c r="C59" s="24" t="str"/>
      <x:c r="D59" s="24" t="str">
        <x:v>DS-PRIMARY-AUTHORITY, DS-REFORM-EVENTS</x:v>
      </x:c>
      <x:c r="E59" s="24" t="n">
        <x:v>2</x:v>
      </x:c>
      <x:c r="F59" s="168" t="str">
        <x:v>Board of Directors' decisions on a national QR standard, e-wallet interconnection and the fast payment system operator (29 March 2026)</x:v>
      </x:c>
      <x:c r="G59" s="168" t="str">
        <x:v>Central Bank of Yemen — Aden</x:v>
      </x:c>
      <x:c r="H59" s="168"/>
      <x:c r="I59" s="168"/>
      <x:c r="J59" s="168"/>
      <x:c r="K59" s="168" t="str">
        <x:v>CITATION_CARD</x:v>
      </x:c>
      <x:c r="L59" s="168" t="str">
        <x:v>قرارات مجلس الإدارة بشأن معيار QR وطني وربط المحافظ الإلكترونية والشركة المشغّلة لنظام الدفع السريع (29 مارس 2026)</x:v>
      </x:c>
      <x:c r="M59" s="168"/>
      <x:c r="N59" s="168"/>
      <x:c r="O59" s="168"/>
      <x:c r="S59" t="str">
        <x:v>NOT_ASSESSED</x:v>
      </x:c>
      <x:c r="Y59" t="str">
        <x:v>البنك المركزي اليمني – عدن</x:v>
      </x:c>
      <x:c r="Z59" t="str">
        <x:v>News release</x:v>
      </x:c>
      <x:c r="AA59" t="str">
        <x:v>بيان صحفي</x:v>
      </x:c>
    </x:row>
    <x:row r="60">
      <x:c r="A60" s="24" t="str">
        <x:v>SRC-CBY-FCP-BROCHURE-2024-001</x:v>
      </x:c>
      <x:c r="B60" s="24" t="str">
        <x:v>https://cby-ye.com/files/65fe1e8d2ec08.pdf</x:v>
      </x:c>
      <x:c r="C60" s="24" t="str">
        <x:v>["https://cby-ye.com/news/652"]</x:v>
      </x:c>
      <x:c r="D60" s="24" t="str">
        <x:v>DS-FCP-ARCH, DS-PRIMARY-AUTHORITY, DS-EVIDENCE-PASSPORTS</x:v>
      </x:c>
      <x:c r="E60" s="24" t="n">
        <x:v>11</x:v>
      </x:c>
      <x:c r="F60" s="168" t="str">
        <x:v>Financial Consumer Protection in Yemen (awareness brochure, 23 March 2024)</x:v>
      </x:c>
      <x:c r="G60" s="168" t="str">
        <x:v>Central Bank of Yemen — Aden</x:v>
      </x:c>
      <x:c r="H60" s="168"/>
      <x:c r="I60" s="168"/>
      <x:c r="J60" s="168"/>
      <x:c r="K60" s="168" t="str">
        <x:v>CITATION_CARD</x:v>
      </x:c>
      <x:c r="L60" s="168" t="str">
        <x:v>حماية المستهلك المالي في اليمن (كتيّب توعوي، 23 مارس 2024)</x:v>
      </x:c>
      <x:c r="M60" s="168"/>
      <x:c r="N60" s="168"/>
      <x:c r="O60" s="168"/>
      <x:c r="S60" t="str">
        <x:v>NOT_ASSESSED</x:v>
      </x:c>
      <x:c r="Y60" t="str">
        <x:v>البنك المركزي اليمني – عدن</x:v>
      </x:c>
      <x:c r="Z60" t="str">
        <x:v>Guidance or awareness material</x:v>
      </x:c>
      <x:c r="AA60" t="str">
        <x:v>مواد إرشادية أو توعوية</x:v>
      </x:c>
      <x:c r="AB60" t="str">
        <x:v>2024-03-23</x:v>
      </x:c>
    </x:row>
    <x:row r="61">
      <x:c r="A61" s="24" t="str">
        <x:v>SRC-CBY-EMONEY-2023-001</x:v>
      </x:c>
      <x:c r="B61" s="24" t="str">
        <x:v>https://cby-ye.com/files/64dde85e0a84f.pdf</x:v>
      </x:c>
      <x:c r="C61" s="24" t="str"/>
      <x:c r="D61" s="24" t="str">
        <x:v>DS-EMONEY-REG, DS-PRIMARY-AUTHORITY, DS-REFORM-EVENTS</x:v>
      </x:c>
      <x:c r="E61" s="24" t="n">
        <x:v>4</x:v>
      </x:c>
      <x:c r="F61" s="168" t="str">
        <x:v>Instructions on mobile e-money services provided by non-bank financial institutions (9 August 2023)</x:v>
      </x:c>
      <x:c r="G61" s="168" t="str">
        <x:v>Central Bank of Yemen — Aden</x:v>
      </x:c>
      <x:c r="H61" s="168"/>
      <x:c r="I61" s="168"/>
      <x:c r="J61" s="168"/>
      <x:c r="K61" s="168" t="str">
        <x:v>CITATION_CARD</x:v>
      </x:c>
      <x:c r="L61" s="168" t="str">
        <x:v>تعليمات خدمات النقود الإلكترونية عبر الهاتف المحمول التي تقدمها المؤسسات المالية غير المصرفية (9 أغسطس 2023)</x:v>
      </x:c>
      <x:c r="M61" s="168"/>
      <x:c r="N61" s="168"/>
      <x:c r="O61" s="168"/>
      <x:c r="S61" t="str">
        <x:v>NOT_ASSESSED</x:v>
      </x:c>
      <x:c r="W61" t="str">
        <x:v>instruction/circular</x:v>
      </x:c>
      <x:c r="Y61" t="str">
        <x:v>البنك المركزي اليمني – عدن</x:v>
      </x:c>
      <x:c r="Z61" t="str">
        <x:v>Circular or instruction</x:v>
      </x:c>
      <x:c r="AA61" t="str">
        <x:v>تعميم أو تعليمات</x:v>
      </x:c>
      <x:c r="AB61" t="str">
        <x:v>2023-08-09</x:v>
      </x:c>
    </x:row>
    <x:row r="62">
      <x:c r="A62" s="24" t="str">
        <x:v>SRC-CBY-EMONEY-AMD-2025-001</x:v>
      </x:c>
      <x:c r="B62" s="24" t="str">
        <x:v>https://cby-ye.com/files/6875fc55a253e.pdf</x:v>
      </x:c>
      <x:c r="C62" s="24" t="str"/>
      <x:c r="D62" s="24" t="str">
        <x:v>DS-EMONEY-REG, DS-PRIMARY-AUTHORITY, DS-REFORM-EVENTS</x:v>
      </x:c>
      <x:c r="E62" s="24" t="n">
        <x:v>9</x:v>
      </x:c>
      <x:c r="F62" s="168" t="str">
        <x:v>Governor's Decision No. 4 of 2025 amending the mobile e-money instructions (9 July 2025)</x:v>
      </x:c>
      <x:c r="G62" s="168" t="str">
        <x:v>Central Bank of Yemen — Aden</x:v>
      </x:c>
      <x:c r="H62" s="168"/>
      <x:c r="I62" s="168"/>
      <x:c r="J62" s="168"/>
      <x:c r="K62" s="168" t="str">
        <x:v>CITATION_CARD</x:v>
      </x:c>
      <x:c r="L62" s="168" t="str">
        <x:v>قرار المحافظ رقم (4) لسنة 2025 بتعديل تعليمات خدمات النقود الإلكترونية عبر الهاتف المحمول (9 يوليو 2025)</x:v>
      </x:c>
      <x:c r="M62" s="168"/>
      <x:c r="N62" s="168"/>
      <x:c r="O62" s="168"/>
      <x:c r="S62" t="str">
        <x:v>NOT_ASSESSED</x:v>
      </x:c>
      <x:c r="W62" t="str">
        <x:v>decision/enforcement</x:v>
      </x:c>
      <x:c r="Y62" t="str">
        <x:v>البنك المركزي اليمني – عدن</x:v>
      </x:c>
      <x:c r="Z62" t="str">
        <x:v>Regulatory decision</x:v>
      </x:c>
      <x:c r="AA62" t="str">
        <x:v>قرار تنظيمي</x:v>
      </x:c>
      <x:c r="AB62" t="str">
        <x:v>2025-07-09</x:v>
      </x:c>
    </x:row>
    <x:row r="63">
      <x:c r="A63" s="24" t="str">
        <x:v>SRC-CBY-DIGITAL-EXPO-2026-001</x:v>
      </x:c>
      <x:c r="B63" s="24" t="str">
        <x:v>https://cby-ye.com/news/915</x:v>
      </x:c>
      <x:c r="C63" s="24" t="str"/>
      <x:c r="D63" s="24" t="str">
        <x:v>DS-PRIMARY-AUTHORITY,DS-REFORM-EVENTS,DS-STRATEGIC-INSIGHTS,DS-WALLET-COUNT-RECON</x:v>
      </x:c>
      <x:c r="E63" s="24" t="n">
        <x:v>4</x:v>
      </x:c>
      <x:c r="F63" s="168" t="str">
        <x:v>Digital payments exhibition, with remarks on the unified transfer network (22 January 2026)</x:v>
      </x:c>
      <x:c r="G63" s="168" t="str">
        <x:v>Central Bank of Yemen — Aden</x:v>
      </x:c>
      <x:c r="H63" s="168"/>
      <x:c r="I63" s="168"/>
      <x:c r="J63" s="168"/>
      <x:c r="K63" s="168" t="str">
        <x:v>CITATION_CARD</x:v>
      </x:c>
      <x:c r="L63" s="168" t="str">
        <x:v>معرض المدفوعات الرقمية، مع تصريحات بشأن الشبكة الموحدة للحوالات (22 يناير 2026)</x:v>
      </x:c>
      <x:c r="M63" s="168"/>
      <x:c r="N63" s="168"/>
      <x:c r="O63" s="168"/>
      <x:c r="S63" t="str">
        <x:v>NOT_ASSESSED</x:v>
      </x:c>
      <x:c r="Y63" t="str">
        <x:v>البنك المركزي اليمني – عدن</x:v>
      </x:c>
      <x:c r="Z63" t="str">
        <x:v>News release</x:v>
      </x:c>
      <x:c r="AA63" t="str">
        <x:v>بيان صحفي</x:v>
      </x:c>
    </x:row>
    <x:row r="64">
      <x:c r="A64" s="24" t="str">
        <x:v>SRC-CBY-UNLICENSED-EWALLET-2024-001</x:v>
      </x:c>
      <x:c r="B64" s="24" t="str">
        <x:v>https://cby-ye.com/files/667c32dabd223.pdf</x:v>
      </x:c>
      <x:c r="C64" s="24" t="str">
        <x:v>["https://cby-ye.com/news/703"]</x:v>
      </x:c>
      <x:c r="D64" s="24" t="str">
        <x:v>DS-PROVIDER-NEGATIVE-AUTHORITY,DS-PROVIDER-OBSERVABILITY,DS-PROVIDER-STATUS-EVENTS</x:v>
      </x:c>
      <x:c r="E64" s="24" t="n">
        <x:v>13</x:v>
      </x:c>
      <x:c r="F64" s="168" t="str">
        <x:v>Circular prohibiting dealings with unlicensed electronic wallets and payment services (26 June 2024)</x:v>
      </x:c>
      <x:c r="G64" s="168" t="str">
        <x:v>Central Bank of Yemen — Aden</x:v>
      </x:c>
      <x:c r="H64" s="168"/>
      <x:c r="I64" s="168"/>
      <x:c r="J64" s="168"/>
      <x:c r="K64" s="168" t="str">
        <x:v>CITATION_CARD</x:v>
      </x:c>
      <x:c r="L64" s="168" t="str">
        <x:v>تعميم بحظر التعامل مع محافظ إلكترونية وخدمات دفع إلكتروني غير مرخصة (26 يونيو 2024)</x:v>
      </x:c>
      <x:c r="M64" s="168"/>
      <x:c r="N64" s="168"/>
      <x:c r="O64" s="168"/>
      <x:c r="S64" t="str">
        <x:v>NOT_ASSESSED</x:v>
      </x:c>
      <x:c r="W64" t="str">
        <x:v>provider-status instrument</x:v>
      </x:c>
      <x:c r="X64" t="str">
        <x:v>status event</x:v>
      </x:c>
      <x:c r="Y64" t="str">
        <x:v>البنك المركزي اليمني – عدن</x:v>
      </x:c>
      <x:c r="Z64" t="str">
        <x:v>Circular or instruction</x:v>
      </x:c>
      <x:c r="AA64" t="str">
        <x:v>تعميم أو تعليمات</x:v>
      </x:c>
      <x:c r="AB64" t="str">
        <x:v>2024-06-26</x:v>
      </x:c>
    </x:row>
    <x:row r="65">
      <x:c r="A65" s="24" t="str">
        <x:v>SRC-CBY-EXCH-LIST-2025-001</x:v>
      </x:c>
      <x:c r="B65" s="24" t="str">
        <x:v>https://cby-ye.com/files/69561aafe8942.pdf</x:v>
      </x:c>
      <x:c r="C65" s="24" t="str"/>
      <x:c r="D65" s="24" t="str">
        <x:v>DS-PROVIDER-BASELINE-2025,DS-PROVIDER-OBSERVABILITY</x:v>
      </x:c>
      <x:c r="E65" s="24" t="n">
        <x:v>4</x:v>
      </x:c>
      <x:c r="F65" s="168" t="str">
        <x:v>Roster of exchange companies, exchange establishments and remittance agents (2025)</x:v>
      </x:c>
      <x:c r="G65" s="168" t="str">
        <x:v>Central Bank of Yemen — Aden</x:v>
      </x:c>
      <x:c r="H65" s="168"/>
      <x:c r="I65" s="168"/>
      <x:c r="J65" s="168"/>
      <x:c r="K65" s="168" t="str">
        <x:v>CITATION_CARD</x:v>
      </x:c>
      <x:c r="L65" s="168" t="str">
        <x:v>قائمة شركات ومنشآت الصرافة ووكلاء الحوالات (2025)</x:v>
      </x:c>
      <x:c r="M65" s="168"/>
      <x:c r="N65" s="168"/>
      <x:c r="O65" s="168"/>
      <x:c r="S65" t="str">
        <x:v>NOT_ASSESSED</x:v>
      </x:c>
      <x:c r="W65" t="str">
        <x:v>provider-status instrument</x:v>
      </x:c>
      <x:c r="X65" t="str">
        <x:v>primary factual evidence</x:v>
      </x:c>
      <x:c r="Y65" t="str">
        <x:v>البنك المركزي اليمني – عدن</x:v>
      </x:c>
      <x:c r="Z65" t="str">
        <x:v>Official list or roster</x:v>
      </x:c>
      <x:c r="AA65" t="str">
        <x:v>قائمة رسمية</x:v>
      </x:c>
    </x:row>
    <x:row r="66">
      <x:c r="A66" s="24" t="str">
        <x:v>SRC-CBY-BANK-NETWORK-MTG-2026-001</x:v>
      </x:c>
      <x:c r="B66" s="24" t="str">
        <x:v>https://cby-ye.com/news/946</x:v>
      </x:c>
      <x:c r="C66" s="24" t="str"/>
      <x:c r="D66" s="24" t="str">
        <x:v>DS-PAYMENT-CURRENTNESS,DS-REFORM-EVENTS</x:v>
      </x:c>
      <x:c r="E66" s="24" t="n">
        <x:v>2</x:v>
      </x:c>
      <x:c r="F66" s="168" t="str">
        <x:v>Meeting on completing integration among banks and financial-service providers through the unified network (17 June 2026)</x:v>
      </x:c>
      <x:c r="G66" s="168" t="str">
        <x:v>Central Bank of Yemen — Aden</x:v>
      </x:c>
      <x:c r="H66" s="168"/>
      <x:c r="I66" s="168"/>
      <x:c r="J66" s="168"/>
      <x:c r="K66" s="168" t="str">
        <x:v>CITATION_CARD</x:v>
      </x:c>
      <x:c r="L66" s="168" t="str">
        <x:v>اجتماع بشأن استكمال الربط بين البنوك ومقدمي الخدمات المالية عبر الشبكة الموحدة (17 يونيو 2026)</x:v>
      </x:c>
      <x:c r="M66" s="168"/>
      <x:c r="N66" s="168"/>
      <x:c r="O66" s="168"/>
      <x:c r="S66" t="str">
        <x:v>NOT_ASSESSED</x:v>
      </x:c>
      <x:c r="Y66" t="str">
        <x:v>البنك المركزي اليمني – عدن</x:v>
      </x:c>
      <x:c r="Z66" t="str">
        <x:v>News release</x:v>
      </x:c>
      <x:c r="AA66" t="str">
        <x:v>بيان صحفي</x:v>
      </x:c>
    </x:row>
    <x:row r="67">
      <x:c r="A67" s="24" t="str">
        <x:v>SRC-CBY-UNIFIED-NET-2026-001</x:v>
      </x:c>
      <x:c r="B67" s="24" t="str">
        <x:v>https://cby-ye.com/news/957</x:v>
      </x:c>
      <x:c r="C67" s="24" t="str"/>
      <x:c r="D67" s="24" t="str">
        <x:v>DS-PAYMENT-CURRENTNESS,DS-REFORM-EVENTS</x:v>
      </x:c>
      <x:c r="E67" s="24" t="n">
        <x:v>2</x:v>
      </x:c>
      <x:c r="F67" s="168" t="str">
        <x:v>Unified Money Network company: restructuring, capital increase and a wider bank shareholder base (27 July 2026)</x:v>
      </x:c>
      <x:c r="G67" s="168" t="str">
        <x:v>Central Bank of Yemen — Aden</x:v>
      </x:c>
      <x:c r="H67" s="168"/>
      <x:c r="I67" s="168"/>
      <x:c r="J67" s="168"/>
      <x:c r="K67" s="168" t="str">
        <x:v>CITATION_CARD</x:v>
      </x:c>
      <x:c r="L67" s="168" t="str">
        <x:v>شركة الشبكة الموحدة للأموال: إعادة الهيكلة وزيادة رأس المال وتوسيع قاعدة البنوك المساهمة (27 يوليو 2026)</x:v>
      </x:c>
      <x:c r="M67" s="168"/>
      <x:c r="N67" s="168"/>
      <x:c r="O67" s="168"/>
      <x:c r="S67" t="str">
        <x:v>NOT_ASSESSED</x:v>
      </x:c>
      <x:c r="Y67" t="str">
        <x:v>البنك المركزي اليمني – عدن</x:v>
      </x:c>
      <x:c r="Z67" t="str">
        <x:v>News release</x:v>
      </x:c>
      <x:c r="AA67" t="str">
        <x:v>بيان صحفي</x:v>
      </x:c>
    </x:row>
    <x:row r="68">
      <x:c r="A68" s="24" t="str">
        <x:v>SRC-CBY-YPCC-FOUND-2026-001</x:v>
      </x:c>
      <x:c r="B68" s="24" t="str">
        <x:v>https://cby-ye.com/news/961</x:v>
      </x:c>
      <x:c r="C68" s="24" t="str"/>
      <x:c r="D68" s="24" t="str">
        <x:v>DS-PAYMENT-CURRENTNESS,DS-REFORM-EVENTS</x:v>
      </x:c>
      <x:c r="E68" s="24" t="n">
        <x:v>2</x:v>
      </x:c>
      <x:c r="F68" s="168" t="str">
        <x:v>Founding general assembly of the Yemeni Payments and Clearing Company (3 August 2026)</x:v>
      </x:c>
      <x:c r="G68" s="168" t="str">
        <x:v>Central Bank of Yemen — Aden</x:v>
      </x:c>
      <x:c r="H68" s="168"/>
      <x:c r="I68" s="168"/>
      <x:c r="J68" s="168"/>
      <x:c r="K68" s="168" t="str">
        <x:v>CITATION_CARD</x:v>
      </x:c>
      <x:c r="L68" s="168" t="str">
        <x:v>الجمعية التأسيسية للشركة اليمنية للمدفوعات والمقاصة (3 أغسطس 2026)</x:v>
      </x:c>
      <x:c r="M68" s="168"/>
      <x:c r="N68" s="168"/>
      <x:c r="O68" s="168"/>
      <x:c r="S68" t="str">
        <x:v>NOT_ASSESSED</x:v>
      </x:c>
      <x:c r="Y68" t="str">
        <x:v>البنك المركزي اليمني – عدن</x:v>
      </x:c>
      <x:c r="Z68" t="str">
        <x:v>News release</x:v>
      </x:c>
      <x:c r="AA68" t="str">
        <x:v>بيان صحفي</x:v>
      </x:c>
    </x:row>
    <x:row r="69">
      <x:c r="A69" s="24" t="str">
        <x:v>SRC-CBY-YPCC-BOARD-2026-001</x:v>
      </x:c>
      <x:c r="B69" s="24" t="str">
        <x:v>https://cby-ye.com/news/962</x:v>
      </x:c>
      <x:c r="C69" s="24" t="str"/>
      <x:c r="D69" s="24" t="str">
        <x:v>DS-PAYMENT-CURRENTNESS,DS-REFORM-EVENTS</x:v>
      </x:c>
      <x:c r="E69" s="24" t="n">
        <x:v>2</x:v>
      </x:c>
      <x:c r="F69" s="168" t="str">
        <x:v>First board meeting of the Yemeni Payments and Clearing Company (4 August 2026)</x:v>
      </x:c>
      <x:c r="G69" s="168" t="str">
        <x:v>Central Bank of Yemen — Aden</x:v>
      </x:c>
      <x:c r="H69" s="168"/>
      <x:c r="I69" s="168"/>
      <x:c r="J69" s="168"/>
      <x:c r="K69" s="168" t="str">
        <x:v>CITATION_CARD</x:v>
      </x:c>
      <x:c r="L69" s="168" t="str">
        <x:v>أول اجتماع لمجلس إدارة الشركة اليمنية للمدفوعات والمقاصة (4 أغسطس 2026)</x:v>
      </x:c>
      <x:c r="M69" s="168"/>
      <x:c r="N69" s="168"/>
      <x:c r="O69" s="168"/>
      <x:c r="S69" t="str">
        <x:v>NOT_ASSESSED</x:v>
      </x:c>
      <x:c r="Y69" t="str">
        <x:v>البنك المركزي اليمني – عدن</x:v>
      </x:c>
      <x:c r="Z69" t="str">
        <x:v>News release</x:v>
      </x:c>
      <x:c r="AA69" t="str">
        <x:v>بيان صحفي</x:v>
      </x:c>
    </x:row>
    <x:row r="70">
      <x:c r="A70" s="24" t="str">
        <x:v>SRC-CBY-POS-PUBLICATION-PAGE-2026-001</x:v>
      </x:c>
      <x:c r="B70" s="24" t="str">
        <x:v>https://english.cby-ye.com/pages/27</x:v>
      </x:c>
      <x:c r="C70" s="24" t="str">
        <x:v>["https://cby-ye.com/pages/11"]</x:v>
      </x:c>
      <x:c r="D70" s="24" t="str">
        <x:v>DS-PAYMENT-CURRENTNESS</x:v>
      </x:c>
      <x:c r="E70" s="24" t="n">
        <x:v>1</x:v>
      </x:c>
      <x:c r="F70" s="168" t="str">
        <x:v>Monthly Point of Sale Transactions: publication page (as checked on 26 September 2026)</x:v>
      </x:c>
      <x:c r="G70" s="168" t="str">
        <x:v>Central Bank of Yemen — Aden</x:v>
      </x:c>
      <x:c r="H70" s="168"/>
      <x:c r="I70" s="168"/>
      <x:c r="J70" s="168"/>
      <x:c r="K70" s="168" t="str">
        <x:v>CITATION_CARD</x:v>
      </x:c>
      <x:c r="L70" s="168" t="str">
        <x:v>معاملات نقاط البيع الشهرية: صفحة الإصدارات (كما اطُّلع عليها في 26 سبتمبر 2026)</x:v>
      </x:c>
      <x:c r="M70" s="168"/>
      <x:c r="N70" s="168"/>
      <x:c r="O70" s="168"/>
      <x:c r="S70" t="str">
        <x:v>NOT_ASSESSED</x:v>
      </x:c>
      <x:c r="V70" t="str">
        <x:v>2026-09-26</x:v>
      </x:c>
      <x:c r="Y70" t="str">
        <x:v>البنك المركزي اليمني – عدن</x:v>
      </x:c>
      <x:c r="Z70" t="str">
        <x:v>Web page</x:v>
      </x:c>
      <x:c r="AA70" t="str">
        <x:v>صفحة إلكترونية</x:v>
      </x:c>
    </x:row>
    <x:row r="71">
      <x:c r="A71" s="24" t="str">
        <x:v>SRC-SFD-HIST-2004-Q3-001</x:v>
      </x:c>
      <x:c r="B71" s="24" t="str">
        <x:v>https://www.sfd-yemen.org/uploads/issues/Newsletter-2004-Q3-20120331-111302.pdf</x:v>
      </x:c>
      <x:c r="C71" s="24" t="str"/>
      <x:c r="D71" s="24" t="str">
        <x:v>DS-MF-ORIGIN-CHRONOLOGY</x:v>
      </x:c>
      <x:c r="E71" s="24" t="n">
        <x:v>1</x:v>
      </x:c>
      <x:c r="F71" s="168" t="str">
        <x:v>Social Fund for Development (SFD) Newsletter (2004)</x:v>
      </x:c>
      <x:c r="G71" s="168" t="str">
        <x:v>Social Fund for Development (SFD)</x:v>
      </x:c>
      <x:c r="H71" s="168"/>
      <x:c r="I71" s="168"/>
      <x:c r="J71" s="168"/>
      <x:c r="K71" s="168" t="str">
        <x:v>CITATION_CARD</x:v>
      </x:c>
      <x:c r="L71" s="168" t="str">
        <x:v>النشرة الإخبارية للصندوق الاجتماعي للتنمية (2004)</x:v>
      </x:c>
      <x:c r="M71" s="168"/>
      <x:c r="N71" s="168"/>
      <x:c r="O71" s="168"/>
      <x:c r="S71" t="str">
        <x:v>NOT_ASSESSED</x:v>
      </x:c>
      <x:c r="Y71" t="str">
        <x:v>الصندوق الاجتماعي للتنمية</x:v>
      </x:c>
      <x:c r="Z71" t="str">
        <x:v>Newsletter</x:v>
      </x:c>
      <x:c r="AA71" t="str">
        <x:v>نشرة دورية</x:v>
      </x:c>
      <x:c r="AB71" t="str">
        <x:v>2004</x:v>
      </x:c>
    </x:row>
    <x:row r="72">
      <x:c r="A72" s="24" t="str">
        <x:v>SRC-SFD-MF-HISTORY-TOR-2012-001</x:v>
      </x:c>
      <x:c r="B72" s="24" t="str">
        <x:v>https://www.sfd-yemen.org/uploads/issues/Microfinance%20Islamic%20Products%20Study%28TOR%29-20130109-132034.pdf</x:v>
      </x:c>
      <x:c r="C72" s="24" t="str"/>
      <x:c r="D72" s="24" t="str">
        <x:v>DS-MF-ORIGIN-CHRONOLOGY,DS-MFI-YEAR-COVERAGE</x:v>
      </x:c>
      <x:c r="E72" s="24" t="n">
        <x:v>2</x:v>
      </x:c>
      <x:c r="F72" s="168"/>
      <x:c r="G72" s="168"/>
      <x:c r="H72" s="168"/>
      <x:c r="I72" s="168"/>
      <x:c r="J72" s="168"/>
      <x:c r="K72" s="168" t="str">
        <x:v>LOCATOR_ONLY</x:v>
      </x:c>
      <x:c r="L72" s="168"/>
      <x:c r="M72" s="168"/>
      <x:c r="N72" s="168"/>
      <x:c r="O72" s="168"/>
      <x:c r="S72" t="str">
        <x:v>NOT_ASSESSED</x:v>
      </x:c>
    </x:row>
    <x:row r="73">
      <x:c r="A73" s="24" t="str">
        <x:v>SRC-SFD-NEWSLETTER-2000-Q4-001</x:v>
      </x:c>
      <x:c r="B73" s="24" t="str">
        <x:v>https://www.sfd-yemen.org/uploads/issues/Newsletter-12-ENGLISH%20-20120718-113859.pdf</x:v>
      </x:c>
      <x:c r="C73" s="24" t="str"/>
      <x:c r="D73" s="24" t="str">
        <x:v>DS-MF-ORIGIN-CHRONOLOGY</x:v>
      </x:c>
      <x:c r="E73" s="24" t="n">
        <x:v>1</x:v>
      </x:c>
      <x:c r="F73" s="168" t="str">
        <x:v>Social Fund for Development (SFD) Newsletter (programme portfolios as of 31 December 2000)</x:v>
      </x:c>
      <x:c r="G73" s="168" t="str">
        <x:v>Social Fund for Development (SFD)</x:v>
      </x:c>
      <x:c r="H73" s="168"/>
      <x:c r="I73" s="168"/>
      <x:c r="J73" s="168"/>
      <x:c r="K73" s="168" t="str">
        <x:v>CITATION_CARD</x:v>
      </x:c>
      <x:c r="L73" s="168" t="str">
        <x:v>النشرة الإخبارية للصندوق الاجتماعي للتنمية (محافظ البرامج حتى 31 ديسمبر 2000)</x:v>
      </x:c>
      <x:c r="M73" s="168"/>
      <x:c r="N73" s="168"/>
      <x:c r="O73" s="168"/>
      <x:c r="S73" t="str">
        <x:v>NOT_ASSESSED</x:v>
      </x:c>
      <x:c r="Y73" t="str">
        <x:v>الصندوق الاجتماعي للتنمية</x:v>
      </x:c>
      <x:c r="Z73" t="str">
        <x:v>Newsletter</x:v>
      </x:c>
      <x:c r="AA73" t="str">
        <x:v>نشرة دورية</x:v>
      </x:c>
    </x:row>
    <x:row r="74">
      <x:c r="A74" s="24" t="str">
        <x:v>SRC-SFD-Q4-2009-001</x:v>
      </x:c>
      <x:c r="B74" s="24" t="str">
        <x:v>https://www.sfd-yemen.org/uploads/issues/Newsletter-2009-Q4-20120331-122623.pdf</x:v>
      </x:c>
      <x:c r="C74" s="24" t="str"/>
      <x:c r="D74" s="24" t="str">
        <x:v>DS-MFI-YEAR-COVERAGE</x:v>
      </x:c>
      <x:c r="E74" s="24" t="n">
        <x:v>1</x:v>
      </x:c>
      <x:c r="F74" s="168" t="str">
        <x:v>Social Fund for Development (SFD) Newsletter (fourth quarter of 2009)</x:v>
      </x:c>
      <x:c r="G74" s="168" t="str">
        <x:v>Social Fund for Development (SFD)</x:v>
      </x:c>
      <x:c r="H74" s="168"/>
      <x:c r="I74" s="168"/>
      <x:c r="J74" s="168"/>
      <x:c r="K74" s="168" t="str">
        <x:v>CITATION_CARD</x:v>
      </x:c>
      <x:c r="L74" s="168" t="str">
        <x:v>النشرة الإخبارية للصندوق الاجتماعي للتنمية (الربع الرابع من 2009)</x:v>
      </x:c>
      <x:c r="M74" s="168"/>
      <x:c r="N74" s="168"/>
      <x:c r="O74" s="168"/>
      <x:c r="S74" t="str">
        <x:v>NOT_ASSESSED</x:v>
      </x:c>
      <x:c r="Y74" t="str">
        <x:v>الصندوق الاجتماعي للتنمية</x:v>
      </x:c>
      <x:c r="Z74" t="str">
        <x:v>Newsletter</x:v>
      </x:c>
      <x:c r="AA74" t="str">
        <x:v>نشرة دورية</x:v>
      </x:c>
    </x:row>
    <x:row r="75">
      <x:c r="A75" s="24" t="str">
        <x:v>SRC-SFD-Q4-2010-001</x:v>
      </x:c>
      <x:c r="B75" s="24" t="str">
        <x:v>https://www.sfd-yemen.org/uploads/issues/Newsletter-2010-Q4-20120331-122753.pdf</x:v>
      </x:c>
      <x:c r="C75" s="24" t="str"/>
      <x:c r="D75" s="24" t="str">
        <x:v>DS-MFI-YEAR-COVERAGE,DS-MFI-TEMPORAL-SPINE,DS-MFI-METRIC-COVERAGE</x:v>
      </x:c>
      <x:c r="E75" s="24" t="n">
        <x:v>3</x:v>
      </x:c>
      <x:c r="F75" s="168" t="str">
        <x:v>Social Fund for Development (SFD) Newsletter (fourth quarter of 2010)</x:v>
      </x:c>
      <x:c r="G75" s="168" t="str">
        <x:v>Social Fund for Development (SFD)</x:v>
      </x:c>
      <x:c r="H75" s="168"/>
      <x:c r="I75" s="168"/>
      <x:c r="J75" s="168"/>
      <x:c r="K75" s="168" t="str">
        <x:v>CITATION_CARD</x:v>
      </x:c>
      <x:c r="L75" s="168" t="str">
        <x:v>النشرة الإخبارية للصندوق الاجتماعي للتنمية (الربع الرابع من 2010)</x:v>
      </x:c>
      <x:c r="M75" s="168"/>
      <x:c r="N75" s="168"/>
      <x:c r="O75" s="168"/>
      <x:c r="S75" t="str">
        <x:v>NOT_ASSESSED</x:v>
      </x:c>
      <x:c r="Y75" t="str">
        <x:v>الصندوق الاجتماعي للتنمية</x:v>
      </x:c>
      <x:c r="Z75" t="str">
        <x:v>Newsletter</x:v>
      </x:c>
      <x:c r="AA75" t="str">
        <x:v>نشرة دورية</x:v>
      </x:c>
    </x:row>
    <x:row r="76">
      <x:c r="A76" s="24" t="str">
        <x:v>SRC-SFD-Q4-2011-001</x:v>
      </x:c>
      <x:c r="B76" s="24" t="str">
        <x:v>https://www.sfd-yemen.org/uploads/issues/Newsletter-2011-Q4-20120505-151457.pdf</x:v>
      </x:c>
      <x:c r="C76" s="24" t="str"/>
      <x:c r="D76" s="24" t="str">
        <x:v>DS-MFI-YEAR-COVERAGE,DS-MFI-TEMPORAL-SPINE,DS-MFI-METRIC-COVERAGE</x:v>
      </x:c>
      <x:c r="E76" s="24" t="n">
        <x:v>3</x:v>
      </x:c>
      <x:c r="F76" s="168" t="str">
        <x:v>Social Fund for Development (SFD) Newsletter (fourth quarter of 2011)</x:v>
      </x:c>
      <x:c r="G76" s="168" t="str">
        <x:v>Social Fund for Development (SFD)</x:v>
      </x:c>
      <x:c r="H76" s="168"/>
      <x:c r="I76" s="168"/>
      <x:c r="J76" s="168"/>
      <x:c r="K76" s="168" t="str">
        <x:v>CITATION_CARD</x:v>
      </x:c>
      <x:c r="L76" s="168" t="str">
        <x:v>النشرة الإخبارية للصندوق الاجتماعي للتنمية (الربع الرابع من 2011)</x:v>
      </x:c>
      <x:c r="M76" s="168"/>
      <x:c r="N76" s="168"/>
      <x:c r="O76" s="168"/>
      <x:c r="S76" t="str">
        <x:v>NOT_ASSESSED</x:v>
      </x:c>
      <x:c r="Y76" t="str">
        <x:v>الصندوق الاجتماعي للتنمية</x:v>
      </x:c>
      <x:c r="Z76" t="str">
        <x:v>Newsletter</x:v>
      </x:c>
      <x:c r="AA76" t="str">
        <x:v>نشرة دورية</x:v>
      </x:c>
    </x:row>
    <x:row r="77">
      <x:c r="A77" s="24" t="str">
        <x:v>SRC-SFD-Q1-2012-001</x:v>
      </x:c>
      <x:c r="B77" s="24" t="str">
        <x:v>https://www.sfd-yemen.org/uploads/issues/DESIGN%201st%20NL%202012%20-%20No-20121222-162100.pdf</x:v>
      </x:c>
      <x:c r="C77" s="24" t="str"/>
      <x:c r="D77" s="24" t="str">
        <x:v>DS-MFI-TEMPORAL-SPINE,DS-MFI-METRIC-COVERAGE</x:v>
      </x:c>
      <x:c r="E77" s="24" t="n">
        <x:v>2</x:v>
      </x:c>
      <x:c r="F77" s="168" t="str">
        <x:v>Social Fund for Development (SFD) Newsletter (first quarter of 2012)</x:v>
      </x:c>
      <x:c r="G77" s="168" t="str">
        <x:v>Social Fund for Development (SFD)</x:v>
      </x:c>
      <x:c r="H77" s="168"/>
      <x:c r="I77" s="168"/>
      <x:c r="J77" s="168"/>
      <x:c r="K77" s="168" t="str">
        <x:v>CITATION_CARD</x:v>
      </x:c>
      <x:c r="L77" s="168" t="str">
        <x:v>النشرة الإخبارية للصندوق الاجتماعي للتنمية (الربع الأول من 2012)</x:v>
      </x:c>
      <x:c r="M77" s="168"/>
      <x:c r="N77" s="168"/>
      <x:c r="O77" s="168"/>
      <x:c r="S77" t="str">
        <x:v>NOT_ASSESSED</x:v>
      </x:c>
      <x:c r="Y77" t="str">
        <x:v>الصندوق الاجتماعي للتنمية</x:v>
      </x:c>
      <x:c r="Z77" t="str">
        <x:v>Newsletter</x:v>
      </x:c>
      <x:c r="AA77" t="str">
        <x:v>نشرة دورية</x:v>
      </x:c>
    </x:row>
    <x:row r="78">
      <x:c r="A78" s="24" t="str">
        <x:v>SRC-SFD-Q4-2012-001</x:v>
      </x:c>
      <x:c r="B78" s="24" t="str">
        <x:v>https://www.sfd-yemen.org/uploads/issues/SFD_Nwesletter_en-6-20130422-060753.pdf</x:v>
      </x:c>
      <x:c r="C78" s="24" t="str"/>
      <x:c r="D78" s="24" t="str">
        <x:v>DS-MFI-YEAR-COVERAGE,DS-MFI-TEMPORAL-SPINE,DS-MFI-METRIC-COVERAGE,DS-MF-ORIGIN-CHRONOLOGY</x:v>
      </x:c>
      <x:c r="E78" s="24" t="n">
        <x:v>4</x:v>
      </x:c>
      <x:c r="F78" s="168" t="str">
        <x:v>Social Fund for Development (SFD) Newsletter (fourth quarter of 2012)</x:v>
      </x:c>
      <x:c r="G78" s="168" t="str">
        <x:v>Social Fund for Development (SFD)</x:v>
      </x:c>
      <x:c r="H78" s="168"/>
      <x:c r="I78" s="168"/>
      <x:c r="J78" s="168"/>
      <x:c r="K78" s="168" t="str">
        <x:v>CITATION_CARD</x:v>
      </x:c>
      <x:c r="L78" s="168" t="str">
        <x:v>النشرة الإخبارية للصندوق الاجتماعي للتنمية (الربع الرابع من 2012)</x:v>
      </x:c>
      <x:c r="M78" s="168"/>
      <x:c r="N78" s="168"/>
      <x:c r="O78" s="168"/>
      <x:c r="S78" t="str">
        <x:v>NOT_ASSESSED</x:v>
      </x:c>
      <x:c r="Y78" t="str">
        <x:v>الصندوق الاجتماعي للتنمية</x:v>
      </x:c>
      <x:c r="Z78" t="str">
        <x:v>Newsletter</x:v>
      </x:c>
      <x:c r="AA78" t="str">
        <x:v>نشرة دورية</x:v>
      </x:c>
    </x:row>
    <x:row r="79">
      <x:c r="A79" s="24" t="str">
        <x:v>SRC-SFD-Q2-2013-001</x:v>
      </x:c>
      <x:c r="B79" s="24" t="str">
        <x:v>https://sfd.sfd-yemen.org/uploads/issues/SFD_Nwesletter_en-62-2%20NEW2-20140312-132450.pdf</x:v>
      </x:c>
      <x:c r="C79" s="24" t="str"/>
      <x:c r="D79" s="24" t="str">
        <x:v>DS-MFI-YEAR-COVERAGE,DS-MFI-TEMPORAL-SPINE,DS-MFI-METRIC-COVERAGE</x:v>
      </x:c>
      <x:c r="E79" s="24" t="n">
        <x:v>3</x:v>
      </x:c>
      <x:c r="F79" s="168" t="str">
        <x:v>Social Fund for Development (SFD) Newsletter (second quarter of 2013)</x:v>
      </x:c>
      <x:c r="G79" s="168" t="str">
        <x:v>Social Fund for Development (SFD)</x:v>
      </x:c>
      <x:c r="H79" s="168"/>
      <x:c r="I79" s="168"/>
      <x:c r="J79" s="168"/>
      <x:c r="K79" s="168" t="str">
        <x:v>CITATION_CARD</x:v>
      </x:c>
      <x:c r="L79" s="168" t="str">
        <x:v>النشرة الإخبارية للصندوق الاجتماعي للتنمية (الربع الثاني من 2013)</x:v>
      </x:c>
      <x:c r="M79" s="168"/>
      <x:c r="N79" s="168"/>
      <x:c r="O79" s="168"/>
      <x:c r="S79" t="str">
        <x:v>NOT_ASSESSED</x:v>
      </x:c>
      <x:c r="Y79" t="str">
        <x:v>الصندوق الاجتماعي للتنمية</x:v>
      </x:c>
      <x:c r="Z79" t="str">
        <x:v>Newsletter</x:v>
      </x:c>
      <x:c r="AA79" t="str">
        <x:v>نشرة دورية</x:v>
      </x:c>
    </x:row>
    <x:row r="80">
      <x:c r="A80" s="24" t="str">
        <x:v>SRC-SFD-Q2-2014-001</x:v>
      </x:c>
      <x:c r="B80" s="24" t="str">
        <x:v>https://www.sfd-yemen.org/uploads/issues/SFD_Nwesletter_en66%20final-20141224-124427.pdf</x:v>
      </x:c>
      <x:c r="C80" s="24" t="str"/>
      <x:c r="D80" s="24" t="str">
        <x:v>DS-MFI-YEAR-COVERAGE,DS-MFI-TEMPORAL-SPINE,DS-MFI-METRIC-COVERAGE</x:v>
      </x:c>
      <x:c r="E80" s="24" t="n">
        <x:v>3</x:v>
      </x:c>
      <x:c r="F80" s="168" t="str">
        <x:v>Social Fund for Development (SFD) Newsletter (second quarter of 2014)</x:v>
      </x:c>
      <x:c r="G80" s="168" t="str">
        <x:v>Social Fund for Development (SFD)</x:v>
      </x:c>
      <x:c r="H80" s="168"/>
      <x:c r="I80" s="168"/>
      <x:c r="J80" s="168"/>
      <x:c r="K80" s="168" t="str">
        <x:v>CITATION_CARD</x:v>
      </x:c>
      <x:c r="L80" s="168" t="str">
        <x:v>النشرة الإخبارية للصندوق الاجتماعي للتنمية (الربع الثاني من 2014)</x:v>
      </x:c>
      <x:c r="M80" s="168"/>
      <x:c r="N80" s="168"/>
      <x:c r="O80" s="168"/>
      <x:c r="S80" t="str">
        <x:v>NOT_ASSESSED</x:v>
      </x:c>
      <x:c r="Y80" t="str">
        <x:v>الصندوق الاجتماعي للتنمية</x:v>
      </x:c>
      <x:c r="Z80" t="str">
        <x:v>Newsletter</x:v>
      </x:c>
      <x:c r="AA80" t="str">
        <x:v>نشرة دورية</x:v>
      </x:c>
    </x:row>
    <x:row r="81">
      <x:c r="A81" s="24" t="str">
        <x:v>SRC-SFD-Q1-2015-001</x:v>
      </x:c>
      <x:c r="B81" s="24" t="str">
        <x:v>https://www.sfd-yemen.org/uploads/issues/NL69E-20160208-100802.pdf</x:v>
      </x:c>
      <x:c r="C81" s="24" t="str"/>
      <x:c r="D81" s="24" t="str">
        <x:v>DS-MFI-YEAR-COVERAGE,DS-MFI-TEMPORAL-SPINE,DS-MFI-METRIC-COVERAGE,DS-MF-ORIGIN-CHRONOLOGY</x:v>
      </x:c>
      <x:c r="E81" s="24" t="n">
        <x:v>4</x:v>
      </x:c>
      <x:c r="F81" s="168" t="str">
        <x:v>Social Fund for Development (SFD) Newsletter (first quarter of 2015)</x:v>
      </x:c>
      <x:c r="G81" s="168" t="str">
        <x:v>Social Fund for Development (SFD)</x:v>
      </x:c>
      <x:c r="H81" s="168"/>
      <x:c r="I81" s="168"/>
      <x:c r="J81" s="168"/>
      <x:c r="K81" s="168" t="str">
        <x:v>CITATION_CARD</x:v>
      </x:c>
      <x:c r="L81" s="168" t="str">
        <x:v>النشرة الإخبارية للصندوق الاجتماعي للتنمية (الربع الأول من 2015)</x:v>
      </x:c>
      <x:c r="M81" s="168"/>
      <x:c r="N81" s="168"/>
      <x:c r="O81" s="168"/>
      <x:c r="S81" t="str">
        <x:v>NOT_ASSESSED</x:v>
      </x:c>
      <x:c r="Y81" t="str">
        <x:v>الصندوق الاجتماعي للتنمية</x:v>
      </x:c>
      <x:c r="Z81" t="str">
        <x:v>Newsletter</x:v>
      </x:c>
      <x:c r="AA81" t="str">
        <x:v>نشرة دورية</x:v>
      </x:c>
    </x:row>
    <x:row r="82">
      <x:c r="A82" s="24" t="str">
        <x:v>SRC-SFD-Q3-2015-001</x:v>
      </x:c>
      <x:c r="B82" s="24" t="str">
        <x:v>https://www.sfd-yemen.org/uploads/issues/71E-20161101-183137.pdf</x:v>
      </x:c>
      <x:c r="C82" s="24" t="str"/>
      <x:c r="D82" s="24" t="str">
        <x:v>DS-MFI-YEAR-COVERAGE,DS-MFI-TEMPORAL-SPINE,DS-MFI-METRIC-COVERAGE,DS-MF-ORIGIN-CHRONOLOGY</x:v>
      </x:c>
      <x:c r="E82" s="24" t="n">
        <x:v>4</x:v>
      </x:c>
      <x:c r="F82" s="168" t="str">
        <x:v>Social Fund for Development (SFD) Newsletter (third quarter of 2015)</x:v>
      </x:c>
      <x:c r="G82" s="168" t="str">
        <x:v>Social Fund for Development (SFD)</x:v>
      </x:c>
      <x:c r="H82" s="168"/>
      <x:c r="I82" s="168"/>
      <x:c r="J82" s="168"/>
      <x:c r="K82" s="168" t="str">
        <x:v>CITATION_CARD</x:v>
      </x:c>
      <x:c r="L82" s="168" t="str">
        <x:v>النشرة الإخبارية للصندوق الاجتماعي للتنمية (الربع الثالث من 2015)</x:v>
      </x:c>
      <x:c r="M82" s="168"/>
      <x:c r="N82" s="168"/>
      <x:c r="O82" s="168"/>
      <x:c r="S82" t="str">
        <x:v>NOT_ASSESSED</x:v>
      </x:c>
      <x:c r="Y82" t="str">
        <x:v>الصندوق الاجتماعي للتنمية</x:v>
      </x:c>
      <x:c r="Z82" t="str">
        <x:v>Newsletter</x:v>
      </x:c>
      <x:c r="AA82" t="str">
        <x:v>نشرة دورية</x:v>
      </x:c>
    </x:row>
    <x:row r="83">
      <x:c r="A83" s="24" t="str">
        <x:v>SRC-SFD-Q4-2015-001</x:v>
      </x:c>
      <x:c r="B83" s="24" t="str">
        <x:v>https://www.sfd-yemen.org/uploads/issues/72E%282%29-20170212-184036.pdf</x:v>
      </x:c>
      <x:c r="C83" s="24" t="str"/>
      <x:c r="D83" s="24" t="str">
        <x:v>DS-MFI-YEAR-COVERAGE,DS-MFI-TEMPORAL-SPINE,DS-MFI-METRIC-COVERAGE,DS-MF-ORIGIN-CHRONOLOGY,DS-CONTRADICTIONS</x:v>
      </x:c>
      <x:c r="E83" s="24" t="n">
        <x:v>5</x:v>
      </x:c>
      <x:c r="F83" s="168" t="str">
        <x:v>Social Fund for Development (SFD) Newsletter (fourth quarter of 2015)</x:v>
      </x:c>
      <x:c r="G83" s="168" t="str">
        <x:v>Social Fund for Development (SFD)</x:v>
      </x:c>
      <x:c r="H83" s="168"/>
      <x:c r="I83" s="168"/>
      <x:c r="J83" s="168"/>
      <x:c r="K83" s="168" t="str">
        <x:v>CITATION_CARD</x:v>
      </x:c>
      <x:c r="L83" s="168" t="str">
        <x:v>النشرة الإخبارية للصندوق الاجتماعي للتنمية (الربع الرابع من 2015)</x:v>
      </x:c>
      <x:c r="M83" s="168"/>
      <x:c r="N83" s="168"/>
      <x:c r="O83" s="168"/>
      <x:c r="S83" t="str">
        <x:v>NOT_ASSESSED</x:v>
      </x:c>
      <x:c r="Y83" t="str">
        <x:v>الصندوق الاجتماعي للتنمية</x:v>
      </x:c>
      <x:c r="Z83" t="str">
        <x:v>Newsletter</x:v>
      </x:c>
      <x:c r="AA83" t="str">
        <x:v>نشرة دورية</x:v>
      </x:c>
    </x:row>
    <x:row r="84">
      <x:c r="A84" s="24" t="str">
        <x:v>SRC-SFD-Q3-2016-001</x:v>
      </x:c>
      <x:c r="B84" s="24" t="str">
        <x:v>https://www.sfd-yemen.org/uploads/issues/3rd_2016-en-Final-20170322-184916.pdf</x:v>
      </x:c>
      <x:c r="C84" s="24" t="str"/>
      <x:c r="D84" s="24" t="str">
        <x:v>DS-MFI-YEAR-COVERAGE,DS-MFI-TEMPORAL-SPINE,DS-MFI-METRIC-COVERAGE</x:v>
      </x:c>
      <x:c r="E84" s="24" t="n">
        <x:v>3</x:v>
      </x:c>
      <x:c r="F84" s="168" t="str">
        <x:v>Social Fund for Development (SFD) Newsletter (third quarter of 2016)</x:v>
      </x:c>
      <x:c r="G84" s="168" t="str">
        <x:v>Social Fund for Development (SFD)</x:v>
      </x:c>
      <x:c r="H84" s="168"/>
      <x:c r="I84" s="168"/>
      <x:c r="J84" s="168"/>
      <x:c r="K84" s="168" t="str">
        <x:v>CITATION_CARD</x:v>
      </x:c>
      <x:c r="L84" s="168" t="str">
        <x:v>النشرة الإخبارية للصندوق الاجتماعي للتنمية (الربع الثالث من 2016)</x:v>
      </x:c>
      <x:c r="M84" s="168"/>
      <x:c r="N84" s="168"/>
      <x:c r="O84" s="168"/>
      <x:c r="S84" t="str">
        <x:v>NOT_ASSESSED</x:v>
      </x:c>
      <x:c r="Y84" t="str">
        <x:v>الصندوق الاجتماعي للتنمية</x:v>
      </x:c>
      <x:c r="Z84" t="str">
        <x:v>Newsletter</x:v>
      </x:c>
      <x:c r="AA84" t="str">
        <x:v>نشرة دورية</x:v>
      </x:c>
    </x:row>
    <x:row r="85">
      <x:c r="A85" s="24" t="str">
        <x:v>SRC-SFD-Q4-2017-001</x:v>
      </x:c>
      <x:c r="B85" s="24" t="str">
        <x:v>https://www.sfd-yemen.org/uploads/issues/Newsletter%20Eng%204th-2017%20%20-20-4-18-20190129-214133.pdf</x:v>
      </x:c>
      <x:c r="C85" s="24" t="str"/>
      <x:c r="D85" s="24" t="str">
        <x:v>DS-MFI-YEAR-COVERAGE,DS-MFI-TEMPORAL-SPINE,DS-MFI-METRIC-COVERAGE</x:v>
      </x:c>
      <x:c r="E85" s="24" t="n">
        <x:v>3</x:v>
      </x:c>
      <x:c r="F85" s="168" t="str">
        <x:v>Social Fund for Development (SFD) Newsletter (fourth quarter of 2017)</x:v>
      </x:c>
      <x:c r="G85" s="168" t="str">
        <x:v>Social Fund for Development (SFD)</x:v>
      </x:c>
      <x:c r="H85" s="168"/>
      <x:c r="I85" s="168"/>
      <x:c r="J85" s="168"/>
      <x:c r="K85" s="168" t="str">
        <x:v>CITATION_CARD</x:v>
      </x:c>
      <x:c r="L85" s="168" t="str">
        <x:v>النشرة الإخبارية للصندوق الاجتماعي للتنمية (الربع الرابع من 2017)</x:v>
      </x:c>
      <x:c r="M85" s="168"/>
      <x:c r="N85" s="168"/>
      <x:c r="O85" s="168"/>
      <x:c r="S85" t="str">
        <x:v>NOT_ASSESSED</x:v>
      </x:c>
      <x:c r="Y85" t="str">
        <x:v>الصندوق الاجتماعي للتنمية</x:v>
      </x:c>
      <x:c r="Z85" t="str">
        <x:v>Newsletter</x:v>
      </x:c>
      <x:c r="AA85" t="str">
        <x:v>نشرة دورية</x:v>
      </x:c>
    </x:row>
    <x:row r="86">
      <x:c r="A86" s="24" t="str">
        <x:v>SRC-SFD-Q4-2018-001</x:v>
      </x:c>
      <x:c r="B86" s="24" t="str">
        <x:v>https://www.sfd-yemen.org/uploads/issues/EnglishNewsletter4thNL2018-20191202-201206.pdf</x:v>
      </x:c>
      <x:c r="C86" s="24" t="str"/>
      <x:c r="D86" s="24" t="str">
        <x:v>DS-MFI-YEAR-COVERAGE,DS-MFI-TEMPORAL-SPINE,DS-MFI-METRIC-COVERAGE,DS-CONTRADICTIONS</x:v>
      </x:c>
      <x:c r="E86" s="24" t="n">
        <x:v>4</x:v>
      </x:c>
      <x:c r="F86" s="168" t="str">
        <x:v>Social Fund for Development (SFD) Newsletter (fourth quarter of 2018)</x:v>
      </x:c>
      <x:c r="G86" s="168" t="str">
        <x:v>Social Fund for Development (SFD)</x:v>
      </x:c>
      <x:c r="H86" s="168"/>
      <x:c r="I86" s="168"/>
      <x:c r="J86" s="168"/>
      <x:c r="K86" s="168" t="str">
        <x:v>CITATION_CARD</x:v>
      </x:c>
      <x:c r="L86" s="168" t="str">
        <x:v>النشرة الإخبارية للصندوق الاجتماعي للتنمية (الربع الرابع من 2018)</x:v>
      </x:c>
      <x:c r="M86" s="168"/>
      <x:c r="N86" s="168"/>
      <x:c r="O86" s="168"/>
      <x:c r="S86" t="str">
        <x:v>NOT_ASSESSED</x:v>
      </x:c>
      <x:c r="Y86" t="str">
        <x:v>الصندوق الاجتماعي للتنمية</x:v>
      </x:c>
      <x:c r="Z86" t="str">
        <x:v>Newsletter</x:v>
      </x:c>
      <x:c r="AA86" t="str">
        <x:v>نشرة دورية</x:v>
      </x:c>
    </x:row>
    <x:row r="87">
      <x:c r="A87" s="24" t="str">
        <x:v>SRC-SFD-Q1-2019-001</x:v>
      </x:c>
      <x:c r="B87" s="24" t="str">
        <x:v>https://www.sfd-yemen.org/uploads/issues/1st%20NL%202019-20200123-102323.pdf</x:v>
      </x:c>
      <x:c r="C87" s="24" t="str"/>
      <x:c r="D87" s="24" t="str">
        <x:v>DS-MFI-YEAR-COVERAGE,DS-MFI-TEMPORAL-SPINE,DS-MFI-METRIC-COVERAGE</x:v>
      </x:c>
      <x:c r="E87" s="24" t="n">
        <x:v>3</x:v>
      </x:c>
      <x:c r="F87" s="168" t="str">
        <x:v>Social Fund for Development (SFD) Newsletter (first quarter of 2019)</x:v>
      </x:c>
      <x:c r="G87" s="168" t="str">
        <x:v>Social Fund for Development (SFD)</x:v>
      </x:c>
      <x:c r="H87" s="168"/>
      <x:c r="I87" s="168"/>
      <x:c r="J87" s="168"/>
      <x:c r="K87" s="168" t="str">
        <x:v>CITATION_CARD</x:v>
      </x:c>
      <x:c r="L87" s="168" t="str">
        <x:v>النشرة الإخبارية للصندوق الاجتماعي للتنمية (الربع الأول من 2019)</x:v>
      </x:c>
      <x:c r="M87" s="168"/>
      <x:c r="N87" s="168"/>
      <x:c r="O87" s="168"/>
      <x:c r="S87" t="str">
        <x:v>NOT_ASSESSED</x:v>
      </x:c>
      <x:c r="Y87" t="str">
        <x:v>الصندوق الاجتماعي للتنمية</x:v>
      </x:c>
      <x:c r="Z87" t="str">
        <x:v>Newsletter</x:v>
      </x:c>
      <x:c r="AA87" t="str">
        <x:v>نشرة دورية</x:v>
      </x:c>
    </x:row>
    <x:row r="88">
      <x:c r="A88" s="24" t="str">
        <x:v>SRC-SFD-Q4-2020-001</x:v>
      </x:c>
      <x:c r="B88" s="24" t="str">
        <x:v>https://sfd-yemen.org/uploads/issues/4th%20NL%202020-20211125-090031.pdf</x:v>
      </x:c>
      <x:c r="C88" s="24" t="str"/>
      <x:c r="D88" s="24" t="str">
        <x:v>DS-MFI-YEAR-COVERAGE,DS-MFI-TEMPORAL-SPINE,DS-MFI-METRIC-COVERAGE</x:v>
      </x:c>
      <x:c r="E88" s="24" t="n">
        <x:v>3</x:v>
      </x:c>
      <x:c r="F88" s="168" t="str">
        <x:v>Social Fund for Development (SFD) Newsletter (fourth quarter of 2020)</x:v>
      </x:c>
      <x:c r="G88" s="168" t="str">
        <x:v>Social Fund for Development (SFD)</x:v>
      </x:c>
      <x:c r="H88" s="168"/>
      <x:c r="I88" s="168"/>
      <x:c r="J88" s="168"/>
      <x:c r="K88" s="168" t="str">
        <x:v>CITATION_CARD</x:v>
      </x:c>
      <x:c r="L88" s="168" t="str">
        <x:v>النشرة الإخبارية للصندوق الاجتماعي للتنمية (الربع الرابع من 2020)</x:v>
      </x:c>
      <x:c r="M88" s="168"/>
      <x:c r="N88" s="168"/>
      <x:c r="O88" s="168"/>
      <x:c r="S88" t="str">
        <x:v>NOT_ASSESSED</x:v>
      </x:c>
      <x:c r="Y88" t="str">
        <x:v>الصندوق الاجتماعي للتنمية</x:v>
      </x:c>
      <x:c r="Z88" t="str">
        <x:v>Newsletter</x:v>
      </x:c>
      <x:c r="AA88" t="str">
        <x:v>نشرة دورية</x:v>
      </x:c>
    </x:row>
    <x:row r="89">
      <x:c r="A89" s="24" t="str">
        <x:v>SRC-WB-FINDEX-003</x:v>
      </x:c>
      <x:c r="B89" s="24" t="str">
        <x:v>https://microdata.worldbank.org/catalog/1096/study-description</x:v>
      </x:c>
      <x:c r="C89" s="24" t="str"/>
      <x:c r="D89" s="24" t="str">
        <x:v>DS-FINDEX-PUBLIC-HISTORY,DS-FINDEX-HISTORY-CROSSWALK</x:v>
      </x:c>
      <x:c r="E89" s="24" t="n">
        <x:v>1</x:v>
      </x:c>
      <x:c r="F89" s="168" t="str">
        <x:v>Global Financial Inclusion (Global Findex) Database 2011: Yemen (2011 survey)</x:v>
      </x:c>
      <x:c r="G89" s="168" t="str">
        <x:v>World Bank</x:v>
      </x:c>
      <x:c r="H89" s="168"/>
      <x:c r="I89" s="168"/>
      <x:c r="J89" s="168"/>
      <x:c r="K89" s="168" t="str">
        <x:v>CITATION_CARD</x:v>
      </x:c>
      <x:c r="L89" s="168" t="str">
        <x:v>قاعدة بيانات المؤشر العالمي للشمول المالي (Global Findex) لعام 2011: اليمن (مسح 2011)</x:v>
      </x:c>
      <x:c r="M89" s="168"/>
      <x:c r="N89" s="168"/>
      <x:c r="O89" s="168"/>
      <x:c r="S89" t="str">
        <x:v>NOT_ASSESSED</x:v>
      </x:c>
      <x:c r="Y89" t="str">
        <x:v>البنك الدولي</x:v>
      </x:c>
      <x:c r="Z89" t="str">
        <x:v>Survey dataset or indicator</x:v>
      </x:c>
      <x:c r="AA89" t="str">
        <x:v>مسح أو مؤشر</x:v>
      </x:c>
      <x:c r="AB89" t="str">
        <x:v>2015-04-03</x:v>
      </x:c>
    </x:row>
    <x:row r="90">
      <x:c r="A90" s="24" t="str">
        <x:v>SRC-WB-FINDEX-2014-001</x:v>
      </x:c>
      <x:c r="B90" s="24" t="str">
        <x:v>https://microdata.worldbank.org/catalog/2513</x:v>
      </x:c>
      <x:c r="C90" s="24" t="str"/>
      <x:c r="D90" s="24" t="str">
        <x:v>DS-FINDEX-PUBLIC-HISTORY,DS-FINDEX-HISTORY-CROSSWALK,DS-DEMAND-VINTAGE-LENS</x:v>
      </x:c>
      <x:c r="E90" s="24" t="n">
        <x:v>1</x:v>
      </x:c>
      <x:c r="F90" s="168" t="str">
        <x:v>Global Financial Inclusion (Global Findex) Database 2014: Yemen (2014 survey)</x:v>
      </x:c>
      <x:c r="G90" s="168" t="str">
        <x:v>World Bank</x:v>
      </x:c>
      <x:c r="H90" s="168"/>
      <x:c r="I90" s="168"/>
      <x:c r="J90" s="168"/>
      <x:c r="K90" s="168" t="str">
        <x:v>CITATION_CARD</x:v>
      </x:c>
      <x:c r="L90" s="168" t="str">
        <x:v>قاعدة بيانات المؤشر العالمي للشمول المالي (Global Findex) لعام 2014: اليمن (مسح 2014)</x:v>
      </x:c>
      <x:c r="M90" s="168"/>
      <x:c r="N90" s="168"/>
      <x:c r="O90" s="168"/>
      <x:c r="S90" t="str">
        <x:v>NOT_ASSESSED</x:v>
      </x:c>
      <x:c r="Y90" t="str">
        <x:v>البنك الدولي</x:v>
      </x:c>
      <x:c r="Z90" t="str">
        <x:v>Survey dataset or indicator</x:v>
      </x:c>
      <x:c r="AA90" t="str">
        <x:v>مسح أو مؤشر</x:v>
      </x:c>
      <x:c r="AB90" t="str">
        <x:v>2015-08-27</x:v>
      </x:c>
    </x:row>
    <x:row r="91">
      <x:c r="A91" s="24" t="str">
        <x:v>SRC-WB-FINDEX-LDB-2015-001</x:v>
      </x:c>
      <x:c r="B91" s="24" t="str">
        <x:v>https://documents1.worldbank.org/curated/en/621891468329460041/pdf/956790PUB097810til0Apr170at011300am.pdf</x:v>
      </x:c>
      <x:c r="C91" s="24" t="str">
        <x:v>["https://thedocs.worldbank.org/en/doc/215611483565355628-0050022017/original/LDB2015final.pdf"]</x:v>
      </x:c>
      <x:c r="D91" s="24" t="str">
        <x:v>DS-FINDEX-PUBLIC-HISTORY,DS-FINDEX-HISTORY-CROSSWALK,DS-DEMAND-VINTAGE-LENS</x:v>
      </x:c>
      <x:c r="E91" s="24" t="n">
        <x:v>42</x:v>
      </x:c>
      <x:c r="F91" s="168" t="str">
        <x:v>The Little Data Book on Financial Inclusion 2015 (Yemen data for 2014, with selected 2011 comparators)</x:v>
      </x:c>
      <x:c r="G91" s="168" t="str">
        <x:v>World Bank</x:v>
      </x:c>
      <x:c r="H91" s="168"/>
      <x:c r="I91" s="168"/>
      <x:c r="J91" s="168"/>
      <x:c r="K91" s="168" t="str">
        <x:v>CITATION_CARD</x:v>
      </x:c>
      <x:c r="L91" s="168" t="str">
        <x:v>كتيّب البيانات الموجز عن الشمول المالي 2015 (The Little Data Book on Financial Inclusion): بيانات اليمن لعام 2014 مع مقارنات مختارة لعام 2011</x:v>
      </x:c>
      <x:c r="M91" s="168"/>
      <x:c r="N91" s="168"/>
      <x:c r="O91" s="168"/>
      <x:c r="S91" t="str">
        <x:v>NOT_ASSESSED</x:v>
      </x:c>
      <x:c r="Y91" t="str">
        <x:v>البنك الدولي</x:v>
      </x:c>
      <x:c r="Z91" t="str">
        <x:v>Survey dataset or indicator</x:v>
      </x:c>
      <x:c r="AA91" t="str">
        <x:v>مسح أو مؤشر</x:v>
      </x:c>
      <x:c r="AB91" t="str">
        <x:v>2015</x:v>
      </x:c>
    </x:row>
    <x:row r="92">
      <x:c r="A92" s="24" t="str">
        <x:v>SRC-WB-NFID-RFX-2026-001</x:v>
      </x:c>
      <x:c r="B92" s="24" t="str">
        <x:v>https://www.worldbank.org/en/about/corporate-procurement/business-opportunities/administrative-procurement</x:v>
      </x:c>
      <x:c r="C92" s="24"/>
      <x:c r="D92" s="24" t="str">
        <x:v>DS-NFID-EOI-ALIGNMENT</x:v>
      </x:c>
      <x:c r="E92" s="24" t="n">
        <x:v>2</x:v>
      </x:c>
      <x:c r="F92" s="168"/>
      <x:c r="G92" s="168"/>
      <x:c r="H92" s="168"/>
      <x:c r="I92" s="168"/>
      <x:c r="J92" s="168"/>
      <x:c r="K92" s="168" t="str">
        <x:v>LOCATOR_ONLY</x:v>
      </x:c>
      <x:c r="L92" s="168"/>
      <x:c r="M92" s="168"/>
      <x:c r="N92" s="168"/>
      <x:c r="O92" s="168"/>
      <x:c r="S92" t="str">
        <x:v>NOT_ASSESSED</x:v>
      </x:c>
    </x:row>
    <x:row r="93">
      <x:c r="A93" s="24" t="str">
        <x:v>SRC-WB-FMIIP-ISR2-2026-001</x:v>
      </x:c>
      <x:c r="B93" s="24" t="str">
        <x:v>https://documents.worldbank.org/en/publication/documents-reports/documentdetail/099040826144025755</x:v>
      </x:c>
      <x:c r="C93" s="24" t="str"/>
      <x:c r="D93" s="24" t="str">
        <x:v>DS-NFID-EOI-ALIGNMENT,DS-REFORM-EVENTS,DS-FMIIP-IMPLEMENTATION-2026</x:v>
      </x:c>
      <x:c r="E93" s="24" t="n">
        <x:v>1</x:v>
      </x:c>
      <x:c r="F93" s="168" t="str">
        <x:v>Yemen Financial Market Infrastructure and Inclusion Project (FMIIP): Implementation Status and Results Report, sequence 2 (8 April 2026)</x:v>
      </x:c>
      <x:c r="G93" s="168" t="str">
        <x:v>World Bank</x:v>
      </x:c>
      <x:c r="H93" s="168" t="str">
        <x:v>Current Yemen payment-infrastructure programmes</x:v>
      </x:c>
      <x:c r="I93" s="168" t="str">
        <x:v>Provides a dated public implementation-status vintage for FMIIP, helping distinguish reported implementation progress from the project's end targets and from later operational outcomes.</x:v>
      </x:c>
      <x:c r="J93" s="168" t="str">
        <x:v>The existence of an implementation report, rating or milestone does not by itself prove that FPS or RTGS is fully live, reliable, widely used or delivering inclusion outcomes.</x:v>
      </x:c>
      <x:c r="K93" s="168" t="str">
        <x:v>FULL_PUBLIC_CARD</x:v>
      </x:c>
      <x:c r="L93" s="168" t="str">
        <x:v>مشروع البنية التحتية للأسواق المالية والشمول المالي في اليمن (FMIIP): تقرير حالة التنفيذ والنتائج، التسلسل 2 (8 أبريل 2026)</x:v>
      </x:c>
      <x:c r="M93" s="168" t="str">
        <x:v>برامج البنية التحتية للمدفوعات الجارية في اليمن</x:v>
      </x:c>
      <x:c r="N93"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3" s="168" t="str">
        <x:v>لا يثبت وجود تقرير تنفيذ أو تقييم أو معلم مرحلي بذاته أن نظام الدفع السريع أو نظام التسوية الإجمالية الفورية يعملان بالكامل وبموثوقية وانتشار واسع أو أنهما حققا نتائج للشمول المالي.</x:v>
      </x:c>
      <x:c r="S93" t="str">
        <x:v>NOT_ASSESSED</x:v>
      </x:c>
      <x:c r="Y93" t="str">
        <x:v>البنك الدولي</x:v>
      </x:c>
      <x:c r="Z93" t="str">
        <x:v>Project document</x:v>
      </x:c>
      <x:c r="AA93" t="str">
        <x:v>وثيقة مشروع</x:v>
      </x:c>
      <x:c r="AB93" t="str">
        <x:v>2026-04-08</x:v>
      </x:c>
    </x:row>
    <x:row r="94">
      <x:c r="A94" s="24" t="str">
        <x:v>SRC-CBY-HIST-METHOD-001</x:v>
      </x:c>
      <x:c r="B94" s="24" t="str">
        <x:v>https://english.cby-ye.com/files/615d821b9d52b.pdf</x:v>
      </x:c>
      <x:c r="C94" s="24" t="str"/>
      <x:c r="D94" s="24" t="str">
        <x:v>DS-K04-CBY-CORPUS, DS-K04-CBY-OBJECTS</x:v>
      </x:c>
      <x:c r="E94" s="24" t="n">
        <x:v>3</x:v>
      </x:c>
      <x:c r="F94" s="168" t="str">
        <x:v>Quarterly Bulletin, Issue No. 1 (December 2020)</x:v>
      </x:c>
      <x:c r="G94" s="168" t="str">
        <x:v>Central Bank of Yemen — Aden</x:v>
      </x:c>
      <x:c r="H94" s="168"/>
      <x:c r="I94" s="168"/>
      <x:c r="J94" s="168"/>
      <x:c r="K94" s="168" t="str">
        <x:v>CITATION_CARD</x:v>
      </x:c>
      <x:c r="L94" s="168" t="str">
        <x:v>النشرة الفصلية، العدد 1 (ديسمبر 2020)</x:v>
      </x:c>
      <x:c r="M94" s="168"/>
      <x:c r="N94" s="168"/>
      <x:c r="O94" s="168"/>
      <x:c r="S94" t="str">
        <x:v>NOT_ASSESSED</x:v>
      </x:c>
      <x:c r="V94" t="str">
        <x:v>2026-09-26</x:v>
      </x:c>
      <x:c r="Y94" t="str">
        <x:v>البنك المركزي اليمني – عدن</x:v>
      </x:c>
      <x:c r="Z94" t="str">
        <x:v>Periodic statistical report</x:v>
      </x:c>
      <x:c r="AA94" t="str">
        <x:v>تقرير إحصائي دوري</x:v>
      </x:c>
      <x:c r="AB94" t="str">
        <x:v>2020-12</x:v>
      </x:c>
    </x:row>
    <x:row r="95">
      <x:c r="A95" s="24" t="str">
        <x:v>SRC-CBY-AR2015-HIST-001</x:v>
      </x:c>
      <x:c r="B95" s="24" t="str">
        <x:v>http://centralbank.gov.ye/App_Upload/Ann_rep2015AR.pdf</x:v>
      </x:c>
      <x:c r="C95" s="24" t="str"/>
      <x:c r="D95" s="24" t="str">
        <x:v>DS-K04-CBY-CORPUS, DS-K04-CBY-OBJECTS</x:v>
      </x:c>
      <x:c r="E95" s="24" t="n">
        <x:v>1</x:v>
      </x:c>
      <x:c r="F95" s="168"/>
      <x:c r="G95" s="168"/>
      <x:c r="H95" s="168"/>
      <x:c r="I95" s="168"/>
      <x:c r="J95" s="168"/>
      <x:c r="K95" s="168" t="str">
        <x:v>LOCATOR_ONLY</x:v>
      </x:c>
      <x:c r="L95" s="168"/>
      <x:c r="M95" s="168"/>
      <x:c r="N95" s="168"/>
      <x:c r="O95" s="168"/>
      <x:c r="S95" t="str">
        <x:v>NOT_ASSESSED</x:v>
      </x:c>
    </x:row>
    <x:row r="96">
      <x:c r="A96" s="24" t="str">
        <x:v>SRC-CBY-SANAA-C12-2024</x:v>
      </x:c>
      <x:c r="B96" s="24" t="str">
        <x:v>https://yemeneco.org/wp-content/uploads/2024/03/تعميم-رقم-12-خدمات-البنوك-والمؤسسات-المالية-العاملة-في-خدمات-الحوالات-الخارجية.pdf</x:v>
      </x:c>
      <x:c r="C96" s="24" t="str"/>
      <x:c r="D96" s="24" t="str">
        <x:v>DS-K04-CBY-CORPUS, DS-K04-CBY-OBJECTS</x:v>
      </x:c>
      <x:c r="E96" s="24" t="n">
        <x:v>1</x:v>
      </x:c>
      <x:c r="F96" s="168"/>
      <x:c r="G96" s="168"/>
      <x:c r="H96" s="168"/>
      <x:c r="I96" s="168"/>
      <x:c r="J96" s="168"/>
      <x:c r="K96" s="168" t="str">
        <x:v>LOCATOR_ONLY</x:v>
      </x:c>
      <x:c r="L96" s="168"/>
      <x:c r="M96" s="168"/>
      <x:c r="N96" s="168"/>
      <x:c r="O96" s="168"/>
      <x:c r="S96" t="str">
        <x:v>NOT_ASSESSED</x:v>
      </x:c>
    </x:row>
    <x:row r="97">
      <x:c r="A97" s="24" t="str">
        <x:v>SRC-CBY-SANAA-C14-2024</x:v>
      </x:c>
      <x:c r="B97" s="24" t="str">
        <x:v>https://www.ecoi.net/en/file/local/2117585/n2425953.pdf</x:v>
      </x:c>
      <x:c r="C97" s="24" t="str"/>
      <x:c r="D97" s="24" t="str">
        <x:v>DS-K04-CBY-CORPUS, DS-K04-CBY-OBJECTS</x:v>
      </x:c>
      <x:c r="E97" s="24" t="n">
        <x:v>1</x:v>
      </x:c>
      <x:c r="F97" s="168"/>
      <x:c r="G97" s="168"/>
      <x:c r="H97" s="168"/>
      <x:c r="I97" s="168"/>
      <x:c r="J97" s="168"/>
      <x:c r="K97" s="168" t="str">
        <x:v>LOCATOR_ONLY</x:v>
      </x:c>
      <x:c r="L97" s="168"/>
      <x:c r="M97" s="168"/>
      <x:c r="N97" s="168"/>
      <x:c r="O97" s="168"/>
      <x:c r="S97" t="str">
        <x:v>NOT_ASSESSED</x:v>
      </x:c>
    </x:row>
    <x:row r="98">
      <x:c r="A98" s="24" t="str">
        <x:v>SRC-CBY-SANAA-CURR-2024</x:v>
      </x:c>
      <x:c r="B98" s="24" t="str">
        <x:v>https://www.saba.ye/ar/news3337222.htm</x:v>
      </x:c>
      <x:c r="C98" s="24" t="str">
        <x:v>["https://centralbank.gov.ye/upldImgAndFile/file/urgent.pdf"]</x:v>
      </x:c>
      <x:c r="D98" s="24" t="str">
        <x:v>DS-K04-CBY-CORPUS, DS-K04-CBY-OBJECTS</x:v>
      </x:c>
      <x:c r="E98" s="24" t="n">
        <x:v>1</x:v>
      </x:c>
      <x:c r="F98" s="168" t="str">
        <x:v>News item concerning the Central Bank of Yemen — Sana'a (2024)</x:v>
      </x:c>
      <x:c r="G98" s="168" t="str">
        <x:v>Saba News Agency (saba.ye)</x:v>
      </x:c>
      <x:c r="H98" s="168"/>
      <x:c r="I98" s="168"/>
      <x:c r="J98" s="168"/>
      <x:c r="K98" s="168" t="str">
        <x:v>CITATION_CARD</x:v>
      </x:c>
      <x:c r="L98" s="168" t="str">
        <x:v>خبر يتعلق بالبنك المركزي اليمني – صنعاء (2024)</x:v>
      </x:c>
      <x:c r="M98" s="168"/>
      <x:c r="N98" s="168"/>
      <x:c r="O98" s="168"/>
      <x:c r="S98" t="str">
        <x:v>NOT_ASSESSED</x:v>
      </x:c>
      <x:c r="V98" t="str">
        <x:v>2026-09-26</x:v>
      </x:c>
      <x:c r="Y98" t="str">
        <x:v>وكالة الأنباء اليمنية سبأ (saba.ye)</x:v>
      </x:c>
      <x:c r="Z98" t="str">
        <x:v>Web page</x:v>
      </x:c>
      <x:c r="AA98" t="str">
        <x:v>صفحة إلكترونية</x:v>
      </x:c>
    </x:row>
    <x:row r="99">
      <x:c r="A99" s="24" t="str">
        <x:v>SRC-IMF-YEM-AIV-2025-2026</x:v>
      </x:c>
      <x:c r="B99" s="24" t="str">
        <x:v>https://www.imf.org/-/media/files/publications/cr/2026/english/1yemea2026001-source-pdf.pdf</x:v>
      </x:c>
      <x:c r="C99" s="24" t="str"/>
      <x:c r="D99" s="24" t="str">
        <x:v>DS-K04-REMIT-METHOD-RECON,DS-K04-REMIT-SOURCE-LENSES,DS-K04-V034-RECON-GATE</x:v>
      </x:c>
      <x:c r="E99" s="24" t="n">
        <x:v>8</x:v>
      </x:c>
      <x:c r="F99" s="168" t="str">
        <x:v>Republic of Yemen: 2025 Article IV Consultation (IMF Country Report No. 26/80)</x:v>
      </x:c>
      <x:c r="G99" s="168" t="str">
        <x:v>International Monetary Fund</x:v>
      </x:c>
      <x:c r="H99" s="168" t="str">
        <x:v>Yemen macro-financial and external-sector context</x:v>
      </x:c>
      <x:c r="I99" s="168" t="str">
        <x:v>Provides the current IMF Article IV macro-financial framework, external-sector and banking context, and methodological information used to interpret remittances, reserves, banking conditions and reform context.</x:v>
      </x:c>
      <x:c r="J99" s="168" t="str">
        <x:v>The IMF macro framework and aggregates are not population financial-inclusion measures and should not be treated as whole-Yemen prevalence or as evidence that reform outcomes have been achieved.</x:v>
      </x:c>
      <x:c r="K99" s="168" t="str">
        <x:v>FULL_PUBLIC_CARD</x:v>
      </x:c>
      <x:c r="L99" s="168" t="str">
        <x:v>الجمهورية اليمنية: مشاورات المادة الرابعة لعام 2025 (تقرير صندوق النقد الدولي القُطري رقم 26/80)</x:v>
      </x:c>
      <x:c r="M99" s="168" t="str">
        <x:v>السياق الاقتصادي والمالي والقطاع الخارجي في اليمن</x:v>
      </x:c>
      <x:c r="N99"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التحويلات والاحتياطيات وأوضاع القطاع المصرفي وسياق الإصلاح.</x:v>
      </x:c>
      <x:c r="O99" s="168" t="str">
        <x:v>لا تمثل المؤشرات الكلية لصندوق النقد مقاييس سكانية للشمول المالي، ولا يجوز معاملتها كمعدلات انتشار لليمن كله أو كدليل على تحقق نتائج الإصلاح.</x:v>
      </x:c>
      <x:c r="S99" t="str">
        <x:v>NOT_ASSESSED</x:v>
      </x:c>
      <x:c r="Y99" t="str">
        <x:v>صندوق النقد الدولي</x:v>
      </x:c>
      <x:c r="Z99" t="str">
        <x:v>Staff report</x:v>
      </x:c>
      <x:c r="AA99" t="str">
        <x:v>تقرير خبراء</x:v>
      </x:c>
    </x:row>
    <x:row r="100">
      <x:c r="A100" s="24" t="str">
        <x:v>SRC-IMF-YEM-EGDDS-VAL-1996</x:v>
      </x:c>
      <x:c r="B100" s="24" t="str">
        <x:v>https://dsbb.imf.org/e-gdds/dqaf-base/country/YEM/category/AAB00</x:v>
      </x:c>
      <x:c r="C100" s="24" t="str"/>
      <x:c r="D100" s="24" t="str">
        <x:v>DS-K04-BANK-VALUATION-RECON</x:v>
      </x:c>
      <x:c r="E100" s="24" t="n">
        <x:v>1</x:v>
      </x:c>
      <x:c r="F100" s="168" t="str">
        <x:v>Yemen: e-GDDS metadata on market-rate valuation of foreign-currency accounts (historical reference 1996)</x:v>
      </x:c>
      <x:c r="G100" s="168" t="str">
        <x:v>International Monetary Fund</x:v>
      </x:c>
      <x:c r="H100" s="168"/>
      <x:c r="I100" s="168"/>
      <x:c r="J100" s="168"/>
      <x:c r="K100" s="168" t="str">
        <x:v>CITATION_CARD</x:v>
      </x:c>
      <x:c r="L100" s="168" t="str">
        <x:v>اليمن: البيانات الوصفية ضمن النظام العام المعزَّز لنشر البيانات (e-GDDS) بشأن تقييم حسابات العملات الأجنبية بسعر السوق (مرجع تاريخي: 1996)</x:v>
      </x:c>
      <x:c r="M100" s="168"/>
      <x:c r="N100" s="168"/>
      <x:c r="O100" s="168"/>
      <x:c r="S100" t="str">
        <x:v>NOT_ASSESSED</x:v>
      </x:c>
      <x:c r="Y100" t="str">
        <x:v>صندوق النقد الدولي</x:v>
      </x:c>
      <x:c r="Z100" t="str">
        <x:v>Method or standard</x:v>
      </x:c>
      <x:c r="AA100" t="str">
        <x:v>منهج أو معيار</x:v>
      </x:c>
    </x:row>
    <x:row r="101">
      <x:c r="A101" s="24" t="str">
        <x:v>SRC-WB-WDI-REMIT-YEM-CURRENT</x:v>
      </x:c>
      <x:c r="B101" s="24" t="str">
        <x:v>https://data.worldbank.org/indicator/BX.TRF.PWKR.CD.DT?locations=YE</x:v>
      </x:c>
      <x:c r="C101" s="24" t="str"/>
      <x:c r="D101" s="24" t="str">
        <x:v>DS-K04-REMIT-SOURCE-LENSES,DS-K04-PUBLICATION-BENCHMARK,DS-K04-REMIT-REGIMES</x:v>
      </x:c>
      <x:c r="E101" s="24" t="n">
        <x:v>2</x:v>
      </x:c>
      <x:c r="F101" s="168" t="str">
        <x:v>World Development Indicators: personal remittances received, Yemen (public data page reviewed 10 September 2026)</x:v>
      </x:c>
      <x:c r="G101" s="168" t="str">
        <x:v>World Bank</x:v>
      </x:c>
      <x:c r="H101" s="168"/>
      <x:c r="I101" s="168"/>
      <x:c r="J101" s="168"/>
      <x:c r="K101" s="168" t="str">
        <x:v>CITATION_CARD</x:v>
      </x:c>
      <x:c r="L101" s="168" t="str">
        <x:v>مؤشرات التنمية العالمية: التحويلات الشخصية الواردة، اليمن (صفحة البيانات العامة كما اطُّلع عليها في 10 سبتمبر 2026)</x:v>
      </x:c>
      <x:c r="M101" s="168"/>
      <x:c r="N101" s="168"/>
      <x:c r="O101" s="168"/>
      <x:c r="S101" t="str">
        <x:v>NOT_ASSESSED</x:v>
      </x:c>
      <x:c r="W101" t="str">
        <x:v>dataset</x:v>
      </x:c>
      <x:c r="Y101" t="str">
        <x:v>البنك الدولي</x:v>
      </x:c>
      <x:c r="Z101" t="str">
        <x:v>Survey dataset or indicator</x:v>
      </x:c>
      <x:c r="AA101" t="str">
        <x:v>مسح أو مؤشر</x:v>
      </x:c>
    </x:row>
    <x:row r="102">
      <x:c r="A102" s="24" t="str">
        <x:v>SRC-IGC-AIDDATA-REMIT-YEM-2026</x:v>
      </x:c>
      <x:c r="B102" s="24" t="str">
        <x:v>https://www.theigc.org/publications/cash-capital-leveraging-remittances-yemens-economic-future</x:v>
      </x:c>
      <x:c r="C102" s="24" t="str"/>
      <x:c r="D102" s="24" t="str">
        <x:v>DS-K04-REMIT-SOURCE-LENSES,DS-K04-PUBLICATION-BENCHMARK,DS-K04-CAUSEWAY-READING-001</x:v>
      </x:c>
      <x:c r="E102" s="24" t="n">
        <x:v>2</x:v>
      </x:c>
      <x:c r="F102" s="168" t="str">
        <x:v>From cash to capital: leveraging remittances for Yemen's economic future (February 2026)</x:v>
      </x:c>
      <x:c r="G102" s="168" t="str">
        <x:v>International Growth Centre (IGC), with AidData</x:v>
      </x:c>
      <x:c r="H102" s="168"/>
      <x:c r="I102" s="168"/>
      <x:c r="J102" s="168"/>
      <x:c r="K102" s="168" t="str">
        <x:v>CITATION_CARD</x:v>
      </x:c>
      <x:c r="L102" s="168" t="str">
        <x:v>من النقد إلى رأس المال: توظيف التحويلات لمستقبل اليمن الاقتصادي (فبراير 2026)</x:v>
      </x:c>
      <x:c r="M102" s="168"/>
      <x:c r="N102" s="168"/>
      <x:c r="O102" s="168"/>
      <x:c r="S102" t="str">
        <x:v>NOT_ASSESSED</x:v>
      </x:c>
      <x:c r="Y102" t="str">
        <x:v>المركز الدولي للنمو (IGC) بالشراكة مع AidData</x:v>
      </x:c>
      <x:c r="Z102" t="str">
        <x:v>Research or policy paper</x:v>
      </x:c>
      <x:c r="AA102" t="str">
        <x:v>ورقة بحثية أو سياساتية</x:v>
      </x:c>
      <x:c r="AB102" t="str">
        <x:v>2026-02</x:v>
      </x:c>
    </x:row>
    <x:row r="103">
      <x:c r="A103" s="24" t="str">
        <x:v>SRC-WB-MDB40-2024</x:v>
      </x:c>
      <x:c r="B103" s="24" t="str">
        <x:v>https://documents1.worldbank.org/curated/en/099714008132436612/pdf/IDU-a9cf73b5-fcad-425a-a0dd-cc8f2f3331ce.pdf</x:v>
      </x:c>
      <x:c r="C103" s="24" t="str"/>
      <x:c r="D103" s="24" t="str">
        <x:v>DS-K04-REMIT-SOURCE-LENSES</x:v>
      </x:c>
      <x:c r="E103" s="24" t="n">
        <x:v>1</x:v>
      </x:c>
      <x:c r="F103" s="168" t="str">
        <x:v>Remittances Slowed in 2023, Expected to Grow Faster in 2024: Migration and Development Brief 40 (June 2024)</x:v>
      </x:c>
      <x:c r="G103" s="168" t="str">
        <x:v>World Bank</x:v>
      </x:c>
      <x:c r="H103" s="168"/>
      <x:c r="I103" s="168"/>
      <x:c r="J103" s="168"/>
      <x:c r="K103" s="168" t="str">
        <x:v>CITATION_CARD</x:v>
      </x:c>
      <x:c r="L103" s="168" t="str">
        <x:v>تباطأت التحويلات في 2023 ويُتوقع أن تنمو بوتيرة أسرع في 2024: موجز الهجرة والتنمية رقم 40 (يونيو 2024)</x:v>
      </x:c>
      <x:c r="M103" s="168"/>
      <x:c r="N103" s="168"/>
      <x:c r="O103" s="168"/>
      <x:c r="S103" t="str">
        <x:v>NOT_ASSESSED</x:v>
      </x:c>
      <x:c r="Y103" t="str">
        <x:v>البنك الدولي</x:v>
      </x:c>
      <x:c r="Z103" t="str">
        <x:v>Research or policy paper</x:v>
      </x:c>
      <x:c r="AA103" t="str">
        <x:v>ورقة بحثية أو سياساتية</x:v>
      </x:c>
      <x:c r="AB103" t="str">
        <x:v>2024-06</x:v>
      </x:c>
    </x:row>
    <x:row r="104">
      <x:c r="A104" s="24" t="str">
        <x:v>SRC-SC-TRADE-FIN-YEM-2026</x:v>
      </x:c>
      <x:c r="B104" s="24" t="str">
        <x:v>https://sanaacenter.org/publications/policy-research/26389</x:v>
      </x:c>
      <x:c r="C104" s="24" t="str"/>
      <x:c r="D104" s="24" t="str">
        <x:v>DS-K04-PUBLICATION-BENCHMARK,DS-K04-REMIT-SOURCE-LENSES,DS-K04-CAUSEWAY-READING-001</x:v>
      </x:c>
      <x:c r="E104" s="24" t="n">
        <x:v>2</x:v>
      </x:c>
      <x:c r="F104" s="168" t="str">
        <x:v>Supporting Trade Finance in Yemen Amid Uncertainty (February 2026)</x:v>
      </x:c>
      <x:c r="G104" s="168" t="str">
        <x:v>Sana’a Center for Strategic Studies</x:v>
      </x:c>
      <x:c r="H104" s="168"/>
      <x:c r="I104" s="168"/>
      <x:c r="J104" s="168"/>
      <x:c r="K104" s="168" t="str">
        <x:v>CITATION_CARD</x:v>
      </x:c>
      <x:c r="L104" s="168" t="str">
        <x:v>دعم تمويل التجارة في اليمن في ظل حالة عدم اليقين (فبراير 2026)</x:v>
      </x:c>
      <x:c r="M104" s="168"/>
      <x:c r="N104" s="168"/>
      <x:c r="O104" s="168"/>
      <x:c r="S104" t="str">
        <x:v>NOT_ASSESSED</x:v>
      </x:c>
      <x:c r="Y104" t="str">
        <x:v>مركز صنعاء للدراسات الاستراتيجية</x:v>
      </x:c>
      <x:c r="Z104" t="str">
        <x:v>Research or policy paper</x:v>
      </x:c>
      <x:c r="AA104" t="str">
        <x:v>ورقة بحثية أو سياساتية</x:v>
      </x:c>
      <x:c r="AB104" t="str">
        <x:v>2026-02-17</x:v>
      </x:c>
    </x:row>
    <x:row r="105">
      <x:c r="A105" s="24" t="str">
        <x:v>SRC-ACAPS-YEM-REMIT-2021</x:v>
      </x:c>
      <x:c r="B105" s="24" t="str">
        <x:v>https://www.acaps.org/fileadmin/Data_Product/Main_media/20211015_acaps_yemen_analysis_hub_impact_of_remittances_on_yemens_economy.pdf</x:v>
      </x:c>
      <x:c r="C105" s="24" t="str"/>
      <x:c r="D105" s="24" t="str">
        <x:v>DS-K04-REMIT-SOURCE-LENSES,DS-K04-PUBLICATION-BENCHMARK</x:v>
      </x:c>
      <x:c r="E105" s="24" t="n">
        <x:v>1</x:v>
      </x:c>
      <x:c r="F105" s="168" t="str">
        <x:v>The impact of remittances on Yemen's economy (October 2021)</x:v>
      </x:c>
      <x:c r="G105" s="168" t="str">
        <x:v>ACAPS (Yemen Analysis Hub)</x:v>
      </x:c>
      <x:c r="H105" s="168"/>
      <x:c r="I105" s="168"/>
      <x:c r="J105" s="168"/>
      <x:c r="K105" s="168" t="str">
        <x:v>CITATION_CARD</x:v>
      </x:c>
      <x:c r="L105" s="168" t="str">
        <x:v>أثر التحويلات في اقتصاد اليمن (أكتوبر 2021)</x:v>
      </x:c>
      <x:c r="M105" s="168"/>
      <x:c r="N105" s="168"/>
      <x:c r="O105" s="168"/>
      <x:c r="S105" t="str">
        <x:v>NOT_ASSESSED</x:v>
      </x:c>
      <x:c r="Y105" t="str">
        <x:v>ACAPS (مركز تحليل اليمن)</x:v>
      </x:c>
      <x:c r="Z105" t="str">
        <x:v>Research or policy paper</x:v>
      </x:c>
      <x:c r="AA105" t="str">
        <x:v>ورقة بحثية أو سياساتية</x:v>
      </x:c>
      <x:c r="AB105" t="str">
        <x:v>2021-10-15</x:v>
      </x:c>
    </x:row>
    <x:row r="106">
      <x:c r="A106" s="24" t="str">
        <x:v>SRC-IMF-D4D-YEM-ESS-2025</x:v>
      </x:c>
      <x:c r="B106" s="24" t="str">
        <x:v>https://www.imf.org/-/media/files/capacity-developement/d4d/january-2026/d4d-fund-implementation-progress-fy26-midyear-january-2026.pdf</x:v>
      </x:c>
      <x:c r="C106" s="24" t="str"/>
      <x:c r="D106" s="24" t="str">
        <x:v>DS-K04-REMIT-REGIMES,DS-K04-BOP-COMPONENT-XWALK,DS-K04-V035-RECON-GATE</x:v>
      </x:c>
      <x:c r="E106" s="24" t="n">
        <x:v>2</x:v>
      </x:c>
      <x:c r="F106" s="168" t="str">
        <x:v>D4D-II implementation progress report (January 2026)</x:v>
      </x:c>
      <x:c r="G106" s="168" t="str">
        <x:v>International Monetary Fund</x:v>
      </x:c>
      <x:c r="H106" s="168"/>
      <x:c r="I106" s="168"/>
      <x:c r="J106" s="168"/>
      <x:c r="K106" s="168" t="str">
        <x:v>CITATION_CARD</x:v>
      </x:c>
      <x:c r="L106" s="168" t="str">
        <x:v>تقرير التقدم في التنفيذ لصندوق D4D-II (يناير 2026)</x:v>
      </x:c>
      <x:c r="M106" s="168"/>
      <x:c r="N106" s="168"/>
      <x:c r="O106" s="168"/>
      <x:c r="S106" t="str">
        <x:v>NOT_ASSESSED</x:v>
      </x:c>
      <x:c r="Y106" t="str">
        <x:v>صندوق النقد الدولي</x:v>
      </x:c>
      <x:c r="Z106" t="str">
        <x:v>Project document</x:v>
      </x:c>
      <x:c r="AA106" t="str">
        <x:v>وثيقة مشروع</x:v>
      </x:c>
      <x:c r="AB106" t="str">
        <x:v>2026-01</x:v>
      </x:c>
    </x:row>
    <x:row r="107">
      <x:c r="A107" s="24" t="str">
        <x:v>SRC-CBY-AR2025-BOP</x:v>
      </x:c>
      <x:c r="B107" s="24" t="str">
        <x:v>https://english.cby-ye.com/files/6a54b8fcd8b68.pdf</x:v>
      </x:c>
      <x:c r="C107" s="24"/>
      <x:c r="D107" s="24" t="str">
        <x:v>DS-K04-BOP-RESIDUAL-STRESS,DS-K04-BOP-COMPONENT-XWALK</x:v>
      </x:c>
      <x:c r="E107" s="24" t="n">
        <x:v>2</x:v>
      </x:c>
      <x:c r="F107" s="168" t="str">
        <x:v>Annual Report 2025</x:v>
      </x:c>
      <x:c r="G107" s="168" t="str">
        <x:v>Central Bank of Yemen — Aden</x:v>
      </x:c>
      <x:c r="H107" s="168" t="str">
        <x:v>Primary administrative and statistical material</x:v>
      </x:c>
      <x:c r="I107" s="168" t="str">
        <x:v>Provides the 2025 publication vintage used to inspect revisions to balance-of-payments remittance values and related external-sector series.</x:v>
      </x:c>
      <x:c r="J107" s="168" t="str">
        <x:v>A publication revision does not by itself establish an economic change between years, informal hawala volume, or a population financial-inclusion outcome.</x:v>
      </x:c>
      <x:c r="K107" s="168" t="str">
        <x:v>FULL_PUBLIC_CARD</x:v>
      </x:c>
      <x:c r="L107" s="168" t="str">
        <x:v>التقرير السنوي 2025</x:v>
      </x:c>
      <x:c r="M107" s="168" t="str">
        <x:v>مواد إدارية وإحصائية أولية</x:v>
      </x:c>
      <x:c r="N107" s="168" t="str">
        <x:v>يوفر نسخة النشر لعام 2025 المستخدمة لفحص مراجعات قيم تحويلات العاملين في ميزان المدفوعات والسلاسل ذات الصلة بالقطاع الخارجي.</x:v>
      </x:c>
      <x:c r="O107" s="168" t="str">
        <x:v>لا تثبت مراجعة نسخة النشر بذاتها تغيرًا اقتصاديًا بين عامين، ولا حجم الحوالات غير الرسمية، ولا نتيجة سكانية للشمول المالي.</x:v>
      </x:c>
      <x:c r="S107" t="str">
        <x:v>NOT_ASSESSED</x:v>
      </x:c>
      <x:c r="Y107" t="str">
        <x:v>البنك المركزي اليمني – عدن</x:v>
      </x:c>
      <x:c r="Z107" t="str">
        <x:v>Annual report</x:v>
      </x:c>
      <x:c r="AA107" t="str">
        <x:v>تقرير سنوي</x:v>
      </x:c>
    </x:row>
    <x:row r="108">
      <x:c r="A108" s="24" t="str">
        <x:v>SRC-CBY-AR2024-BOP</x:v>
      </x:c>
      <x:c r="B108" s="24" t="str">
        <x:v>https://english.cby-ye.com/files/68c2ef16b4225.pdf</x:v>
      </x:c>
      <x:c r="C108" s="24"/>
      <x:c r="D108" s="24" t="str">
        <x:v>DS-K04-REMIT-REGIMES,DS-K04-BOP-COMPONENT-XWALK</x:v>
      </x:c>
      <x:c r="E108" s="24" t="n">
        <x:v>2</x:v>
      </x:c>
      <x:c r="F108" s="168" t="str">
        <x:v>Annual Report 2024</x:v>
      </x:c>
      <x:c r="G108" s="168" t="str">
        <x:v>Central Bank of Yemen — Aden</x:v>
      </x:c>
      <x:c r="H108" s="168" t="str">
        <x:v>Primary administrative and statistical material</x:v>
      </x:c>
      <x:c r="I108" s="168" t="str">
        <x:v>Provides the 2024 publication vintage used to compare the same reference-year remittance and balance-of-payments values across annual-report vintages.</x:v>
      </x:c>
      <x:c r="J108" s="168" t="str">
        <x:v>A value published in this vintage must not be treated as directly comparable with a later restatement without preserving the publication-vintage distinction.</x:v>
      </x:c>
      <x:c r="K108" s="168" t="str">
        <x:v>FULL_PUBLIC_CARD</x:v>
      </x:c>
      <x:c r="L108" s="168" t="str">
        <x:v>التقرير السنوي 2024</x:v>
      </x:c>
      <x:c r="M108" s="168" t="str">
        <x:v>مواد إدارية وإحصائية أولية</x:v>
      </x:c>
      <x:c r="N108" s="168" t="str">
        <x:v>يوفر نسخة النشر لعام 2024 المستخدمة لمقارنة قيم التحويلات وبنود ميزان المدفوعات للسنة المرجعية نفسها عبر نسخ التقارير السنوية.</x:v>
      </x:c>
      <x:c r="O108" s="168" t="str">
        <x:v>لا يجوز التعامل مع قيمة منشورة في هذه النسخة بوصفها قابلة للمقارنة مباشرة مع إعادة عرض لاحقة من دون الحفاظ على فرق نسخة النشر.</x:v>
      </x:c>
      <x:c r="S108" t="str">
        <x:v>NOT_ASSESSED</x:v>
      </x:c>
      <x:c r="Y108" t="str">
        <x:v>البنك المركزي اليمني – عدن</x:v>
      </x:c>
      <x:c r="Z108" t="str">
        <x:v>Annual report</x:v>
      </x:c>
      <x:c r="AA108" t="str">
        <x:v>تقرير سنوي</x:v>
      </x:c>
    </x:row>
    <x:row r="109">
      <x:c r="A109" s="24" t="str">
        <x:v>SRC-IMF-BPM6</x:v>
      </x:c>
      <x:c r="B109" s="24" t="str">
        <x:v>https://data.imf.org/-/media/iData/External-Storage/Documents/73FBCD5B6CDE4D289C60B9B0CAA40622/en/2-bpm6.pdf</x:v>
      </x:c>
      <x:c r="C109" s="24" t="str"/>
      <x:c r="D109" s="24" t="str">
        <x:v>DS-K04-BOP-IIP-RECON-SPEC</x:v>
      </x:c>
      <x:c r="E109" s="24" t="n">
        <x:v>2</x:v>
      </x:c>
      <x:c r="F109" s="168" t="str">
        <x:v>Balance of Payments and International Investment Position Manual, sixth edition (BPM6)</x:v>
      </x:c>
      <x:c r="G109" s="168" t="str">
        <x:v>International Monetary Fund</x:v>
      </x:c>
      <x:c r="H109" s="168"/>
      <x:c r="I109" s="168"/>
      <x:c r="J109" s="168"/>
      <x:c r="K109" s="168" t="str">
        <x:v>CITATION_CARD</x:v>
      </x:c>
      <x:c r="L109" s="168" t="str">
        <x:v>دليل ميزان المدفوعات ووضع الاستثمار الدولي، الطبعة السادسة (BPM6)</x:v>
      </x:c>
      <x:c r="M109" s="168"/>
      <x:c r="N109" s="168"/>
      <x:c r="O109" s="168"/>
      <x:c r="S109" t="str">
        <x:v>NOT_ASSESSED</x:v>
      </x:c>
      <x:c r="W109" t="str">
        <x:v>method/standard</x:v>
      </x:c>
      <x:c r="X109" t="str">
        <x:v>global method reference</x:v>
      </x:c>
      <x:c r="Y109" t="str">
        <x:v>صندوق النقد الدولي</x:v>
      </x:c>
      <x:c r="Z109" t="str">
        <x:v>Method or standard</x:v>
      </x:c>
      <x:c r="AA109" t="str">
        <x:v>منهج أو معيار</x:v>
      </x:c>
    </x:row>
    <x:row r="110">
      <x:c r="A110" s="24" t="str">
        <x:v>SRC-IMF-BPM6-COMP-GUIDE</x:v>
      </x:c>
      <x:c r="B110" s="24" t="str">
        <x:v>https://www.imf.org/external/pubs/ft/bop/2014/pdf/guide.pdf</x:v>
      </x:c>
      <x:c r="C110" s="24" t="str"/>
      <x:c r="D110" s="24" t="str">
        <x:v>DS-K04-BOP-IIP-RECON-SPEC</x:v>
      </x:c>
      <x:c r="E110" s="24" t="n">
        <x:v>2</x:v>
      </x:c>
      <x:c r="F110" s="168" t="str">
        <x:v>Balance of Payments and International Investment Position Compilation Guide (companion to BPM6)</x:v>
      </x:c>
      <x:c r="G110" s="168" t="str">
        <x:v>International Monetary Fund</x:v>
      </x:c>
      <x:c r="H110" s="168"/>
      <x:c r="I110" s="168"/>
      <x:c r="J110" s="168"/>
      <x:c r="K110" s="168" t="str">
        <x:v>CITATION_CARD</x:v>
      </x:c>
      <x:c r="L110" s="168" t="str">
        <x:v>دليل تجميع إحصاءات ميزان المدفوعات ووضع الاستثمار الدولي (المرافق للطبعة السادسة BPM6)</x:v>
      </x:c>
      <x:c r="M110" s="168"/>
      <x:c r="N110" s="168"/>
      <x:c r="O110" s="168"/>
      <x:c r="S110" t="str">
        <x:v>NOT_ASSESSED</x:v>
      </x:c>
      <x:c r="W110" t="str">
        <x:v>method/standard</x:v>
      </x:c>
      <x:c r="X110" t="str">
        <x:v>global method reference</x:v>
      </x:c>
      <x:c r="Y110" t="str">
        <x:v>صندوق النقد الدولي</x:v>
      </x:c>
      <x:c r="Z110" t="str">
        <x:v>Method or standard</x:v>
      </x:c>
      <x:c r="AA110" t="str">
        <x:v>منهج أو معيار</x:v>
      </x:c>
    </x:row>
    <x:row r="111">
      <x:c r="A111" s="24" t="str">
        <x:v>SRC-IMF-BPM7-IMPLEMENTATION</x:v>
      </x:c>
      <x:c r="B111" s="24" t="str">
        <x:v>https://www.imf.org/en/publications/policy-papers/issues/2025/07/10/release-of-new-standards-for-macroeconomic-statistics-bpm7-568453</x:v>
      </x:c>
      <x:c r="C111" s="24" t="str"/>
      <x:c r="D111" s="24" t="str">
        <x:v>DS-K04-BOP-IIP-RECON-SPEC,DS-K04-V035-RECON-GATE</x:v>
      </x:c>
      <x:c r="E111" s="24" t="n">
        <x:v>2</x:v>
      </x:c>
      <x:c r="F111" s="168" t="str">
        <x:v>Release of BPM7 and its implementation strategy (2025)</x:v>
      </x:c>
      <x:c r="G111" s="168" t="str">
        <x:v>International Monetary Fund</x:v>
      </x:c>
      <x:c r="H111" s="168"/>
      <x:c r="I111" s="168"/>
      <x:c r="J111" s="168"/>
      <x:c r="K111" s="168" t="str">
        <x:v>CITATION_CARD</x:v>
      </x:c>
      <x:c r="L111" s="168" t="str">
        <x:v>إصدار الطبعة السابعة من دليل ميزان المدفوعات (BPM7) واستراتيجية تطبيقها (2025)</x:v>
      </x:c>
      <x:c r="M111" s="168"/>
      <x:c r="N111" s="168"/>
      <x:c r="O111" s="168"/>
      <x:c r="S111" t="str">
        <x:v>NOT_ASSESSED</x:v>
      </x:c>
      <x:c r="W111" t="str">
        <x:v>method/standard</x:v>
      </x:c>
      <x:c r="X111" t="str">
        <x:v>global method reference</x:v>
      </x:c>
      <x:c r="Y111" t="str">
        <x:v>صندوق النقد الدولي</x:v>
      </x:c>
      <x:c r="Z111" t="str">
        <x:v>Method or standard</x:v>
      </x:c>
      <x:c r="AA111" t="str">
        <x:v>منهج أو معيار</x:v>
      </x:c>
    </x:row>
    <x:row r="112">
      <x:c r="A112" s="24" t="str">
        <x:v>SRC-IMF-YEM-SMP-2026</x:v>
      </x:c>
      <x:c r="B112" s="24" t="str">
        <x:v>https://www.imf.org/en/news/articles/2026/07/16/pr26249-yemen-imf-reaches-sla-on-new-staff-monitored-program</x:v>
      </x:c>
      <x:c r="C112" s="24" t="str"/>
      <x:c r="D112" s="24" t="str">
        <x:v>DS-K04-CBY-IMF-XWALK-REQUEST,DS-K04-V035-RECON-GATE</x:v>
      </x:c>
      <x:c r="E112" s="24" t="n">
        <x:v>1</x:v>
      </x:c>
      <x:c r="F112" s="168" t="str">
        <x:v>Yemen: staff-level agreement on a proposed Staff-Monitored Program (16 July 2026)</x:v>
      </x:c>
      <x:c r="G112" s="168" t="str">
        <x:v>International Monetary Fund</x:v>
      </x:c>
      <x:c r="H112" s="168" t="str">
        <x:v>Current Yemen macro-financial and reform context</x:v>
      </x:c>
      <x:c r="I112" s="168" t="str">
        <x:v>Provides a dated statement of the reform and macro-financial policy package discussed with IMF staff in July 2026, useful for identifying the state of the reform process without collapsing agreement, implementation and outcome.</x:v>
      </x:c>
      <x:c r="J112" s="168" t="str">
        <x:v>A staff-level agreement on policies that could underpin an SMP is not IMF Board-approved financing and does not establish that the reforms were implemented or produced financial-inclusion outcomes.</x:v>
      </x:c>
      <x:c r="K112" s="168" t="str">
        <x:v>FULL_PUBLIC_CARD</x:v>
      </x:c>
      <x:c r="L112" s="168" t="str">
        <x:v>اليمن: اتفاق على مستوى الخبراء بشأن برنامج مقترح يراقبه خبراء صندوق النقد الدولي (SMP) (16 يوليو 2026)</x:v>
      </x:c>
      <x:c r="M112" s="168" t="str">
        <x:v>السياق الراهن للإصلاح والاقتصاد المالي في اليمن</x:v>
      </x:c>
      <x:c r="N112"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2" s="168" t="str">
        <x:v>لا يمثل الاتفاق على مستوى الخبراء بشأن سياسات يمكن أن يقوم عليها برنامج يخضع لمراقبة الصندوق تمويلًا معتمدًا من مجلس الصندوق، ولا يثبت تنفيذ الإصلاحات أو تحقق نتائج للشمول المالي.</x:v>
      </x:c>
      <x:c r="S112" t="str">
        <x:v>NOT_ASSESSED</x:v>
      </x:c>
      <x:c r="Y112" t="str">
        <x:v>صندوق النقد الدولي</x:v>
      </x:c>
      <x:c r="Z112" t="str">
        <x:v>News release</x:v>
      </x:c>
      <x:c r="AA112" t="str">
        <x:v>بيان صحفي</x:v>
      </x:c>
      <x:c r="AB112" t="str">
        <x:v>2026-07-16</x:v>
      </x:c>
    </x:row>
    <x:row r="113">
      <x:c r="A113" s="24" t="str">
        <x:v>SRC-CCY-REMIT-ESTIMATE-2025</x:v>
      </x:c>
      <x:c r="B113" s="24"/>
      <x:c r="C113" s="24" t="str"/>
      <x:c r="D113" s="24" t="str">
        <x:v>DS-K04-BOP-RESIDUAL-STRESS,DS-K04-SOURCE-DEEP-INTAKE</x:v>
      </x:c>
      <x:c r="E113" s="24" t="n">
        <x:v>2</x:v>
      </x:c>
      <x:c r="F113" s="168"/>
      <x:c r="G113" s="168"/>
      <x:c r="H113" s="168"/>
      <x:c r="I113" s="168"/>
      <x:c r="J113" s="168"/>
      <x:c r="K113" s="168" t="str">
        <x:v>LOCATOR_ONLY</x:v>
      </x:c>
      <x:c r="L113" s="168"/>
      <x:c r="M113" s="168"/>
      <x:c r="N113" s="168"/>
      <x:c r="O113" s="168"/>
      <x:c r="P113" t="str">
        <x:v>USER_PROVIDED_FILE: Remittances in Yemen_Estimates and Impact_CCY.pdf</x:v>
      </x:c>
      <x:c r="S113" t="str">
        <x:v>NOT_ASSESSED</x:v>
      </x:c>
    </x:row>
    <x:row r="114">
      <x:c r="A114" s="24" t="str">
        <x:v>SRC-CCY-SAM-2024</x:v>
      </x:c>
      <x:c r="B114" s="24"/>
      <x:c r="C114" s="24" t="str"/>
      <x:c r="D114" s="24" t="str">
        <x:v>DS-K04-SOURCE-DEEP-INTAKE,DS-K04-CASH-FIN-TRANSMISSION</x:v>
      </x:c>
      <x:c r="E114" s="24" t="n">
        <x:v>2</x:v>
      </x:c>
      <x:c r="F114" s="168"/>
      <x:c r="G114" s="168"/>
      <x:c r="H114" s="168"/>
      <x:c r="I114" s="168"/>
      <x:c r="J114" s="168"/>
      <x:c r="K114" s="168" t="str">
        <x:v>LOCATOR_ONLY</x:v>
      </x:c>
      <x:c r="L114" s="168"/>
      <x:c r="M114" s="168"/>
      <x:c r="N114" s="168"/>
      <x:c r="O114" s="168"/>
      <x:c r="P114" t="str">
        <x:v>USER_PROVIDED_FILE: SAM_Multiplie Effect of Cash Study.pdf</x:v>
      </x:c>
      <x:c r="S114" t="str">
        <x:v>NOT_ASSESSED</x:v>
      </x:c>
    </x:row>
    <x:row r="115">
      <x:c r="A115" s="24" t="str">
        <x:v>SRC-CCY-CASH-DURATION-2026</x:v>
      </x:c>
      <x:c r="B115" s="24"/>
      <x:c r="C115" s="24" t="str"/>
      <x:c r="D115" s="24" t="str">
        <x:v>DS-K04-SOURCE-DEEP-INTAKE,DS-K04-CASH-FIN-TRANSMISSION</x:v>
      </x:c>
      <x:c r="E115" s="24" t="n">
        <x:v>2</x:v>
      </x:c>
      <x:c r="F115" s="168"/>
      <x:c r="G115" s="168"/>
      <x:c r="H115" s="168"/>
      <x:c r="I115" s="168"/>
      <x:c r="J115" s="168"/>
      <x:c r="K115" s="168" t="str">
        <x:v>LOCATOR_ONLY</x:v>
      </x:c>
      <x:c r="L115" s="168"/>
      <x:c r="M115" s="168"/>
      <x:c r="N115" s="168"/>
      <x:c r="O115" s="168"/>
      <x:c r="P115" t="str">
        <x:v>USER_PROVIDED_FILE: Cash Duration Report_CCY_2026.06.22.pdf</x:v>
      </x:c>
      <x:c r="S115" t="str">
        <x:v>NOT_ASSESSED</x:v>
      </x:c>
    </x:row>
    <x:row r="116">
      <x:c r="A116" s="24" t="str">
        <x:v>SRC-CCY-ISP-2024</x:v>
      </x:c>
      <x:c r="B116" s="24"/>
      <x:c r="C116" s="24" t="str"/>
      <x:c r="D116" s="24" t="str">
        <x:v>DS-K04-SOURCE-DEEP-INTAKE,DS-K04-CASH-FIN-TRANSMISSION</x:v>
      </x:c>
      <x:c r="E116" s="24" t="n">
        <x:v>2</x:v>
      </x:c>
      <x:c r="F116" s="168"/>
      <x:c r="G116" s="168"/>
      <x:c r="H116" s="168"/>
      <x:c r="I116" s="168"/>
      <x:c r="J116" s="168"/>
      <x:c r="K116" s="168" t="str">
        <x:v>LOCATOR_ONLY</x:v>
      </x:c>
      <x:c r="L116" s="168"/>
      <x:c r="M116" s="168"/>
      <x:c r="N116" s="168"/>
      <x:c r="O116" s="168"/>
      <x:c r="P116" t="str">
        <x:v>USER_PROVIDED_FILE: The Unseen Assistance_Measuring Informal Social Protection in Yemen.pdf</x:v>
      </x:c>
      <x:c r="S116" t="str">
        <x:v>NOT_ASSESSED</x:v>
      </x:c>
    </x:row>
    <x:row r="117">
      <x:c r="A117" s="24" t="str">
        <x:v>SRC-CCY-AMAL-2025</x:v>
      </x:c>
      <x:c r="B117" s="24"/>
      <x:c r="C117" s="24" t="str"/>
      <x:c r="D117" s="24" t="str">
        <x:v>DS-K04-SOURCE-DEEP-INTAKE,DS-K04-CASH-FIN-TRANSMISSION</x:v>
      </x:c>
      <x:c r="E117" s="24" t="n">
        <x:v>2</x:v>
      </x:c>
      <x:c r="F117" s="168"/>
      <x:c r="G117" s="168"/>
      <x:c r="H117" s="168"/>
      <x:c r="I117" s="168"/>
      <x:c r="J117" s="168"/>
      <x:c r="K117" s="168" t="str">
        <x:v>LOCATOR_ONLY</x:v>
      </x:c>
      <x:c r="L117" s="168"/>
      <x:c r="M117" s="168"/>
      <x:c r="N117" s="168"/>
      <x:c r="O117" s="168"/>
      <x:c r="P117" t="str">
        <x:v>USER_PROVIDED_FILE: AMAL Market Assessment _ Final.pdf</x:v>
      </x:c>
      <x:c r="S117" t="str">
        <x:v>NOT_ASSESSED</x:v>
      </x:c>
    </x:row>
    <x:row r="118">
      <x:c r="A118" s="24" t="str">
        <x:v>SRC-CCY-PRESSURE-2026</x:v>
      </x:c>
      <x:c r="B118" s="24"/>
      <x:c r="C118" s="24" t="str"/>
      <x:c r="D118" s="24" t="str">
        <x:v>DS-K04-SOURCE-DEEP-INTAKE,DS-K04-CASH-FIN-TRANSMISSION</x:v>
      </x:c>
      <x:c r="E118" s="24" t="n">
        <x:v>2</x:v>
      </x:c>
      <x:c r="F118" s="168"/>
      <x:c r="G118" s="168"/>
      <x:c r="H118" s="168"/>
      <x:c r="I118" s="168"/>
      <x:c r="J118" s="168"/>
      <x:c r="K118" s="168" t="str">
        <x:v>LOCATOR_ONLY</x:v>
      </x:c>
      <x:c r="L118" s="168"/>
      <x:c r="M118" s="168"/>
      <x:c r="N118" s="168"/>
      <x:c r="O118" s="168"/>
      <x:c r="P118" t="str">
        <x:v>USER_PROVIDED_FILE: Economic Impact of Iran-US War on Yemen_May 2026.pdf</x:v>
      </x:c>
      <x:c r="S118" t="str">
        <x:v>NOT_ASSESSED</x:v>
      </x:c>
    </x:row>
    <x:row r="119">
      <x:c r="A119" s="24" t="str">
        <x:v>SRC-AIDDATA-SAUDI-YEM-2015</x:v>
      </x:c>
      <x:c r="B119" s="24" t="str">
        <x:v>https://www.aiddata.org/blog/saudi-aid-to-yemen-stability-over-development</x:v>
      </x:c>
      <x:c r="C119" s="24" t="str"/>
      <x:c r="D119" s="24" t="str">
        <x:v>DS-K04-SOURCE-DEEP-INTAKE,DS-K04-SAUDI-SUPPORT-TRANSMISSION</x:v>
      </x:c>
      <x:c r="E119" s="24" t="n">
        <x:v>2</x:v>
      </x:c>
      <x:c r="F119" s="168" t="str">
        <x:v>Saudi aid to Yemen: stability over development? (May 2015)</x:v>
      </x:c>
      <x:c r="G119" s="168" t="str">
        <x:v>AidData</x:v>
      </x:c>
      <x:c r="H119" s="168"/>
      <x:c r="I119" s="168"/>
      <x:c r="J119" s="168"/>
      <x:c r="K119" s="168" t="str">
        <x:v>CITATION_CARD</x:v>
      </x:c>
      <x:c r="L119" s="168" t="str">
        <x:v>المساعدات السعودية لليمن: الاستقرار قبل التنمية؟ (مايو 2015)</x:v>
      </x:c>
      <x:c r="M119" s="168"/>
      <x:c r="N119" s="168"/>
      <x:c r="O119" s="168"/>
      <x:c r="S119" t="str">
        <x:v>NOT_ASSESSED</x:v>
      </x:c>
      <x:c r="Y119" t="str">
        <x:v>AidData</x:v>
      </x:c>
      <x:c r="Z119" t="str">
        <x:v>Research or policy paper</x:v>
      </x:c>
      <x:c r="AA119" t="str">
        <x:v>ورقة بحثية أو سياساتية</x:v>
      </x:c>
      <x:c r="AB119" t="str">
        <x:v>2015-05-08</x:v>
      </x:c>
    </x:row>
    <x:row r="120">
      <x:c r="A120" s="24" t="str">
        <x:v>SRC-WB-RPW-KSA-YEM-2025Q3</x:v>
      </x:c>
      <x:c r="B120" s="24" t="str">
        <x:v>https://remittanceprices.worldbank.org/corridor/Saudi%20Arabia/Yemen</x:v>
      </x:c>
      <x:c r="C120" s="24" t="str"/>
      <x:c r="D120" s="24" t="str">
        <x:v>DS-K04-REMIT-REGIMES,DS-K04-CASH-FIN-TRANSMISSION</x:v>
      </x:c>
      <x:c r="E120" s="24" t="n">
        <x:v>2</x:v>
      </x:c>
      <x:c r="F120" s="168" t="str">
        <x:v>Remittance Prices Worldwide: Saudi Arabia to Yemen corridor (third quarter of 2025)</x:v>
      </x:c>
      <x:c r="G120" s="168" t="str">
        <x:v>World Bank</x:v>
      </x:c>
      <x:c r="H120" s="168"/>
      <x:c r="I120" s="168"/>
      <x:c r="J120" s="168"/>
      <x:c r="K120" s="168" t="str">
        <x:v>CITATION_CARD</x:v>
      </x:c>
      <x:c r="L120" s="168" t="str">
        <x:v>قاعدة بيانات Remittance Prices Worldwide: ممر الحوالات من المملكة العربية السعودية إلى اليمن (الربع الثالث من 2025)</x:v>
      </x:c>
      <x:c r="M120" s="168"/>
      <x:c r="N120" s="168"/>
      <x:c r="O120" s="168"/>
      <x:c r="S120" t="str">
        <x:v>NOT_ASSESSED</x:v>
      </x:c>
      <x:c r="Y120" t="str">
        <x:v>البنك الدولي</x:v>
      </x:c>
      <x:c r="Z120" t="str">
        <x:v>Database or web interface</x:v>
      </x:c>
      <x:c r="AA120" t="str">
        <x:v>قاعدة بيانات أو واجهة إلكترونية</x:v>
      </x:c>
    </x:row>
    <x:row r="121">
      <x:c r="A121" s="24" t="str">
        <x:v>SRC-LIT-XIDIAN-YEM-FI-2025</x:v>
      </x:c>
      <x:c r="B121" s="24" t="str">
        <x:v>https://www.researchgate.net/publication/393091523_The_Reality_of_Financial_Inclusion_and_Crucial_Issues_in_Yemen</x:v>
      </x:c>
      <x:c r="C121" s="24" t="str"/>
      <x:c r="D121" s="24" t="str">
        <x:v>DS-K04-SOURCE-DEEP-INTAKE,DS-K04-LITERATURE-SOURCE-AUDIT</x:v>
      </x:c>
      <x:c r="E121" s="24" t="n">
        <x:v>2</x:v>
      </x:c>
      <x:c r="F121" s="168"/>
      <x:c r="G121" s="168"/>
      <x:c r="H121" s="168"/>
      <x:c r="I121" s="168"/>
      <x:c r="J121" s="168"/>
      <x:c r="K121" s="168" t="str">
        <x:v>LOCATOR_ONLY</x:v>
      </x:c>
      <x:c r="L121" s="168"/>
      <x:c r="M121" s="168"/>
      <x:c r="N121" s="168"/>
      <x:c r="O121" s="168"/>
      <x:c r="S121" t="str">
        <x:v>NOT_ASSESSED</x:v>
      </x:c>
    </x:row>
    <x:row r="122">
      <x:c r="A122" s="24" t="str">
        <x:v>SRC-LIT-INVEST-ISLAMIC-FI-2024</x:v>
      </x:c>
      <x:c r="B122" s="24" t="str">
        <x:v>https://jurnal.iainponorogo.ac.id/index.php/invest/article/view/8340</x:v>
      </x:c>
      <x:c r="C122" s="24" t="str"/>
      <x:c r="D122" s="24" t="str">
        <x:v>DS-K04-SOURCE-DEEP-INTAKE,DS-K04-LITERATURE-SOURCE-AUDIT</x:v>
      </x:c>
      <x:c r="E122" s="24" t="n">
        <x:v>2</x:v>
      </x:c>
      <x:c r="F122" s="168"/>
      <x:c r="G122" s="168"/>
      <x:c r="H122" s="168"/>
      <x:c r="I122" s="168"/>
      <x:c r="J122" s="168"/>
      <x:c r="K122" s="168" t="str">
        <x:v>LOCATOR_ONLY</x:v>
      </x:c>
      <x:c r="L122" s="168"/>
      <x:c r="M122" s="168"/>
      <x:c r="N122" s="168"/>
      <x:c r="O122" s="168"/>
      <x:c r="S122" t="str">
        <x:v>NOT_ASSESSED</x:v>
      </x:c>
    </x:row>
    <x:row r="123">
      <x:c r="A123" s="24" t="str">
        <x:v>SRC-LIT-OEB-FX-PRICES-2025</x:v>
      </x:c>
      <x:c r="B123" s="24" t="str">
        <x:v>https://asjp.cerist.dz/en/article/273259</x:v>
      </x:c>
      <x:c r="C123" s="24" t="str"/>
      <x:c r="D123" s="24" t="str">
        <x:v>DS-K04-SOURCE-DEEP-INTAKE,DS-K04-LITERATURE-SOURCE-AUDIT</x:v>
      </x:c>
      <x:c r="E123" s="24" t="n">
        <x:v>2</x:v>
      </x:c>
      <x:c r="F123" s="168"/>
      <x:c r="G123" s="168"/>
      <x:c r="H123" s="168"/>
      <x:c r="I123" s="168"/>
      <x:c r="J123" s="168"/>
      <x:c r="K123" s="168" t="str">
        <x:v>LOCATOR_ONLY</x:v>
      </x:c>
      <x:c r="L123" s="168"/>
      <x:c r="M123" s="168"/>
      <x:c r="N123" s="168"/>
      <x:c r="O123" s="168"/>
      <x:c r="S123" t="str">
        <x:v>NOT_ASSESSED</x:v>
      </x:c>
    </x:row>
    <x:row r="124">
      <x:c r="A124" s="24" t="str">
        <x:v>SRC-LIT-ALG-FI-COMPARATIVE</x:v>
      </x:c>
      <x:c r="B124" s="24"/>
      <x:c r="C124" s="24" t="str"/>
      <x:c r="D124" s="24" t="str">
        <x:v>DS-K04-LITERATURE-SOURCE-AUDIT</x:v>
      </x:c>
      <x:c r="E124" s="24" t="n">
        <x:v>1</x:v>
      </x:c>
      <x:c r="F124" s="168"/>
      <x:c r="G124" s="168"/>
      <x:c r="H124" s="168"/>
      <x:c r="I124" s="168"/>
      <x:c r="J124" s="168"/>
      <x:c r="K124" s="168" t="str">
        <x:v>LOCATOR_ONLY</x:v>
      </x:c>
      <x:c r="L124" s="168"/>
      <x:c r="M124" s="168"/>
      <x:c r="N124" s="168"/>
      <x:c r="O124" s="168"/>
      <x:c r="P124" t="str">
        <x:v>USER_PROVIDED_FILE: Algeria_Financial_Inclusion_Governance_COMPARATIVE_ONLY.pdf</x:v>
      </x:c>
      <x:c r="S124" t="str">
        <x:v>NOT_ASSESSED</x:v>
      </x:c>
    </x:row>
    <x:row r="125">
      <x:c r="A125" s="24" t="str">
        <x:v>SRC-LIT-IND-FI-TEMPLATE-2023</x:v>
      </x:c>
      <x:c r="B125" s="24"/>
      <x:c r="C125" s="24" t="str"/>
      <x:c r="D125" s="24" t="str">
        <x:v>DS-K04-LITERATURE-SOURCE-AUDIT</x:v>
      </x:c>
      <x:c r="E125" s="24" t="n">
        <x:v>1</x:v>
      </x:c>
      <x:c r="F125" s="168"/>
      <x:c r="G125" s="168"/>
      <x:c r="H125" s="168"/>
      <x:c r="I125" s="168"/>
      <x:c r="J125" s="168"/>
      <x:c r="K125" s="168" t="str">
        <x:v>LOCATOR_ONLY</x:v>
      </x:c>
      <x:c r="L125" s="168"/>
      <x:c r="M125" s="168"/>
      <x:c r="N125" s="168"/>
      <x:c r="O125" s="168"/>
      <x:c r="P125" t="str">
        <x:v>USER_PROVIDED_FILE: REJECTED_AS_YEMEN_EVIDENCE__India_FI_Index_Template_2023.pdf</x:v>
      </x:c>
      <x:c r="S125" t="str">
        <x:v>NOT_ASSESSED</x:v>
      </x:c>
    </x:row>
    <x:row r="126">
      <x:c r="A126" s="24" t="str">
        <x:v>SRC-SANAA-MF-2020</x:v>
      </x:c>
      <x:c r="B126" s="24" t="str">
        <x:v>https://sanaacenter.org/publications/policy-research/9808</x:v>
      </x:c>
      <x:c r="C126" s="24" t="str">
        <x:v>["https://sanaacenter.org/files/Rethinking_Yemens_Economy_No6.pdf"]</x:v>
      </x:c>
      <x:c r="D126" s="24" t="str">
        <x:v>DS-K04-SOURCE-DEEP-INTAKE,DS-K04-LITERATURE-SOURCE-AUDIT,DS-V041-STRICT-COUNSEL</x:v>
      </x:c>
      <x:c r="E126" s="24" t="n">
        <x:v>3</x:v>
      </x:c>
      <x:c r="F126" s="168" t="str">
        <x:v>Microfinance in Yemen: An Overview of Challenges and Opportunities — Rethinking Yemen's Economy No. 6 (April 2020)</x:v>
      </x:c>
      <x:c r="G126" s="168" t="str">
        <x:v>Sana’a Center for Strategic Studies</x:v>
      </x:c>
      <x:c r="H126" s="168"/>
      <x:c r="I126" s="168"/>
      <x:c r="J126" s="168"/>
      <x:c r="K126" s="168" t="str">
        <x:v>CITATION_CARD</x:v>
      </x:c>
      <x:c r="L126" s="168" t="str">
        <x:v>التمويل الأصغر في اليمن: نظرة عامة على التحديات والفرص — سلسلة Rethinking Yemen's Economy، العدد 6 (أبريل 2020)</x:v>
      </x:c>
      <x:c r="M126" s="168"/>
      <x:c r="N126" s="168"/>
      <x:c r="O126" s="168"/>
      <x:c r="S126" t="str">
        <x:v>NOT_ASSESSED</x:v>
      </x:c>
      <x:c r="Y126" t="str">
        <x:v>مركز صنعاء للدراسات الاستراتيجية</x:v>
      </x:c>
      <x:c r="Z126" t="str">
        <x:v>Research or policy paper</x:v>
      </x:c>
      <x:c r="AA126" t="str">
        <x:v>ورقة بحثية أو سياساتية</x:v>
      </x:c>
      <x:c r="AB126" t="str">
        <x:v>2020-04-30</x:v>
      </x:c>
    </x:row>
    <x:row r="127">
      <x:c r="A127" s="24" t="str">
        <x:v>SRC-SANAA-EMONEY-2022</x:v>
      </x:c>
      <x:c r="B127" s="24" t="str">
        <x:v>https://sanaacenter.org/publications/policy-research/16974</x:v>
      </x:c>
      <x:c r="C127" s="24" t="str"/>
      <x:c r="D127" s="24" t="str">
        <x:v>DS-K04-SOURCE-DEEP-INTAKE,DS-K04-LITERATURE-SOURCE-AUDIT,DS-K04-CAUSEWAY-READING-002</x:v>
      </x:c>
      <x:c r="E127" s="24" t="n">
        <x:v>3</x:v>
      </x:c>
      <x:c r="F127" s="168" t="str">
        <x:v>Challenges and Prospects for Electronic Money and Payment Systems in Yemen</x:v>
      </x:c>
      <x:c r="G127" s="168" t="str">
        <x:v>Sana’a Center for Strategic Studies</x:v>
      </x:c>
      <x:c r="H127" s="168" t="str">
        <x:v>Yemen analytical literature and sector context</x:v>
      </x:c>
      <x:c r="I127" s="168" t="str">
        <x:v>Provides Yemen-specific analytical context on e-money regulation, provider models, payment infrastructure and institutional fragmentation. It is useful for interpreting the historical pathway to today’s payment reforms and for generating verification questions against primary regulatory sources.</x:v>
      </x:c>
      <x:c r="J127" s="168" t="str">
        <x:v>This 2022 analytical paper does not establish current law, current provider operating status, current adoption, or national financial-inclusion prevalence.</x:v>
      </x:c>
      <x:c r="K127" s="168" t="str">
        <x:v>FULL_PUBLIC_CARD</x:v>
      </x:c>
      <x:c r="L127" s="168" t="str">
        <x:v>تحديات وآفاق النقود الإلكترونية وأنظمة الدفع في اليمن</x:v>
      </x:c>
      <x:c r="M127" s="168" t="str">
        <x:v>الأدبيات والتحليلات القطاعية الخاصة باليمن</x:v>
      </x:c>
      <x:c r="N127" s="168" t="str">
        <x:v>يوفر سياقًا تحليليًا خاصًا باليمن حول تنظيم النقود الإلكترونية ونماذج مقدمي الخدمات وبنية المدفوعات والانقسام المؤسسي. ويفيد في تفسير المسار التاريخي المؤدي إلى إصلاحات المدفوعات الحالية وفي توليد أسئلة للتحقق من المصادر التنظيمية الأصلية.</x:v>
      </x:c>
      <x:c r="O127"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27" t="str">
        <x:v>NOT_ASSESSED</x:v>
      </x:c>
      <x:c r="Y127" t="str">
        <x:v>مركز صنعاء للدراسات الاستراتيجية</x:v>
      </x:c>
      <x:c r="Z127" t="str">
        <x:v>Research or policy paper</x:v>
      </x:c>
      <x:c r="AA127" t="str">
        <x:v>ورقة بحثية أو سياساتية</x:v>
      </x:c>
    </x:row>
    <x:row r="128">
      <x:c r="A128" s="24" t="str">
        <x:v>SRC-SANAA-MFB-2024</x:v>
      </x:c>
      <x:c r="B128" s="24" t="str">
        <x:v>https://sanaacenter.org/publications/policy-research/23418</x:v>
      </x:c>
      <x:c r="C128" s="24" t="str"/>
      <x:c r="D128" s="24" t="str">
        <x:v>DS-K04-SOURCE-DEEP-INTAKE,DS-K04-LITERATURE-SOURCE-AUDIT,DS-K04-CAUSEWAY-READING-002,DS-K04-MFB2023-RECON,DS-K04-MFB-TRANSFORM-LENS,DS-K04-CAUSEWAY-READING-003</x:v>
      </x:c>
      <x:c r="E128" s="24" t="n">
        <x:v>8</x:v>
      </x:c>
      <x:c r="F128" s="168" t="str">
        <x:v>Enhancing the Role of Microfinance Banks for Sustainable Impact in Yemen (2024)</x:v>
      </x:c>
      <x:c r="G128" s="168" t="str">
        <x:v>Sana’a Center for Strategic Studies</x:v>
      </x:c>
      <x:c r="H128" s="168" t="str">
        <x:v>Yemen analytical literature and sector context</x:v>
      </x:c>
      <x:c r="I128" s="168" t="str">
        <x:v>Provides Yemen-specific analysis of the changing microfinance-bank landscape, licensing incentives, institutional fragmentation and sustainability risks. It is useful for interpreting provider and microfinance evidence and for triangulating questions that require primary supervisory or institution-level data.</x:v>
      </x:c>
      <x:c r="J128" s="168" t="str">
        <x:v>The policy brief is not a current sector census, does not establish whether a named institution is operating now, and does not provide a national finance-access rate or causal impact estimate.</x:v>
      </x:c>
      <x:c r="K128" s="168" t="str">
        <x:v>FULL_PUBLIC_CARD</x:v>
      </x:c>
      <x:c r="L128" s="168" t="str">
        <x:v>تعزيز دور بنوك التمويل الأصغر لتحقيق أثر مستدام في اليمن (2024)</x:v>
      </x:c>
      <x:c r="M128" s="168" t="str">
        <x:v>الأدبيات والتحليلات القطاعية الخاصة باليمن</x:v>
      </x:c>
      <x:c r="N128"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28" s="168" t="str">
        <x:v>لا تمثل الورقة موجزًا إحصائيًا راهنًا للقطاع، ولا تثبت أن مؤسسة مسماة تعمل حاليًا، ولا تقدم معدلًا وطنيًا للوصول إلى التمويل أو تقديرًا سببيًا للأثر.</x:v>
      </x:c>
      <x:c r="S128" t="str">
        <x:v>NOT_ASSESSED</x:v>
      </x:c>
      <x:c r="Y128" t="str">
        <x:v>مركز صنعاء للدراسات الاستراتيجية</x:v>
      </x:c>
      <x:c r="Z128" t="str">
        <x:v>Research or policy paper</x:v>
      </x:c>
      <x:c r="AA128" t="str">
        <x:v>ورقة بحثية أو سياساتية</x:v>
      </x:c>
      <x:c r="AB128" t="str">
        <x:v>2024</x:v>
      </x:c>
    </x:row>
    <x:row r="129">
      <x:c r="A129" s="24" t="str">
        <x:v>SRC-MDPI-UTAUT-YEM-2022</x:v>
      </x:c>
      <x:c r="B129" s="24" t="str">
        <x:v>https://www.mdpi.com/2227-7099/10/10/259</x:v>
      </x:c>
      <x:c r="C129" s="24" t="str"/>
      <x:c r="D129" s="24" t="str">
        <x:v>DS-K04-SOURCE-DEEP-INTAKE,DS-K04-LITERATURE-SOURCE-AUDIT,DS-K04-CAUSEWAY-READING-002</x:v>
      </x:c>
      <x:c r="E129" s="24" t="n">
        <x:v>3</x:v>
      </x:c>
      <x:c r="F129" s="168" t="str">
        <x:v>Intention to Use E-Payments from the Perspective of the Unified Theory of Acceptance and Use of Technology (UTAUT): Evidence from Yemen (October 2022)</x:v>
      </x:c>
      <x:c r="G129" s="168" t="str">
        <x:v>Economies (MDPI)</x:v>
      </x:c>
      <x:c r="H129" s="168"/>
      <x:c r="I129" s="168"/>
      <x:c r="J129" s="168"/>
      <x:c r="K129" s="168" t="str">
        <x:v>CITATION_CARD</x:v>
      </x:c>
      <x:c r="L129" s="168" t="str">
        <x:v>نية استخدام المدفوعات الإلكترونية من منظور النظرية الموحدة لقبول التكنولوجيا واستخدامها (UTAUT): أدلة من اليمن (أكتوبر 2022)</x:v>
      </x:c>
      <x:c r="M129" s="168"/>
      <x:c r="N129" s="168"/>
      <x:c r="O129" s="168"/>
      <x:c r="S129" t="str">
        <x:v>NOT_ASSESSED</x:v>
      </x:c>
      <x:c r="Y129" t="str">
        <x:v>مجلة Economies (الناشر MDPI)</x:v>
      </x:c>
      <x:c r="Z129" t="str">
        <x:v>Research or policy paper</x:v>
      </x:c>
      <x:c r="AA129" t="str">
        <x:v>ورقة بحثية أو سياساتية</x:v>
      </x:c>
      <x:c r="AB129" t="str">
        <x:v>2022-10-18</x:v>
      </x:c>
    </x:row>
    <x:row r="130">
      <x:c r="A130" s="24" t="str">
        <x:v>SRC-IBS-EPAY-YEM-2020</x:v>
      </x:c>
      <x:c r="B130" s="24" t="str">
        <x:v>https://www.findevgateway.org/paper/2020/10/electronic-payment-services-yemen-challenges-and-opportunities-success</x:v>
      </x:c>
      <x:c r="C130"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0" s="24" t="str">
        <x:v>DS-K04-SOURCE-DEEP-INTAKE,DS-K04-LITERATURE-SOURCE-AUDIT,DS-K04-IBS2020-UPSTREAM,DS-K04-IBS2020-RECON</x:v>
      </x:c>
      <x:c r="E130" s="24" t="n">
        <x:v>4</x:v>
      </x:c>
      <x:c r="F130" s="168" t="str">
        <x:v>Electronic Payment Services in Yemen: Challenges and Opportunities for Success (October 2020)</x:v>
      </x:c>
      <x:c r="G130" s="168" t="str">
        <x:v>Institute of Banking Studies (IBS)</x:v>
      </x:c>
      <x:c r="H130" s="168"/>
      <x:c r="I130" s="168"/>
      <x:c r="J130" s="168"/>
      <x:c r="K130" s="168" t="str">
        <x:v>CITATION_CARD</x:v>
      </x:c>
      <x:c r="L130" s="168" t="str">
        <x:v>خدمات الدفع الإلكتروني في اليمن: التحديات وفرص النجاح (أكتوبر 2020)</x:v>
      </x:c>
      <x:c r="M130" s="168"/>
      <x:c r="N130" s="168"/>
      <x:c r="O130" s="168"/>
      <x:c r="S130" t="str">
        <x:v>NOT_ASSESSED</x:v>
      </x:c>
      <x:c r="Y130" t="str">
        <x:v>معهد الدراسات المصرفية</x:v>
      </x:c>
      <x:c r="Z130" t="str">
        <x:v>Research or policy paper</x:v>
      </x:c>
      <x:c r="AA130" t="str">
        <x:v>ورقة بحثية أو سياساتية</x:v>
      </x:c>
      <x:c r="AB130" t="str">
        <x:v>2020-10</x:v>
      </x:c>
    </x:row>
    <x:row r="131">
      <x:c r="A131" s="24" t="str">
        <x:v>SRC-ADEN-CBY-LIQ-2016</x:v>
      </x:c>
      <x:c r="B131" s="24" t="str">
        <x:v>https://search.mandumah.com/Record/932295</x:v>
      </x:c>
      <x:c r="C131" s="24" t="str"/>
      <x:c r="D131" s="24" t="str">
        <x:v>DS-K04-SOURCE-DEEP-INTAKE,DS-K04-LITERATURE-SOURCE-AUDIT</x:v>
      </x:c>
      <x:c r="E131" s="24" t="n">
        <x:v>2</x:v>
      </x:c>
      <x:c r="F131" s="168"/>
      <x:c r="G131" s="168"/>
      <x:c r="H131" s="168"/>
      <x:c r="I131" s="168"/>
      <x:c r="J131" s="168"/>
      <x:c r="K131" s="168" t="str">
        <x:v>LOCATOR_ONLY</x:v>
      </x:c>
      <x:c r="L131" s="168"/>
      <x:c r="M131" s="168"/>
      <x:c r="N131" s="168"/>
      <x:c r="O131" s="168"/>
      <x:c r="S131" t="str">
        <x:v>NOT_ASSESSED</x:v>
      </x:c>
    </x:row>
    <x:row r="132">
      <x:c r="A132" s="24" t="str">
        <x:v>SRC-SFD-SMED-LP-2023-NOV</x:v>
      </x:c>
      <x:c r="B132" s="24" t="str">
        <x:v>https://smed.sfd-yemen.org/index.php/en/blog-4/aaflp1/477-nov-2023</x:v>
      </x:c>
      <x:c r="C132" s="24" t="str"/>
      <x:c r="D132" s="24" t="str">
        <x:v>DS-K04-MFB2023-RECON,DS-K04-MFB-TRANSFORM-LENS</x:v>
      </x:c>
      <x:c r="E132" s="24" t="n">
        <x:v>2</x:v>
      </x:c>
      <x:c r="F132" s="168" t="str">
        <x:v>Small and Microenterprise Development (SMED) loan portfolio archive: November 2023 page</x:v>
      </x:c>
      <x:c r="G132" s="168" t="str">
        <x:v>Social Fund for Development (SFD)</x:v>
      </x:c>
      <x:c r="H132" s="168"/>
      <x:c r="I132" s="168"/>
      <x:c r="J132" s="168"/>
      <x:c r="K132" s="168" t="str">
        <x:v>CITATION_CARD</x:v>
      </x:c>
      <x:c r="L132" s="168" t="str">
        <x:v>أرشيف المحفظة الإقراضية لوحدة تنمية المنشآت الصغيرة والأصغر (SMED): صفحة نوفمبر 2023</x:v>
      </x:c>
      <x:c r="M132" s="168"/>
      <x:c r="N132" s="168"/>
      <x:c r="O132" s="168"/>
      <x:c r="S132" t="str">
        <x:v>NOT_ASSESSED</x:v>
      </x:c>
      <x:c r="Y132" t="str">
        <x:v>الصندوق الاجتماعي للتنمية</x:v>
      </x:c>
      <x:c r="Z132" t="str">
        <x:v>Database or web interface</x:v>
      </x:c>
      <x:c r="AA132" t="str">
        <x:v>قاعدة بيانات أو واجهة إلكترونية</x:v>
      </x:c>
    </x:row>
    <x:row r="133">
      <x:c r="A133" s="24" t="str">
        <x:v>SRC-MOPIC-YSEU-2023-080</x:v>
      </x:c>
      <x:c r="B133" s="24"/>
      <x:c r="C133" s="24" t="str"/>
      <x:c r="D133" s="24" t="str">
        <x:v>DS-K04-MFB2023-RECON — primary public locator unresolved; retain only as bounded cited dependency until source is recovered</x:v>
      </x:c>
      <x:c r="E133" s="24" t="n">
        <x:v>1</x:v>
      </x:c>
      <x:c r="F133" s="168"/>
      <x:c r="G133" s="168"/>
      <x:c r="H133" s="168"/>
      <x:c r="I133" s="168"/>
      <x:c r="J133" s="168"/>
      <x:c r="K133" s="168" t="str">
        <x:v>LOCATOR_ONLY</x:v>
      </x:c>
      <x:c r="L133" s="168"/>
      <x:c r="M133" s="168"/>
      <x:c r="N133" s="168"/>
      <x:c r="O133" s="168"/>
      <x:c r="S133" t="str">
        <x:v>NOT_ASSESSED</x:v>
      </x:c>
    </x:row>
    <x:row r="134">
      <x:c r="A134" s="24" t="str">
        <x:v>SRC-SANAA-SOCPROT-2024</x:v>
      </x:c>
      <x:c r="B134" s="24" t="str">
        <x:v>https://sanaacenter.org/publications/policy-research/22910</x:v>
      </x:c>
      <x:c r="C134" s="24" t="str"/>
      <x:c r="D134" s="24" t="str">
        <x:v>DS-K04-MFB2023-RECON,DS-K04-CAUSEWAY-READING-003</x:v>
      </x:c>
      <x:c r="E134" s="24" t="n">
        <x:v>2</x:v>
      </x:c>
      <x:c r="F134" s="168" t="str">
        <x:v>From Vulnerability to Empowerment: The Future of Social Protection in Yemen (July 2024)</x:v>
      </x:c>
      <x:c r="G134" s="168" t="str">
        <x:v>Sana’a Center for Strategic Studies</x:v>
      </x:c>
      <x:c r="H134" s="168"/>
      <x:c r="I134" s="168"/>
      <x:c r="J134" s="168"/>
      <x:c r="K134" s="168" t="str">
        <x:v>CITATION_CARD</x:v>
      </x:c>
      <x:c r="L134" s="168" t="str">
        <x:v>من الهشاشة إلى التمكين: مستقبل الحماية الاجتماعية في اليمن (يوليو 2024)</x:v>
      </x:c>
      <x:c r="M134" s="168"/>
      <x:c r="N134" s="168"/>
      <x:c r="O134" s="168"/>
      <x:c r="S134" t="str">
        <x:v>NOT_ASSESSED</x:v>
      </x:c>
      <x:c r="Y134" t="str">
        <x:v>مركز صنعاء للدراسات الاستراتيجية</x:v>
      </x:c>
      <x:c r="Z134" t="str">
        <x:v>Research or policy paper</x:v>
      </x:c>
      <x:c r="AA134" t="str">
        <x:v>ورقة بحثية أو سياساتية</x:v>
      </x:c>
      <x:c r="AB134" t="str">
        <x:v>2024-07-09</x:v>
      </x:c>
    </x:row>
    <x:row r="135">
      <x:c r="A135" s="24" t="str">
        <x:v>SRC-SANAA-YR-2025-Q2-MFB</x:v>
      </x:c>
      <x:c r="B135" s="24" t="str">
        <x:v>https://sanaacenter.org/the-yemen-review/april-june-2025/25056</x:v>
      </x:c>
      <x:c r="C135" s="24" t="str"/>
      <x:c r="D135" s="24" t="str">
        <x:v>DS-K04-MFB2023-RECON,DS-K04-CAUSEWAY-READING-003</x:v>
      </x:c>
      <x:c r="E135" s="24" t="n">
        <x:v>1</x:v>
      </x:c>
      <x:c r="F135" s="168" t="str">
        <x:v>The Economy — The Yemen Review Quarterly: April–June 2025 (July 2025)</x:v>
      </x:c>
      <x:c r="G135" s="168" t="str">
        <x:v>Sana’a Center for Strategic Studies</x:v>
      </x:c>
      <x:c r="H135" s="168"/>
      <x:c r="I135" s="168"/>
      <x:c r="J135" s="168"/>
      <x:c r="K135" s="168" t="str">
        <x:v>CITATION_CARD</x:v>
      </x:c>
      <x:c r="L135" s="168" t="str">
        <x:v>باب الاقتصاد في التقرير الفصلي The Yemen Review: أبريل–يونيو 2025 (يوليو 2025)</x:v>
      </x:c>
      <x:c r="M135" s="168"/>
      <x:c r="N135" s="168"/>
      <x:c r="O135" s="168"/>
      <x:c r="S135" t="str">
        <x:v>NOT_ASSESSED</x:v>
      </x:c>
      <x:c r="Y135" t="str">
        <x:v>مركز صنعاء للدراسات الاستراتيجية</x:v>
      </x:c>
      <x:c r="Z135" t="str">
        <x:v>Newsletter</x:v>
      </x:c>
      <x:c r="AA135" t="str">
        <x:v>نشرة دورية</x:v>
      </x:c>
      <x:c r="AB135" t="str">
        <x:v>2025-07-22</x:v>
      </x:c>
    </x:row>
    <x:row r="136">
      <x:c r="A136" s="24" t="str">
        <x:v>SRC-SMEPS-AR2024-2025</x:v>
      </x:c>
      <x:c r="B136" s="24" t="str">
        <x:v>https://smeps.org.ye/post/85</x:v>
      </x:c>
      <x:c r="C136" s="24" t="str">
        <x:v>["https://smeps.org.ye/upfiles/posts/SMEPS_File_08-10-2025-44011.pdf"]</x:v>
      </x:c>
      <x:c r="D136" s="24" t="str">
        <x:v>DS-SMEPS-2024-PROGRAMME-EVIDENCE</x:v>
      </x:c>
      <x:c r="E136" s="24" t="n">
        <x:v>28</x:v>
      </x:c>
      <x:c r="F136" s="168" t="str">
        <x:v>Small and Micro Enterprise Promotion Service (SMEPS) Annual Report 2024</x:v>
      </x:c>
      <x:c r="G136" s="168" t="str">
        <x:v>Small and Micro Enterprise Promotion Service (SMEPS)</x:v>
      </x:c>
      <x:c r="H136" s="168"/>
      <x:c r="I136" s="168"/>
      <x:c r="J136" s="168"/>
      <x:c r="K136" s="168" t="str">
        <x:v>CITATION_CARD</x:v>
      </x:c>
      <x:c r="L136" s="168" t="str">
        <x:v>التقرير السنوي لوكالة تنمية المنشآت الصغيرة والأصغر (SMEPS) لعام 2024</x:v>
      </x:c>
      <x:c r="M136" s="168"/>
      <x:c r="N136" s="168"/>
      <x:c r="O136" s="168"/>
      <x:c r="S136" t="str">
        <x:v>NOT_ASSESSED</x:v>
      </x:c>
      <x:c r="Y136" t="str">
        <x:v>وكالة تنمية المنشآت الصغيرة والأصغر</x:v>
      </x:c>
      <x:c r="Z136" t="str">
        <x:v>Annual report</x:v>
      </x:c>
      <x:c r="AA136" t="str">
        <x:v>تقرير سنوي</x:v>
      </x:c>
    </x:row>
    <x:row r="137">
      <x:c r="A137" s="24" t="str">
        <x:v>SRC-UNDP-FMIIP-001</x:v>
      </x:c>
      <x:c r="B137" s="24" t="str">
        <x:v>https://www.undp.org/yemen/projects/yemen-financial-market-infrastructure-and-inclusion-project</x:v>
      </x:c>
      <x:c r="C137" s="24" t="str">
        <x:v>["https://www.undp.org/ar/yemen/projects/mshrw-albnyt-althtyt-llaswaq-walshmwl-almaly-fy-alymn-fmiip"]</x:v>
      </x:c>
      <x:c r="D137" s="24" t="str">
        <x:v>DS-FMIIP-PROJECT-RESULTS, DS-FMIIP-IMPLEMENTATION-2026, 49_METRIC_CROSSWALK</x:v>
      </x:c>
      <x:c r="E137" s="24" t="n">
        <x:v>1</x:v>
      </x:c>
      <x:c r="F137" s="168" t="str">
        <x:v>Yemen Financial Market Infrastructure and Inclusion Project (FMIIP): implementation overview (2025–2030)</x:v>
      </x:c>
      <x:c r="G137" s="168" t="str">
        <x:v>United Nations Development Programme (UNDP)</x:v>
      </x:c>
      <x:c r="H137" s="168" t="str">
        <x:v>Current Yemen payment-infrastructure programmes</x:v>
      </x:c>
      <x:c r="I137" s="168" t="str">
        <x:v>Official implementation overview for FMIIP, including the distinct FPS, RTGS/core-banking, access-and-use, and project-management components and the project's published result targets.</x:v>
      </x:c>
      <x:c r="J137" s="168" t="str">
        <x:v>Project design, funding, targets or implementation activity do not by themselves establish full go-live, reliable operation, adoption, unique active users or a financial-inclusion outcome.</x:v>
      </x:c>
      <x:c r="K137" s="168" t="str">
        <x:v>FULL_PUBLIC_CARD</x:v>
      </x:c>
      <x:c r="L137" s="168" t="str">
        <x:v>مشروع البنية التحتية للأسواق المالية والشمول المالي في اليمن (FMIIP): نظرة عامة على التنفيذ (2025–2030)</x:v>
      </x:c>
      <x:c r="M137" s="168" t="str">
        <x:v>برامج البنية التحتية للمدفوعات الجارية في اليمن</x:v>
      </x:c>
      <x:c r="N137" s="168" t="str">
        <x:v>المرجع الرسمي لعرض 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37"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37" t="str">
        <x:v>NOT_ASSESSED</x:v>
      </x:c>
      <x:c r="Y137" t="str">
        <x:v>برنامج الأمم المتحدة الإنمائي</x:v>
      </x:c>
      <x:c r="Z137" t="str">
        <x:v>Event or programme page</x:v>
      </x:c>
      <x:c r="AA137" t="str">
        <x:v>صفحة فعالية أو برنامج</x:v>
      </x:c>
    </x:row>
    <x:row r="138">
      <x:c r="A138" s="24" t="str">
        <x:v>SRC-WB-YEM-OUTLOOK-2016-001</x:v>
      </x:c>
      <x:c r="B138" s="24" t="str">
        <x:v>https://www.worldbank.org/en/country/yemen/publication/economic-outlook-spring-2016</x:v>
      </x:c>
      <x:c r="C138" s="24" t="str"/>
      <x:c r="D138" s="24" t="str">
        <x:v>DS-V4R3-SYSTEM-CHRONOLOGY</x:v>
      </x:c>
      <x:c r="E138" s="24" t="n">
        <x:v>2</x:v>
      </x:c>
      <x:c r="F138" s="168" t="str">
        <x:v>Yemen's Economic Outlook, Spring 2016</x:v>
      </x:c>
      <x:c r="G138" s="168" t="str">
        <x:v>World Bank</x:v>
      </x:c>
      <x:c r="H138" s="168"/>
      <x:c r="I138" s="168"/>
      <x:c r="J138" s="168"/>
      <x:c r="K138" s="168" t="str">
        <x:v>CITATION_CARD</x:v>
      </x:c>
      <x:c r="L138" s="168" t="str">
        <x:v>الآفاق الاقتصادية لليمن، ربيع 2016</x:v>
      </x:c>
      <x:c r="M138" s="168"/>
      <x:c r="N138" s="168"/>
      <x:c r="O138" s="168"/>
      <x:c r="S138" t="str">
        <x:v>NOT_ASSESSED</x:v>
      </x:c>
      <x:c r="Y138" t="str">
        <x:v>البنك الدولي</x:v>
      </x:c>
      <x:c r="Z138" t="str">
        <x:v>Research or policy paper</x:v>
      </x:c>
      <x:c r="AA138" t="str">
        <x:v>ورقة بحثية أو سياساتية</x:v>
      </x:c>
      <x:c r="AB138" t="str">
        <x:v>2016</x:v>
      </x:c>
    </x:row>
    <x:row r="139">
      <x:c r="A139" s="24" t="str">
        <x:v>SRC-WB-YEM-MONITOR-FALL2018-001</x:v>
      </x:c>
      <x:c r="B139" s="24" t="str">
        <x:v>https://documents1.worldbank.org/curated/en/508301539801659212/pdf/130967-REVISED-BRI-PUBLIC-Disclosed-10-19-2018.pdf</x:v>
      </x:c>
      <x:c r="C139" s="24" t="str">
        <x:v>["https://documents1.worldbank.org/curated/en/860331539801787860/pdf/130967-REVISED-BRI-ARABIC-PUBLIC-Disclosed-10-19-2018.pdf"]</x:v>
      </x:c>
      <x:c r="D139" s="24" t="str">
        <x:v>DS-V4R3-SYSTEM-CHRONOLOGY</x:v>
      </x:c>
      <x:c r="E139" s="24" t="n">
        <x:v>1</x:v>
      </x:c>
      <x:c r="F139" s="168" t="str">
        <x:v>Yemen Economic Monitoring Brief, Fall 2018</x:v>
      </x:c>
      <x:c r="G139" s="168" t="str">
        <x:v>World Bank</x:v>
      </x:c>
      <x:c r="H139" s="168"/>
      <x:c r="I139" s="168"/>
      <x:c r="J139" s="168"/>
      <x:c r="K139" s="168" t="str">
        <x:v>CITATION_CARD</x:v>
      </x:c>
      <x:c r="L139" s="168" t="str">
        <x:v>موجز الرصد الاقتصادي لليمن، خريف 2018</x:v>
      </x:c>
      <x:c r="M139" s="168"/>
      <x:c r="N139" s="168"/>
      <x:c r="O139" s="168"/>
      <x:c r="S139" t="str">
        <x:v>NOT_ASSESSED</x:v>
      </x:c>
      <x:c r="Y139" t="str">
        <x:v>البنك الدولي</x:v>
      </x:c>
      <x:c r="Z139" t="str">
        <x:v>Research or policy paper</x:v>
      </x:c>
      <x:c r="AA139" t="str">
        <x:v>ورقة بحثية أو سياساتية</x:v>
      </x:c>
      <x:c r="AB139" t="str">
        <x:v>2018</x:v>
      </x:c>
    </x:row>
    <x:row r="140">
      <x:c r="A140" s="24" t="str">
        <x:v>SRC-SPA-SAU-CBY-DEPOSIT-2018-001</x:v>
      </x:c>
      <x:c r="B140" s="24" t="str">
        <x:v>https://www.spa.gov.sa/w643267</x:v>
      </x:c>
      <x:c r="C140" s="24" t="str">
        <x:v>["https://www.spa.gov.sa/1739575"]</x:v>
      </x:c>
      <x:c r="D140" s="24" t="str">
        <x:v>DS-V4R3-SYSTEM-CHRONOLOGY</x:v>
      </x:c>
      <x:c r="E140" s="24" t="n">
        <x:v>1</x:v>
      </x:c>
      <x:c r="F140" s="168" t="str">
        <x:v>Saudi directive and agreement on a US$2 billion deposit to the Central Bank of Yemen (January–March 2018)</x:v>
      </x:c>
      <x:c r="G140" s="168" t="str">
        <x:v>Saudi Press Agency</x:v>
      </x:c>
      <x:c r="H140" s="168"/>
      <x:c r="I140" s="168"/>
      <x:c r="J140" s="168"/>
      <x:c r="K140" s="168" t="str">
        <x:v>CITATION_CARD</x:v>
      </x:c>
      <x:c r="L140" s="168" t="str">
        <x:v>توجيه سعودي واتفاقية بشأن وديعة بقيمة ملياري دولار في البنك المركزي اليمني (يناير–مارس 2018)</x:v>
      </x:c>
      <x:c r="M140" s="168"/>
      <x:c r="N140" s="168"/>
      <x:c r="O140" s="168"/>
      <x:c r="S140" t="str">
        <x:v>NOT_ASSESSED</x:v>
      </x:c>
      <x:c r="Y140" t="str">
        <x:v>وكالة الأنباء السعودية</x:v>
      </x:c>
      <x:c r="Z140" t="str">
        <x:v>News release</x:v>
      </x:c>
      <x:c r="AA140" t="str">
        <x:v>بيان صحفي</x:v>
      </x:c>
    </x:row>
    <x:row r="141">
      <x:c r="A141" s="24" t="str">
        <x:v>SRC-WB-YEM-MEU-2019-12-001</x:v>
      </x:c>
      <x:c r="B141" s="24" t="str">
        <x:v>https://documents1.worldbank.org/curated/en/812731581364170917/pdf/Yemen-Monthly-Economic-Update-December-2019.pdf</x:v>
      </x:c>
      <x:c r="C141" s="24" t="str"/>
      <x:c r="D141" s="24" t="str">
        <x:v>DS-V4R3-SYSTEM-CHRONOLOGY</x:v>
      </x:c>
      <x:c r="E141" s="24" t="n">
        <x:v>1</x:v>
      </x:c>
      <x:c r="F141" s="168" t="str">
        <x:v>Yemen Monthly Economic Update, December 2019</x:v>
      </x:c>
      <x:c r="G141" s="168" t="str">
        <x:v>World Bank</x:v>
      </x:c>
      <x:c r="H141" s="168"/>
      <x:c r="I141" s="168"/>
      <x:c r="J141" s="168"/>
      <x:c r="K141" s="168" t="str">
        <x:v>CITATION_CARD</x:v>
      </x:c>
      <x:c r="L141" s="168" t="str">
        <x:v>التحديث الاقتصادي الشهري لليمن، ديسمبر 2019</x:v>
      </x:c>
      <x:c r="M141" s="168"/>
      <x:c r="N141" s="168"/>
      <x:c r="O141" s="168"/>
      <x:c r="S141" t="str">
        <x:v>NOT_ASSESSED</x:v>
      </x:c>
      <x:c r="Y141" t="str">
        <x:v>البنك الدولي</x:v>
      </x:c>
      <x:c r="Z141" t="str">
        <x:v>Research or policy paper</x:v>
      </x:c>
      <x:c r="AA141" t="str">
        <x:v>ورقة بحثية أو سياساتية</x:v>
      </x:c>
      <x:c r="AB141" t="str">
        <x:v>2019-12</x:v>
      </x:c>
    </x:row>
    <x:row r="142">
      <x:c r="A142" s="24" t="str">
        <x:v>SRC-WB-YEM-ECON-2020-04-001</x:v>
      </x:c>
      <x:c r="B142" s="24" t="str">
        <x:v>https://www.worldbank.org/en/country/yemen/publication/economic-update-april-2020</x:v>
      </x:c>
      <x:c r="C142" s="24" t="str">
        <x:v>["https://documents1.worldbank.org/curated/en/306471584593583827/pdf/Yemen-Monthly-Economic-Update-February-2020.pdf"]</x:v>
      </x:c>
      <x:c r="D142" s="24" t="str">
        <x:v>DS-V4R3-SYSTEM-CHRONOLOGY</x:v>
      </x:c>
      <x:c r="E142" s="24" t="n">
        <x:v>1</x:v>
      </x:c>
      <x:c r="F142" s="168" t="str">
        <x:v>Yemen's Economic Update, April 2020</x:v>
      </x:c>
      <x:c r="G142" s="168" t="str">
        <x:v>World Bank</x:v>
      </x:c>
      <x:c r="H142" s="168"/>
      <x:c r="I142" s="168"/>
      <x:c r="J142" s="168"/>
      <x:c r="K142" s="168" t="str">
        <x:v>CITATION_CARD</x:v>
      </x:c>
      <x:c r="L142" s="168" t="str">
        <x:v>المستجدات الاقتصادية في اليمن، أبريل 2020</x:v>
      </x:c>
      <x:c r="M142" s="168"/>
      <x:c r="N142" s="168"/>
      <x:c r="O142" s="168"/>
      <x:c r="S142" t="str">
        <x:v>NOT_ASSESSED</x:v>
      </x:c>
      <x:c r="Y142" t="str">
        <x:v>البنك الدولي</x:v>
      </x:c>
      <x:c r="Z142" t="str">
        <x:v>Research or policy paper</x:v>
      </x:c>
      <x:c r="AA142" t="str">
        <x:v>ورقة بحثية أو سياساتية</x:v>
      </x:c>
      <x:c r="AB142" t="str">
        <x:v>2020-04-16</x:v>
      </x:c>
    </x:row>
    <x:row r="143">
      <x:c r="A143" s="24" t="str">
        <x:v>SRC-SPA-SAU-CBY-DEPOSIT-2023-001</x:v>
      </x:c>
      <x:c r="B143" s="24" t="str">
        <x:v>https://www.spa.gov.sa/w1857622</x:v>
      </x:c>
      <x:c r="C143" s="24" t="str"/>
      <x:c r="D143" s="24" t="str">
        <x:v>DS-V4R3-SYSTEM-CHRONOLOGY</x:v>
      </x:c>
      <x:c r="E143" s="24" t="n">
        <x:v>2</x:v>
      </x:c>
      <x:c r="F143" s="168" t="str">
        <x:v>Agreement on a US$1 billion Saudi deposit to the Central Bank of Yemen (21 February 2023)</x:v>
      </x:c>
      <x:c r="G143" s="168" t="str">
        <x:v>Saudi Press Agency</x:v>
      </x:c>
      <x:c r="H143" s="168"/>
      <x:c r="I143" s="168"/>
      <x:c r="J143" s="168"/>
      <x:c r="K143" s="168" t="str">
        <x:v>CITATION_CARD</x:v>
      </x:c>
      <x:c r="L143" s="168" t="str">
        <x:v>اتفاقية وديعة سعودية بقيمة مليار دولار في البنك المركزي اليمني (21 فبراير 2023)</x:v>
      </x:c>
      <x:c r="M143" s="168"/>
      <x:c r="N143" s="168"/>
      <x:c r="O143" s="168"/>
      <x:c r="S143" t="str">
        <x:v>NOT_ASSESSED</x:v>
      </x:c>
      <x:c r="Y143" t="str">
        <x:v>وكالة الأنباء السعودية</x:v>
      </x:c>
      <x:c r="Z143" t="str">
        <x:v>News release</x:v>
      </x:c>
      <x:c r="AA143" t="str">
        <x:v>بيان صحفي</x:v>
      </x:c>
    </x:row>
    <x:row r="144">
      <x:c r="A144" s="24" t="str">
        <x:v>SRC-WB-YEM-FRAGMENTATION-2025-001</x:v>
      </x:c>
      <x:c r="B144" s="24" t="str">
        <x:v>https://documents1.worldbank.org/curated/en/099052825174515006/pdf/BOSIB-524dd7c7-d52c-4876-80ed-1e3ea9df2463.pdf</x:v>
      </x:c>
      <x:c r="C144" s="24" t="str">
        <x:v>["https://documents1.worldbank.org/curated/en/099943010292431765/pdf/IDU1f65eefe71d79414f1618a511921980f32f1b.pdf"]</x:v>
      </x:c>
      <x:c r="D144" s="24" t="str">
        <x:v>DS-V4R3-SYSTEM-CHRONOLOGY</x:v>
      </x:c>
      <x:c r="E144" s="24" t="n">
        <x:v>2</x:v>
      </x:c>
      <x:c r="F144" s="168" t="str">
        <x:v>Yemen Financial Market Infrastructure and Inclusion Project (FMIIP, P180708): appraisal document (project approved 17 June 2025)</x:v>
      </x:c>
      <x:c r="G144" s="168" t="str">
        <x:v>World Bank</x:v>
      </x:c>
      <x:c r="H144" s="168"/>
      <x:c r="I144" s="168"/>
      <x:c r="J144" s="168"/>
      <x:c r="K144" s="168" t="str">
        <x:v>CITATION_CARD</x:v>
      </x:c>
      <x:c r="L144" s="168" t="str">
        <x:v>مشروع البنية التحتية للأسواق المالية والشمول المالي في اليمن (FMIIP، P180708): وثيقة التقييم المسبق (أُقرّ المشروع في 17 يونيو 2025)</x:v>
      </x:c>
      <x:c r="M144" s="168"/>
      <x:c r="N144" s="168"/>
      <x:c r="O144" s="168"/>
      <x:c r="S144" t="str">
        <x:v>NOT_ASSESSED</x:v>
      </x:c>
      <x:c r="Y144" t="str">
        <x:v>البنك الدولي</x:v>
      </x:c>
      <x:c r="Z144" t="str">
        <x:v>Project document</x:v>
      </x:c>
      <x:c r="AA144" t="str">
        <x:v>وثيقة مشروع</x:v>
      </x:c>
    </x:row>
    <x:row r="145">
      <x:c r="A145" s="24" t="str">
        <x:v>SRC-SPA-SAU-BUDGET-2026-001</x:v>
      </x:c>
      <x:c r="B145" s="24" t="str">
        <x:v>https://www.spa.gov.sa/en/N2525739</x:v>
      </x:c>
      <x:c r="C145" s="24" t="str">
        <x:v>["https://www.spa.gov.sa/N2525728"]</x:v>
      </x:c>
      <x:c r="D145" s="24" t="str">
        <x:v>DS-V4R3-SYSTEM-CHRONOLOGY</x:v>
      </x:c>
      <x:c r="E145" s="24" t="n">
        <x:v>1</x:v>
      </x:c>
      <x:c r="F145" s="168" t="str">
        <x:v>Agreement between the Saudi Development and Reconstruction Program for Yemen (SDRPY) and Yemen's Ministry of Finance on SAR1.3 billion in economic support (1 March 2026)</x:v>
      </x:c>
      <x:c r="G145" s="168" t="str">
        <x:v>Saudi Press Agency</x:v>
      </x:c>
      <x:c r="H145" s="168"/>
      <x:c r="I145" s="168"/>
      <x:c r="J145" s="168"/>
      <x:c r="K145" s="168" t="str">
        <x:v>CITATION_CARD</x:v>
      </x:c>
      <x:c r="L145" s="168" t="str">
        <x:v>اتفاقية بين البرنامج السعودي لتنمية وإعمار اليمن (SDRPY) ووزارة المالية اليمنية بشأن دعم اقتصادي بقيمة 1.3 مليار ريال سعودي (1 مارس 2026)</x:v>
      </x:c>
      <x:c r="M145" s="168"/>
      <x:c r="N145" s="168"/>
      <x:c r="O145" s="168"/>
      <x:c r="S145" t="str">
        <x:v>NOT_ASSESSED</x:v>
      </x:c>
      <x:c r="Y145" t="str">
        <x:v>وكالة الأنباء السعودية</x:v>
      </x:c>
      <x:c r="Z145" t="str">
        <x:v>News release</x:v>
      </x:c>
      <x:c r="AA145" t="str">
        <x:v>بيان صحفي</x:v>
      </x:c>
    </x:row>
    <x:row r="146">
      <x:c r="A146" s="24" t="str">
        <x:v>SRC-OECD-INFE-2023</x:v>
      </x:c>
      <x:c r="B146" s="24" t="str">
        <x:v>https://www.oecd.org/content/dam/oecd/en/publications/reports/2023/12/oecd-infe-2023-international-survey-of-adult-financial-literacy_8ce94e2c/56003a32-en.pdf</x:v>
      </x:c>
      <x:c r="C146" s="24" t="str"/>
      <x:c r="D146" s="24" t="str">
        <x:v>OECD/INFE method and benchmarks</x:v>
      </x:c>
      <x:c r="E146" s="24" t="str"/>
      <x:c r="F146" s="168" t="str">
        <x:v>OECD/INFE 2023 International Survey of Adult Financial Literacy</x:v>
      </x:c>
      <x:c r="G146" s="168" t="str">
        <x:v>OECD</x:v>
      </x:c>
      <x:c r="H146" s="168" t="str">
        <x:v>Global/regional measurement standards and methods</x:v>
      </x:c>
      <x:c r="I146"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46" s="168" t="str">
        <x:v>The international report does not by itself resolve Yemen-specific sampling, coverage or currentness questions, and it does not replace the underlying Yemen survey evidence or establish a 2026 population state.</x:v>
      </x:c>
      <x:c r="K146" s="168" t="str">
        <x:v>FULL_PUBLIC_CARD</x:v>
      </x:c>
      <x:c r="L146" s="168" t="str">
        <x:v>المسح الدولي OECD/INFE لعام 2023 حول الثقافة المالية للبالغين</x:v>
      </x:c>
      <x:c r="M146" s="168" t="str">
        <x:v>معايير ومناهج القياس العالمية والإقليمية</x:v>
      </x:c>
      <x:c r="N146"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46" s="168" t="str">
        <x:v>لا يحسم التقرير الدولي بمفرده مسائل العينة أو التغطية أو الحداثة الخاصة باليمن، ولا يحل محل دليل المسح اليمني الأصلي أو يثبت حالة سكانية لعام 2026.</x:v>
      </x:c>
      <x:c r="S146" t="str">
        <x:v>NOT_ASSESSED</x:v>
      </x:c>
      <x:c r="W146" t="str">
        <x:v>survey</x:v>
      </x:c>
      <x:c r="Y146" t="str">
        <x:v>منظمة التعاون الاقتصادي والتنمية</x:v>
      </x:c>
      <x:c r="Z146" t="str">
        <x:v>Survey dataset or indicator</x:v>
      </x:c>
      <x:c r="AA146" t="str">
        <x:v>مسح أو مؤشر</x:v>
      </x:c>
      <x:c r="AB146" t="str">
        <x:v>2023</x:v>
      </x:c>
    </x:row>
    <x:row r="147">
      <x:c r="A147" s="142" t="str">
        <x:v>SRC-WB-FINDEX-2025-EDITION</x:v>
      </x:c>
      <x:c r="B147" s="142" t="str">
        <x:v>https://www.worldbank.org/en/publication/globalfindex/download-data</x:v>
      </x:c>
      <x:c r="C147" s="142" t="str">
        <x:v>["https://www.worldbank.org/en/publication/globalfindex/report"]</x:v>
      </x:c>
      <x:c r="D147" s="142" t="str">
        <x:v>DS-FINDEX-CURRENTNESS</x:v>
      </x:c>
      <x:c r="E147" s="142" t="n">
        <x:v>1</x:v>
      </x:c>
      <x:c r="F147" s="168" t="str">
        <x:v>The Global Findex Database 2025: report, data and methodology</x:v>
      </x:c>
      <x:c r="G147" s="168" t="str">
        <x:v>World Bank</x:v>
      </x:c>
      <x:c r="H147" s="168" t="str">
        <x:v>Global/regional measurement standards and methods</x:v>
      </x:c>
      <x:c r="I147" s="168" t="str">
        <x:v>Provides the current global demand-side financial-inclusion measurement framework, report, data resources and methodology used to interpret currentness, definitions and cross-country measurement practice.</x:v>
      </x:c>
      <x:c r="J147" s="168" t="str">
        <x:v>The 2025 edition does not create a newer Yemen population estimate where no comparable Yemen observation exists; Yemen's available representative observation retains its own wave and fieldwork dates.</x:v>
      </x:c>
      <x:c r="K147" s="168" t="str">
        <x:v>FULL_PUBLIC_CARD</x:v>
      </x:c>
      <x:c r="L147" s="168" t="str">
        <x:v>قاعدة بيانات المؤشر العالمي للشمول المالي (Global Findex) 2025: التقرير والبيانات والمنهجية</x:v>
      </x:c>
      <x:c r="M147" s="168" t="str">
        <x:v>معايير ومناهج القياس العالمية والإقليمية</x:v>
      </x:c>
      <x:c r="N147"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47" s="168" t="str">
        <x:v>لا تنشئ نسخة 2025 تقديرًا سكانيًا أحدث لليمن في غياب مشاهدة يمنية قابلة للمقارنة؛ وتحتفظ المشاهدة اليمنية المتاحة بموجتها وتواريخ عملها الميداني.</x:v>
      </x:c>
      <x:c r="S147" t="str">
        <x:v>NOT_ASSESSED</x:v>
      </x:c>
      <x:c r="Y147" t="str">
        <x:v>البنك الدولي</x:v>
      </x:c>
      <x:c r="Z147" t="str">
        <x:v>Data portal</x:v>
      </x:c>
      <x:c r="AA147" t="str">
        <x:v>بوابة بيانات</x:v>
      </x:c>
      <x:c r="AB147" t="str">
        <x:v>2025</x:v>
      </x:c>
    </x:row>
    <x:row r="148">
      <x:c r="A148" s="142" t="str">
        <x:v>SRC-WB-FMIIP-P180708</x:v>
      </x:c>
      <x:c r="B148" s="142" t="str">
        <x:v>https://maps.worldbank.org/projects/wb/pid/P180708?status=active</x:v>
      </x:c>
      <x:c r="C148" s="142" t="str">
        <x:v>["https://www.worldbank.org/en/news/press-release/2025/06/17/world-bank-approves-us-30-million-to-support-financial-inclusion-and-education-in-yemen", "https://documents1.worldbank.org/curated/en/099092225124020645/pdf/P180708-5de900d7-912a-4077-a4f4-f1664228ab67.pdf"]</x:v>
      </x:c>
      <x:c r="D148" s="142" t="str">
        <x:v>DS-FMIIP-PROJECT-RESULTS</x:v>
      </x:c>
      <x:c r="E148" s="142" t="n">
        <x:v>24</x:v>
      </x:c>
      <x:c r="F148" s="168" t="str">
        <x:v>Yemen Financial Market Infrastructure and Inclusion Project (FMIIP, P180708): project record and results framework (2025–2030)</x:v>
      </x:c>
      <x:c r="G148" s="168" t="str">
        <x:v>World Bank</x:v>
      </x:c>
      <x:c r="H148" s="168" t="str">
        <x:v>Current Yemen payment-infrastructure programmes</x:v>
      </x:c>
      <x:c r="I148" s="168" t="str">
        <x:v>Official World Bank project record and results framework for FMIIP, including commitment, dates, development objective and the baseline/target indicators used to distinguish implementation outputs from measured outcomes.</x:v>
      </x:c>
      <x:c r="J148" s="168" t="str">
        <x:v>Approval, commitment amounts and project targets are not observed results and do not establish nationwide operational coverage or financial-inclusion prevalence.</x:v>
      </x:c>
      <x:c r="K148" s="168" t="str">
        <x:v>FULL_PUBLIC_CARD</x:v>
      </x:c>
      <x:c r="L148" s="168" t="str">
        <x:v>مشروع البنية التحتية للأسواق المالية والشمول المالي في اليمن (FMIIP، P180708): سجل المشروع وإطار النتائج (2025–2030)</x:v>
      </x:c>
      <x:c r="M148" s="168" t="str">
        <x:v>برامج البنية التحتية للمدفوعات الجارية في اليمن</x:v>
      </x:c>
      <x:c r="N148"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48" s="168" t="str">
        <x:v>لا تعني الموافقة أو قيمة الالتزام أو المستهدفات أنها نتائج مرصودة، ولا تثبت تغطية تشغيلية وطنية أو معدلًا للشمول المالي.</x:v>
      </x:c>
      <x:c r="S148" t="str">
        <x:v>NOT_ASSESSED</x:v>
      </x:c>
      <x:c r="Y148" t="str">
        <x:v>البنك الدولي</x:v>
      </x:c>
      <x:c r="Z148" t="str">
        <x:v>Project document</x:v>
      </x:c>
      <x:c r="AA148" t="str">
        <x:v>وثيقة مشروع</x:v>
      </x:c>
    </x:row>
    <x:row r="149">
      <x:c r="A149" t="str">
        <x:v>SRC-CGAP-ARAB-MEAS-2017-001</x:v>
      </x:c>
      <x:c r="B149" t="str">
        <x:v>https://www.cgap.org/research/publication/financial-inclusion-measurement-in-arab-world</x:v>
      </x:c>
      <x:c r="C149"/>
      <x:c r="D149" t="str">
        <x:v>RESOURCE_LIBRARY_ONLY__MEASUREMENT_METHOD</x:v>
      </x:c>
      <x:c r="E149" t="n">
        <x:v>0</x:v>
      </x:c>
      <x:c r="F149" s="168" t="str">
        <x:v>Financial Inclusion Measurement in the Arab World</x:v>
      </x:c>
      <x:c r="G149" s="168" t="str">
        <x:v>CGAP</x:v>
      </x:c>
      <x:c r="H149" s="168" t="str">
        <x:v>Global/regional measurement standards and methods</x:v>
      </x:c>
      <x:c r="I149" s="168" t="str">
        <x:v>Useful for framing measurement choices and comparability questions in Arab financial-inclusion systems.</x:v>
      </x:c>
      <x:c r="J149" s="168" t="str">
        <x:v>Does not provide a Yemen population estimate or update a Yemen observation.</x:v>
      </x:c>
      <x:c r="K149" s="168" t="str">
        <x:v>FULL_PUBLIC_CARD</x:v>
      </x:c>
      <x:c r="L149" s="168" t="str">
        <x:v>قياس الشمول المالي في العالم العربي</x:v>
      </x:c>
      <x:c r="M149" s="168" t="str">
        <x:v>معايير ومناهج القياس العالمية والإقليمية</x:v>
      </x:c>
      <x:c r="N149" s="168" t="str">
        <x:v>يفيد في تأطير خيارات القياس وأسئلة قابلية المقارنة في منظومات الشمول المالي العربية.</x:v>
      </x:c>
      <x:c r="O149" s="168" t="str">
        <x:v>لا يقدم تقديرًا سكانيًا لليمن ولا يحدّث أي مشاهدة يمنية.</x:v>
      </x:c>
      <x:c r="S149" t="str">
        <x:v>NOT_ASSESSED</x:v>
      </x:c>
      <x:c r="Y149" t="str">
        <x:v>المجموعة الاستشارية لمساعدة الفقراء (CGAP)</x:v>
      </x:c>
      <x:c r="Z149" t="str">
        <x:v>Research or policy paper</x:v>
      </x:c>
      <x:c r="AA149" t="str">
        <x:v>ورقة بحثية أو سياساتية</x:v>
      </x:c>
    </x:row>
    <x:row r="150">
      <x:c r="A150" t="str">
        <x:v>SRC-OECD-YOUTH-DFI-2020-001</x:v>
      </x:c>
      <x:c r="B150" t="str">
        <x:v>https://www.oecd.org/en/publications/advancing-the-digital-financial-inclusion-of-youth_21b829d8-en.html</x:v>
      </x:c>
      <x:c r="C150"/>
      <x:c r="D150" t="str">
        <x:v>RESOURCE_LIBRARY_ONLY__YOUTH_DIGITAL_INCLUSION</x:v>
      </x:c>
      <x:c r="E150" t="n">
        <x:v>0</x:v>
      </x:c>
      <x:c r="F150" s="168" t="str">
        <x:v>Advancing the Digital Financial Inclusion of Youth</x:v>
      </x:c>
      <x:c r="G150" s="168" t="str">
        <x:v>OECD</x:v>
      </x:c>
      <x:c r="H150" s="168" t="str">
        <x:v>Global/regional measurement standards and methods</x:v>
      </x:c>
      <x:c r="I150" s="168" t="str">
        <x:v>Useful for designing youth-focused digital-inclusion measurement and interpreting adoption barriers.</x:v>
      </x:c>
      <x:c r="J150" s="168" t="str">
        <x:v>Does not establish a Yemen youth financial-inclusion rate or current Yemen outcome.</x:v>
      </x:c>
      <x:c r="K150" s="168" t="str">
        <x:v>FULL_PUBLIC_CARD</x:v>
      </x:c>
      <x:c r="L150" s="168" t="str">
        <x:v>تعزيز الشمول المالي الرقمي للشباب</x:v>
      </x:c>
      <x:c r="M150" s="168" t="str">
        <x:v>معايير ومناهج القياس العالمية والإقليمية</x:v>
      </x:c>
      <x:c r="N150" s="168" t="str">
        <x:v>يفيد في تصميم قياس يركز على الشمول الرقمي للشباب وفهم عوائق التبني.</x:v>
      </x:c>
      <x:c r="O150" s="168" t="str">
        <x:v>لا يثبت معدلًا للشمول المالي لدى شباب اليمن ولا نتيجة يمنية راهنة.</x:v>
      </x:c>
      <x:c r="S150" t="str">
        <x:v>NOT_ASSESSED</x:v>
      </x:c>
      <x:c r="Y150" t="str">
        <x:v>منظمة التعاون الاقتصادي والتنمية</x:v>
      </x:c>
      <x:c r="Z150" t="str">
        <x:v>Research or policy paper</x:v>
      </x:c>
      <x:c r="AA150" t="str">
        <x:v>ورقة بحثية أو سياساتية</x:v>
      </x:c>
    </x:row>
    <x:row r="151">
      <x:c r="A151" t="str">
        <x:v>SRC-CBY-AR2022-001</x:v>
      </x:c>
      <x:c r="B151" t="str">
        <x:v>https://cby-ye.com/files/64a1f54c878e1.pdf</x:v>
      </x:c>
      <x:c r="C151"/>
      <x:c r="D151" t="str">
        <x:v>DS-K04-BANK-VALUATION-RECON,173_CBY_ANNUAL_VINTAGES</x:v>
      </x:c>
      <x:c r="E151" t="n">
        <x:v>0</x:v>
      </x:c>
      <x:c r="F151" t="str">
        <x:v>Annual Report 2022</x:v>
      </x:c>
      <x:c r="G151" t="str">
        <x:v>Central Bank of Yemen — Aden</x:v>
      </x:c>
      <x:c r="H151" t="str">
        <x:v>Primary administrative and statistical material</x:v>
      </x:c>
      <x:c r="I151" t="str">
        <x:v>Provides the earlier annual-report vintage required to test whether later publication changes reflect a valuation/restatement break rather than economic movement alone.</x:v>
      </x:c>
      <x:c r="J151" t="str">
        <x:v>Does not by itself establish current banking-system conditions, solvency, operating reach or a financial-inclusion outcome.</x:v>
      </x:c>
      <x:c r="K151" t="str">
        <x:v>FULL_PUBLIC_CARD</x:v>
      </x:c>
      <x:c r="L151" t="str">
        <x:v>التقرير السنوي 2022</x:v>
      </x:c>
      <x:c r="M151" t="str">
        <x:v>مواد إدارية وإحصائية أولية</x:v>
      </x:c>
      <x:c r="N151" t="str">
        <x:v>يوفر نسخة التقرير السنوي الأقدم اللازمة لاختبار ما إذا كانت التغيرات اللاحقة في النشر تعكس كسرًا في التقييم أو إعادة العرض بدل أن تكون حركة اقتصادية فقط.</x:v>
      </x:c>
      <x:c r="O151" t="str">
        <x:v>لا يثبت بذاته أوضاع القطاع المصرفي الحالية أو الملاءة أو الوصول التشغيلي أو نتيجة للشمول المالي.</x:v>
      </x:c>
      <x:c r="S151" t="str">
        <x:v>NOT_ASSESSED</x:v>
      </x:c>
      <x:c r="Y151" t="str">
        <x:v>البنك المركزي اليمني – عدن</x:v>
      </x:c>
      <x:c r="Z151" t="str">
        <x:v>Annual report</x:v>
      </x:c>
      <x:c r="AA151" t="str">
        <x:v>تقرير سنوي</x:v>
      </x:c>
    </x:row>
    <x:row r="152">
      <x:c r="A152" t="str">
        <x:v>SRC-CBY-AR2023-001</x:v>
      </x:c>
      <x:c r="B152" t="str">
        <x:v>https://www.english.cby-ye.com/files/66e7e260be038.pdf</x:v>
      </x:c>
      <x:c r="C152"/>
      <x:c r="D152" t="str">
        <x:v>DS-K04-BANK-VALUATION-RECON,173_CBY_ANNUAL_VINTAGES</x:v>
      </x:c>
      <x:c r="E152" t="n">
        <x:v>0</x:v>
      </x:c>
      <x:c r="F152" t="str">
        <x:v>Annual Report 2023</x:v>
      </x:c>
      <x:c r="G152" t="str">
        <x:v>Central Bank of Yemen — Aden</x:v>
      </x:c>
      <x:c r="H152" t="str">
        <x:v>Primary administrative and statistical material</x:v>
      </x:c>
      <x:c r="I152" t="str">
        <x:v>Documents the 2023 publication vintage, including the valuation-basis context needed to interpret restated banking positions across annual reports.</x:v>
      </x:c>
      <x:c r="J152" t="str">
        <x:v>Does not by itself prove that higher nominal banking positions represent real growth, broader credit reach, improved solvency or financial inclusion.</x:v>
      </x:c>
      <x:c r="K152" t="str">
        <x:v>FULL_PUBLIC_CARD</x:v>
      </x:c>
      <x:c r="L152" t="str">
        <x:v>التقرير السنوي 2023</x:v>
      </x:c>
      <x:c r="M152" t="str">
        <x:v>مواد إدارية وإحصائية أولية</x:v>
      </x:c>
      <x:c r="N152" t="str">
        <x:v>يوثق نسخة النشر لعام 2023، بما في ذلك سياق أساس التقييم اللازم لتفسير إعادة عرض المراكز المصرفية عبر التقارير السنوية.</x:v>
      </x:c>
      <x:c r="O152" t="str">
        <x:v>لا يثبت بذاته أن ارتفاع القيم الاسمية للمراكز المصرفية يمثل نموًا حقيقيًا أو اتساعًا في الوصول إلى الائتمان أو تحسنًا في الملاءة أو الشمول المالي.</x:v>
      </x:c>
      <x:c r="S152" t="str">
        <x:v>NOT_ASSESSED</x:v>
      </x:c>
      <x:c r="Y152" t="str">
        <x:v>البنك المركزي اليمني – عدن</x:v>
      </x:c>
      <x:c r="Z152" t="str">
        <x:v>Annual report</x:v>
      </x:c>
      <x:c r="AA152" t="str">
        <x:v>تقرير سنوي</x:v>
      </x:c>
    </x:row>
    <x:row r="153">
      <x:c r="A153" t="str">
        <x:v>SRC-CBY-ENF-17-2026</x:v>
      </x:c>
      <x:c r="B153" t="str">
        <x:v>https://cby-ye.com/news/973</x:v>
      </x:c>
      <x:c r="C153"/>
      <x:c r="D153" t="str">
        <x:v>DS-PROVIDER-MASTER,DS-PROVIDER-STATUS-EVENTS</x:v>
      </x:c>
      <x:c r="E153" t="n">
        <x:v>2</x:v>
      </x:c>
      <x:c r="F153" t="str">
        <x:v>Governor's Decision No. 17 of 2026 on the licence suspension and closure of an exchange company (17 September 2026)</x:v>
      </x:c>
      <x:c r="G153" t="str">
        <x:v>Central Bank of Yemen — Aden</x:v>
      </x:c>
      <x:c r="H153"/>
      <x:c r="I153"/>
      <x:c r="J153"/>
      <x:c r="K153" t="str">
        <x:v>CITATION_CARD</x:v>
      </x:c>
      <x:c r="L153" t="str">
        <x:v>قرار المحافظ رقم (17) لسنة 2026 بشأن إيقاف ترخيص شركة صرافة وإغلاق مقرها (17 سبتمبر 2026)</x:v>
      </x:c>
      <x:c r="M153"/>
      <x:c r="N153"/>
      <x:c r="O153"/>
      <x:c r="S153" t="str">
        <x:v>NOT_ASSESSED</x:v>
      </x:c>
      <x:c r="W153" t="str">
        <x:v>decision/enforcement</x:v>
      </x:c>
      <x:c r="X153" t="str">
        <x:v>status event</x:v>
      </x:c>
      <x:c r="Y153" t="str">
        <x:v>البنك المركزي اليمني – عدن</x:v>
      </x:c>
      <x:c r="Z153" t="str">
        <x:v>Enforcement decision</x:v>
      </x:c>
      <x:c r="AA153" t="str">
        <x:v>قرار إنفاذ</x:v>
      </x:c>
      <x:c r="AB153" t="str">
        <x:v>2026-09-17</x:v>
      </x:c>
    </x:row>
    <x:row r="154">
      <x:c r="A154" t="str">
        <x:v>SRC-BIS-CPMI-FPS-RTGS-2021-001</x:v>
      </x:c>
      <x:c r="B154" t="str">
        <x:v>https://www.bis.org/publications/developments-retail-fast-payments-and-implications-rtgs-systems</x:v>
      </x:c>
      <x:c r="C154"/>
      <x:c r="D154" t="str">
        <x:v>RESOURCE_LIBRARY_ONLY__FPS_RTGS_IMPLEMENTATION</x:v>
      </x:c>
      <x:c r="E154" t="n">
        <x:v>0</x:v>
      </x:c>
      <x:c r="F154" t="str">
        <x:v>Developments in Retail Fast Payments and Implications for RTGS Systems</x:v>
      </x:c>
      <x:c r="G154" t="str">
        <x:v>Committee on Payments and Market Infrastructures (CPMI), Bank for International Settlements</x:v>
      </x:c>
      <x:c r="H154" t="str">
        <x:v>Global payment-system implementation and design references</x:v>
      </x:c>
      <x:c r="I154" t="str">
        <x:v>Clarifies how retail fast-payment systems relate to RTGS, including central-bank roles, settlement design, operating hours, availability and reliability — useful for interpreting Yemen's separate FPS and RTGS components without conflating them.</x:v>
      </x:c>
      <x:c r="J154" t="str">
        <x:v>Cross-country design evidence does not establish Yemen implementation status, architecture choices, adoption, reliability or inclusion outcomes.</x:v>
      </x:c>
      <x:c r="K154" t="str">
        <x:v>FULL_PUBLIC_CARD</x:v>
      </x:c>
      <x:c r="L154" t="str">
        <x:v>تطورات المدفوعات السريعة للأفراد وانعكاساتها على أنظمة التسوية الإجمالية الفورية</x:v>
      </x:c>
      <x:c r="M154" t="str">
        <x:v>مراجع عالمية لتصميم وتنفيذ أنظمة المدفوعات</x:v>
      </x:c>
      <x:c r="N154"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دمجهما.</x:v>
      </x:c>
      <x:c r="O154" t="str">
        <x:v>لا تثبت الأدلة المقارنة بين البلدان حالة التنفيذ في اليمن أو خيارات البنية أو التبني أو الموثوقية أو نتائج الشمول المالي.</x:v>
      </x:c>
      <x:c r="S154" t="str">
        <x:v>NOT_ASSESSED</x:v>
      </x:c>
      <x:c r="Y154" t="str">
        <x:v>لجنة المدفوعات والبنى التحتية للأسواق (CPMI)، بنك التسويات الدولية</x:v>
      </x:c>
      <x:c r="Z154" t="str">
        <x:v>Research or policy paper</x:v>
      </x:c>
      <x:c r="AA154" t="str">
        <x:v>ورقة بحثية أو سياساتية</x:v>
      </x:c>
    </x:row>
    <x:row r="155">
      <x:c r="A155" t="str">
        <x:v>SRC-BIS-CPMI-PAFI-FINTECH-2020-001</x:v>
      </x:c>
      <x:c r="B155" t="str">
        <x:v>https://www.bis.org/publications/payment-aspects-financial-inclusion-fintech-era</x:v>
      </x:c>
      <x:c r="C155"/>
      <x:c r="D155" t="str">
        <x:v>RESOURCE_LIBRARY_ONLY__PAFI_FINTECH</x:v>
      </x:c>
      <x:c r="E155" t="n">
        <x:v>0</x:v>
      </x:c>
      <x:c r="F155" t="str">
        <x:v>Payment Aspects of Financial Inclusion in the Fintech Era</x:v>
      </x:c>
      <x:c r="G155" t="str">
        <x:v>Committee on Payments and Market Infrastructures (CPMI) and World Bank Group</x:v>
      </x:c>
      <x:c r="H155" t="str">
        <x:v>Global financial-inclusion measurement and implementation references</x:v>
      </x:c>
      <x:c r="I155" t="str">
        <x:v>Extends the PAFI framework for the fintech era and is useful for separating access to safe transaction accounts, frequent use, enabling payment infrastructure and the risks that accompany digitalisation.</x:v>
      </x:c>
      <x:c r="J155" t="str">
        <x:v>A global framework does not establish a Yemen rate, a Yemen causal effect or the success of any specific digital-finance project.</x:v>
      </x:c>
      <x:c r="K155" t="str">
        <x:v>FULL_PUBLIC_CARD</x:v>
      </x:c>
      <x:c r="L155" t="str">
        <x:v>جوانب المدفوعات في الشمول المالي في عصر التكنولوجيا المالية</x:v>
      </x:c>
      <x:c r="M155" t="str">
        <x:v>مراجع عالمية لقياس وتنفيذ الشمول المالي</x:v>
      </x:c>
      <x:c r="N155" t="str">
        <x:v>يوسع إطار PAFI ليتناول عصر التكنولوجيا المالية، ويفيد في الفصل بين الوصول إلى حسابات معاملات آمنة والاستخدام المتكرر والبنية التحتية الممكنة للمدفوعات والمخاطر المصاحبة للرقمنة.</x:v>
      </x:c>
      <x:c r="O155" t="str">
        <x:v>لا يثبت الإطار العالمي معدلًا لليمن أو أثرًا سببيًا في اليمن أو نجاح أي مشروع محدد للتمويل الرقمي.</x:v>
      </x:c>
      <x:c r="S155" t="str">
        <x:v>NOT_ASSESSED</x:v>
      </x:c>
      <x:c r="Y155" t="str">
        <x:v>لجنة المدفوعات والبنى التحتية للأسواق (CPMI) ومجموعة البنك الدولي</x:v>
      </x:c>
      <x:c r="Z155" t="str">
        <x:v>Research or policy paper</x:v>
      </x:c>
      <x:c r="AA155" t="str">
        <x:v>ورقة بحثية أو سياساتية</x:v>
      </x:c>
    </x:row>
    <x:row r="156">
      <x:c r="A156" t="str">
        <x:v>SRC-WB-FASTT-FPS-2021-001</x:v>
      </x:c>
      <x:c r="B156" t="str">
        <x:v>https://fastpayments.worldbank.org/sites/default/files/2021-11/Fast%20Payment%20Flagship_Final_Nov%201.pdf</x:v>
      </x:c>
      <x:c r="C156" t="str">
        <x:v>["https://fastpayments.worldbank.org/resources"]</x:v>
      </x:c>
      <x:c r="D156" t="str">
        <x:v>RESOURCE_LIBRARY_ONLY__FPS_IMPLEMENTATION</x:v>
      </x:c>
      <x:c r="E156" t="n">
        <x:v>0</x:v>
      </x:c>
      <x:c r="F156" t="str">
        <x:v>Considerations and Lessons for the Development and Implementation of Fast Payment Systems</x:v>
      </x:c>
      <x:c r="G156" t="str">
        <x:v>World Bank</x:v>
      </x:c>
      <x:c r="H156" t="str">
        <x:v>Global payment-system implementation and design references</x:v>
      </x:c>
      <x:c r="I156" t="str">
        <x:v>Provides a practical FPS lifecycle from conceptualisation through design, implementation, go-live and scale, covering use cases, participants, pricing, governance, interoperability, reliability and user adoption.</x:v>
      </x:c>
      <x:c r="J156" t="str">
        <x:v>It is an implementation reference, not a prescription for Yemen and not evidence that Yemen's FPS has reached any specific lifecycle stage or performance level.</x:v>
      </x:c>
      <x:c r="K156" t="str">
        <x:v>FULL_PUBLIC_CARD</x:v>
      </x:c>
      <x:c r="L156" t="str">
        <x:v>اعتبارات ودروس لتطوير أنظمة الدفع السريع وتنفيذها</x:v>
      </x:c>
      <x:c r="M156" t="str">
        <x:v>مراجع عالمية لتصميم وتنفيذ أنظمة المدفوعات</x:v>
      </x:c>
      <x:c r="N156"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56" t="str">
        <x:v>هو مرجع للتنفيذ وليس وصفة إلزامية لليمن، ولا يثبت أن نظام الدفع السريع في اليمن بلغ مرحلة محددة من دورة الحياة أو مستوى أداء بعينه.</x:v>
      </x:c>
      <x:c r="S156" t="str">
        <x:v>NOT_ASSESSED</x:v>
      </x:c>
      <x:c r="Y156" t="str">
        <x:v>البنك الدولي</x:v>
      </x:c>
      <x:c r="Z156" t="str">
        <x:v>Method or standard</x:v>
      </x:c>
      <x:c r="AA156" t="str">
        <x:v>منهج أو معيار</x:v>
      </x:c>
    </x:row>
    <x:row r="157">
      <x:c r="A157" t="str">
        <x:v>SRC-WB-G2PX-001</x:v>
      </x:c>
      <x:c r="B157" t="str">
        <x:v>https://www.worldbank.org/en/programs/g2px/overview</x:v>
      </x:c>
      <x:c r="C157" t="str">
        <x:v>["https://www.worldbank.org/en/programs/g2px/knowledge"]</x:v>
      </x:c>
      <x:c r="D157" t="str">
        <x:v>RESOURCE_LIBRARY_ONLY__G2P_DIGITISATION</x:v>
      </x:c>
      <x:c r="E157" t="n">
        <x:v>0</x:v>
      </x:c>
      <x:c r="F157" t="str">
        <x:v>G2Px: government-to-person payments — overview and knowledge resources</x:v>
      </x:c>
      <x:c r="G157" t="str">
        <x:v>World Bank</x:v>
      </x:c>
      <x:c r="H157" t="str">
        <x:v>Digital public payments and inclusion practice</x:v>
      </x:c>
      <x:c r="I157" t="str">
        <x:v>Useful for designing questions around responsible digitisation of government and social payments: recipient experience, cash-out cost and distance, complaint handling, account access and continued use after payment.</x:v>
      </x:c>
      <x:c r="J157" t="str">
        <x:v>Global G2P practice does not establish durable post-transfer use or any Yemen programme outcome.</x:v>
      </x:c>
      <x:c r="K157" t="str">
        <x:v>FULL_PUBLIC_CARD</x:v>
      </x:c>
      <x:c r="L157" t="str">
        <x:v>G2Px: المدفوعات من الحكومة إلى الأفراد — نظرة عامة وموارد معرفية</x:v>
      </x:c>
      <x:c r="M157" t="str">
        <x:v>ممارسات المدفوعات العامة الرقمية والشمول المالي</x:v>
      </x:c>
      <x:c r="N157" t="str">
        <x:v>يفيد في تصميم أسئلة الرقمنة المسؤولة للمدفوعات الحكومية والاجتماعية، بما يشمل تجربة المستفيد وتكلفة وزمن الوصول إلى السحب وآليات الشكاوى والوصول إلى الحساب واستمرار الاستخدام بعد استلام الدفعة.</x:v>
      </x:c>
      <x:c r="O157" t="str">
        <x:v>لا تثبت الخبرات العالمية لمدفوعات G2P استمرار الاستخدام بعد التحويل ولا أي نتيجة لبرنامج يمني.</x:v>
      </x:c>
      <x:c r="S157" t="str">
        <x:v>NOT_ASSESSED</x:v>
      </x:c>
      <x:c r="Y157" t="str">
        <x:v>البنك الدولي</x:v>
      </x:c>
      <x:c r="Z157" t="str">
        <x:v>Event or programme page</x:v>
      </x:c>
      <x:c r="AA157" t="str">
        <x:v>صفحة فعالية أو برنامج</x:v>
      </x:c>
    </x:row>
    <x:row r="158">
      <x:c r="A158" t="str">
        <x:v>SRC-WB-YEM-CPF-2026-2030-001</x:v>
      </x:c>
      <x:c r="B158" t="str">
        <x:v>https://documents.worldbank.org/en/publication/documents-reports/documentdetail/099051226123536066</x:v>
      </x:c>
      <x:c r="C158" t="str">
        <x:v>["https://www.worldbank.org/ext/en/country/yemen/cpf"]</x:v>
      </x:c>
      <x:c r="D158" t="str">
        <x:v>RESOURCE_LIBRARY_ONLY__CURRENT_YEMEN_DEVELOPMENT_CONTEXT</x:v>
      </x:c>
      <x:c r="E158" t="n">
        <x:v>0</x:v>
      </x:c>
      <x:c r="F158" t="str">
        <x:v>Republic of Yemen: Country Partnership Framework for FY2026–FY2030</x:v>
      </x:c>
      <x:c r="G158" t="str">
        <x:v>World Bank Group</x:v>
      </x:c>
      <x:c r="H158" t="str">
        <x:v>Current Yemen development and private-sector context</x:v>
      </x:c>
      <x:c r="I158" t="str">
        <x:v>Anchors the current World Bank Group country-strategy context for livelihoods, jobs, women’s economic participation, private-sector development and institutional strengthening, helping place financial-inclusion evidence inside the wider development programme.</x:v>
      </x:c>
      <x:c r="J158" t="str">
        <x:v>A country strategy and approved operations are not observed financial-inclusion outcomes and do not establish implementation results.</x:v>
      </x:c>
      <x:c r="K158" t="str">
        <x:v>FULL_PUBLIC_CARD</x:v>
      </x:c>
      <x:c r="L158" t="str">
        <x:v>الجمهورية اليمنية: إطار الشراكة القُطرية للسنوات المالية 2026–2030</x:v>
      </x:c>
      <x:c r="M158" t="str">
        <x:v>السياق الراهن للتنمية والقطاع الخاص في اليمن</x:v>
      </x:c>
      <x:c r="N158"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58" t="str">
        <x:v>لا تمثل الاستراتيجية القطرية والعمليات المعتمدة نتائج مرصودة للشمول المالي، ولا تثبت تحقق نتائج التنفيذ.</x:v>
      </x:c>
      <x:c r="S158" t="str">
        <x:v>NOT_ASSESSED</x:v>
      </x:c>
      <x:c r="Y158" t="str">
        <x:v>مجموعة البنك الدولي</x:v>
      </x:c>
      <x:c r="Z158" t="str">
        <x:v>Research or policy paper</x:v>
      </x:c>
      <x:c r="AA158" t="str">
        <x:v>ورقة بحثية أو سياساتية</x:v>
      </x:c>
    </x:row>
    <x:row r="159">
      <x:c r="A159" t="str">
        <x:v>SRC-WB-YEM-CNL-2026-001</x:v>
      </x:c>
      <x:c r="B159" t="str">
        <x:v>https://www.worldbank.org/en/news/press-release/2026/06/30/improving-human-capital-and-building-livelihoods-for-vulnerable-families-in-yemen</x:v>
      </x:c>
      <x:c r="C159"/>
      <x:c r="D159" t="str">
        <x:v>RESOURCE_LIBRARY_ONLY__CURRENT_YEMEN_CASH_IDENTITY_CONTEXT</x:v>
      </x:c>
      <x:c r="E159" t="n">
        <x:v>0</x:v>
      </x:c>
      <x:c r="F159" t="str">
        <x:v>Cash for Nutrition and Livelihoods Project, Yemen (approved 30 June 2026)</x:v>
      </x:c>
      <x:c r="G159" t="str">
        <x:v>World Bank</x:v>
      </x:c>
      <x:c r="H159" t="str">
        <x:v>Current Yemen cash-transfer and livelihood programmes</x:v>
      </x:c>
      <x:c r="I159" t="str">
        <x:v>A current programme reference linking cash support, livelihoods, village savings and loan associations, and identity documentation; useful for asking what happens between programme delivery, formal onboarding and durable financial use.</x:v>
      </x:c>
      <x:c r="J159" t="str">
        <x:v>Project targets, beneficiary counts, identity-document support or VSLA participation do not establish national financial-inclusion prevalence or persistent bank/e-wallet use.</x:v>
      </x:c>
      <x:c r="K159" t="str">
        <x:v>FULL_PUBLIC_CARD</x:v>
      </x:c>
      <x:c r="L159" t="str">
        <x:v>مشروع النقد مقابل التغذية وسبل العيش في اليمن (أُقرّ في 30 يونيو 2026)</x:v>
      </x:c>
      <x:c r="M159" t="str">
        <x:v>برامج التحويلات النقدية وسبل العيش الجارية في اليمن</x:v>
      </x:c>
      <x:c r="N159"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59" t="str">
        <x:v>لا تثبت مستهدفات المشروع أو أعداد المستفيدين أو دعم الوثائق الثبوتية أو المشاركة في جمعيات الادخار معدلًا وطنيًا للشمول المالي أو استمرار استخدام الحسابات المصرفية أو المحافظ الإلكترونية.</x:v>
      </x:c>
      <x:c r="S159" t="str">
        <x:v>NOT_ASSESSED</x:v>
      </x:c>
      <x:c r="Y159" t="str">
        <x:v>البنك الدولي</x:v>
      </x:c>
      <x:c r="Z159" t="str">
        <x:v>News release</x:v>
      </x:c>
      <x:c r="AA159" t="str">
        <x:v>بيان صحفي</x:v>
      </x:c>
    </x:row>
    <x:row r="160">
      <x:c r="A160" t="str">
        <x:v>SRC-WB-YEM-ECON-MONITOR-2026-SPRING-001</x:v>
      </x:c>
      <x:c r="B160" t="str">
        <x:v>https://www.worldbank.org/en/news/press-release/2026/05/21/economic-strain-deepens-in-yemen-as-regional-risks-intensify</x:v>
      </x:c>
      <x:c r="C160" t="str">
        <x:v>["https://www.worldbank.org/en/programs/the-yemen-fund"]</x:v>
      </x:c>
      <x:c r="D160" t="str">
        <x:v>RESOURCE_LIBRARY_ONLY__CURRENT_YEMEN_MACRO_CONTEXT</x:v>
      </x:c>
      <x:c r="E160" t="n">
        <x:v>0</x:v>
      </x:c>
      <x:c r="F160" t="str">
        <x:v>Yemen Economic Monitor, Spring 2026: Pushing Against the Tide</x:v>
      </x:c>
      <x:c r="G160" t="str">
        <x:v>World Bank</x:v>
      </x:c>
      <x:c r="H160" t="str">
        <x:v>Current Yemen macroeconomic and private-sector context</x:v>
      </x:c>
      <x:c r="I160"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0" t="str">
        <x:v>Macroeconomic estimates, projections and reform context are not direct measures of account ownership, financial-service use, provider operation or inclusion outcomes.</x:v>
      </x:c>
      <x:c r="K160" t="str">
        <x:v>FULL_PUBLIC_CARD</x:v>
      </x:c>
      <x:c r="L160" t="str">
        <x:v>المرصد الاقتصادي لليمن، ربيع 2026: مواجهة التيار</x:v>
      </x:c>
      <x:c r="M160" t="str">
        <x:v>السياق الاقتصادي الكلي والقطاع الخاص الراهن في اليمن</x:v>
      </x:c>
      <x:c r="N160"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0"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0" t="str">
        <x:v>NOT_ASSESSED</x:v>
      </x:c>
      <x:c r="Y160" t="str">
        <x:v>البنك الدولي</x:v>
      </x:c>
      <x:c r="Z160" t="str">
        <x:v>Research or policy paper</x:v>
      </x:c>
      <x:c r="AA160" t="str">
        <x:v>ورقة بحثية أو سياساتية</x:v>
      </x:c>
    </x:row>
    <x:row r="161">
      <x:c r="A161" t="str">
        <x:v>SRC-KFW-YEM-MSME-FIN-III-47229</x:v>
      </x:c>
      <x:c r="B161" t="str">
        <x:v>https://www.kfw-entwicklungsbank.de/ipfz/Projektdatenbank/Foerderung-Des-Finanzsektors-Fuer-Kleinst--Klein--Und-Mittelunternehmen-Kkmu-Iii-47229.htm</x:v>
      </x:c>
      <x:c r="C161"/>
      <x:c r="D161" t="str">
        <x:v>RESOURCE_LIBRARY_ONLY__CURRENT_YEMEN_MSME_MFI_PROGRAMME</x:v>
      </x:c>
      <x:c r="E161" t="n">
        <x:v>0</x:v>
      </x:c>
      <x:c r="F161" t="str">
        <x:v>Promotion of the Financial Sector for Micro, Small and Medium-sized Enterprises (MSMEs) III, Yemen (project 47229)</x:v>
      </x:c>
      <x:c r="G161" t="str">
        <x:v>KfW Development Bank</x:v>
      </x:c>
      <x:c r="H161" t="str">
        <x:v>Current Yemen MSME and microfinance programmes</x:v>
      </x:c>
      <x:c r="I161" t="str">
        <x:v>Official project information on refinancing and capacity support delivered through SFD/SMED and partner microfinance institutions for Yemeni MSMEs; useful context for distinguishing programme mechanisms from national access-to-finance measures.</x:v>
      </x:c>
      <x:c r="J161" t="str">
        <x:v>Project financing and delivery arrangements do not establish a national MSME finance-access rate, MFI performance across the sector or programme impact beyond documented results.</x:v>
      </x:c>
      <x:c r="K161" t="str">
        <x:v>FULL_PUBLIC_CARD</x:v>
      </x:c>
      <x:c r="L161" t="str">
        <x:v>دعم القطاع المالي للمنشآت الأصغر والصغيرة والمتوسطة (المرحلة الثالثة)، اليمن (المشروع 47229)</x:v>
      </x:c>
      <x:c r="M161" t="str">
        <x:v>برامج المنشآت الصغيرة والتمويل الأصغر الجارية في اليمن</x:v>
      </x:c>
      <x:c r="N161"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اليمنية، وتفيد في الفصل بين آلية البرنامج ومقاييس الوصول الوطني إلى التمويل.</x:v>
      </x:c>
      <x:c r="O161" t="str">
        <x:v>لا تثبت ترتيبات التمويل والتنفيذ معدلًا وطنيًا لوصول المنشآت إلى التمويل، ولا أداء قطاع التمويل الأصغر ككل، ولا أثر البرنامج خارج النتائج الموثقة.</x:v>
      </x:c>
      <x:c r="S161" t="str">
        <x:v>NOT_ASSESSED</x:v>
      </x:c>
      <x:c r="Y161" t="str">
        <x:v>بنك التنمية الألماني KfW</x:v>
      </x:c>
      <x:c r="Z161" t="str">
        <x:v>Event or programme page</x:v>
      </x:c>
      <x:c r="AA161" t="str">
        <x:v>صفحة فعالية أو برنامج</x:v>
      </x:c>
    </x:row>
    <x:row r="162">
      <x:c r="A162" t="str">
        <x:v>SRC-WB-G2PX-YEM-UCT-2024-001</x:v>
      </x:c>
      <x:c r="B162" t="str">
        <x:v>https://www.worldbank.org/en/events/2024/05/30/digitalizing-g2p-payments-in-yemen</x:v>
      </x:c>
      <x:c r="C162" t="str">
        <x:v>["https://documents1.worldbank.org/curated/en/099647503042425828/pdf/IDU-a9d1a6be-30dc-48e6-9318-cf9d26959fb9.pdf"]</x:v>
      </x:c>
      <x:c r="D162" t="str">
        <x:v>RESOURCE_LIBRARY_ONLY__YEMEN_G2P_DIGITISATION_PILOT,14_SYSTEM_CHRONOLOGY</x:v>
      </x:c>
      <x:c r="E162" t="n">
        <x:v>0</x:v>
      </x:c>
      <x:c r="F162" t="str">
        <x:v>Digitalizing Government-to-Person (G2P) Payments in Yemen: unconditional cash transfer (UCT) pilot (2024)</x:v>
      </x:c>
      <x:c r="G162" t="str">
        <x:v>World Bank (G2Px)</x:v>
      </x:c>
      <x:c r="H162" t="str">
        <x:v>Yemen cash-transfer digitisation and recipient financial-service exposure</x:v>
      </x:c>
      <x:c r="I162"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2" t="str">
        <x:v>Pilot reach, account opening or successful payment does not establish repeat use, voluntary post-transfer use, saving, merchant use, service quality, or a national financial-inclusion outcome.</x:v>
      </x:c>
      <x:c r="K162" t="str">
        <x:v>FULL_PUBLIC_CARD</x:v>
      </x:c>
      <x:c r="L162" t="str">
        <x:v>رقمنة المدفوعات من الحكومة إلى الأفراد (G2P) في اليمن: المرحلة التجريبية في برنامج التحويلات النقدية غير المشروطة (2024)</x:v>
      </x:c>
      <x:c r="M162" t="str">
        <x:v>رقمنة التحويلات النقدية في اليمن والتعرض لخدمة مالية رسمية</x:v>
      </x:c>
      <x:c r="N162" t="str">
        <x:v>توثق مواد رسمية للبنك الدولي/مبادرة G2Px تجربة للمدفوعات الرقمية لبرنامج التحويلات النقدية غير المشروطة في ثماني مديريات استفاد منها 45,460 مستفيدًا، مع التركيز على الإيداع في حسابات كاملة الوظائف وإتاحة الاختيار للمستفيد. ويوفر ذلك دليلًا يمنيًا مباشرًا على الحلقة الوسيطة بين إيصال التحويل والتعرض لخدمات مالية رقمية رسمية.</x:v>
      </x:c>
      <x:c r="O162"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2" t="str">
        <x:v>NOT_ASSESSED</x:v>
      </x:c>
      <x:c r="Y162" t="str">
        <x:v>البنك الدولي (G2Px)</x:v>
      </x:c>
      <x:c r="Z162" t="str">
        <x:v>Event or programme page</x:v>
      </x:c>
      <x:c r="AA162" t="str">
        <x:v>صفحة فعالية أو برنامج</x:v>
      </x:c>
    </x:row>
    <x:row r="163">
      <x:c r="A163" t="str">
        <x:v>SRC-CBY-ENF-18-2026</x:v>
      </x:c>
      <x:c r="B163" t="str">
        <x:v>https://cby-ye.com/news/975</x:v>
      </x:c>
      <x:c r="D163" t="str">
        <x:v>DS-PROVIDER-STATUS-EVENTS</x:v>
      </x:c>
      <x:c r="E163" t="n">
        <x:v>1</x:v>
      </x:c>
      <x:c r="F163" t="str">
        <x:v>Governor's Decision No. 18 of 2026 on licence suspensions and closures (24 September 2026)</x:v>
      </x:c>
      <x:c r="G163" t="str">
        <x:v>Central Bank of Yemen — Aden</x:v>
      </x:c>
      <x:c r="K163" t="str">
        <x:v>CITATION_CARD</x:v>
      </x:c>
      <x:c r="L163" t="str">
        <x:v>قرار المحافظ رقم (18) لسنة 2026 بشأن إيقاف تراخيص وإغلاق مقرات (24 سبتمبر 2026)</x:v>
      </x:c>
      <x:c r="S163" t="str">
        <x:v>NOT_ASSESSED</x:v>
      </x:c>
      <x:c r="V163" t="str">
        <x:v>2026-09-25</x:v>
      </x:c>
      <x:c r="W163" t="str">
        <x:v>decision/enforcement</x:v>
      </x:c>
      <x:c r="X163" t="str">
        <x:v>status event</x:v>
      </x:c>
      <x:c r="Y163" t="str">
        <x:v>البنك المركزي اليمني – عدن</x:v>
      </x:c>
      <x:c r="Z163" t="str">
        <x:v>Enforcement decision</x:v>
      </x:c>
      <x:c r="AA163" t="str">
        <x:v>قرار إنفاذ</x:v>
      </x:c>
      <x:c r="AB163" t="str">
        <x:v>2026-09-24</x:v>
      </x:c>
    </x:row>
    <x:row r="164">
      <x:c r="A164" t="str">
        <x:v>SRC-CBY-DEC-23-2024-001</x:v>
      </x:c>
      <x:c r="B164" t="str">
        <x:v>https://cby-ye.com/files/667c596ef3bea.pdf</x:v>
      </x:c>
      <x:c r="C164" t="str">
        <x:v>["https://cby-ye.com/news/706"]</x:v>
      </x:c>
      <x:c r="D164" t="str">
        <x:v>DS-REFORM-EVENTS,DS-PRIMARY-AUTHORITY</x:v>
      </x:c>
      <x:c r="E164" t="n">
        <x:v>1</x:v>
      </x:c>
      <x:c r="F164" t="str">
        <x:v>Governor's Decision No. 23 of 2024 on domestic money-transfer activity (26 June 2024; ref. 343/CBY/2024)</x:v>
      </x:c>
      <x:c r="G164" t="str">
        <x:v>Central Bank of Yemen — Aden</x:v>
      </x:c>
      <x:c r="H164" t="str">
        <x:v>Primary administrative and statistical material</x:v>
      </x:c>
      <x:c r="I164"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4" t="str">
        <x:v>A regulatory requirement does not establish that it was implemented, how many transfers moved to the network, or any effect on users or on financial inclusion.</x:v>
      </x:c>
      <x:c r="K164" t="str">
        <x:v>FULL_PUBLIC_CARD</x:v>
      </x:c>
      <x:c r="L164" t="str">
        <x:v>قرار المحافظ رقم (23) لسنة 2024 بشأن مزاولة نشاط التحويلات المالية الداخلية (26 يونيو 2024؛ المرجع 343/CBY/2024)</x:v>
      </x:c>
      <x:c r="M164" t="str">
        <x:v>مواد إدارية وإحصائية أولية</x:v>
      </x:c>
      <x:c r="N164" t="str">
        <x:v>الأداة التنظيمية الأولية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4" t="str">
        <x:v>لا يثبت الإلزام التنظيمي أنه نُفذ فعليًا، ولا عدد الحوالات التي انتقلت إلى الشبكة، ولا أي أثر على المستخدمين أو على الشمول المالي.</x:v>
      </x:c>
      <x:c r="Q164" t="str">
        <x:v>Governor, Central Bank of Yemen — Aden</x:v>
      </x:c>
      <x:c r="R164" t="str">
        <x:v>cby-ye.com</x:v>
      </x:c>
      <x:c r="S164" t="str">
        <x:v>NOT_ASSESSED</x:v>
      </x:c>
      <x:c r="V164" t="str">
        <x:v>2026-09-26</x:v>
      </x:c>
      <x:c r="W164" t="str">
        <x:v>regulatory decision</x:v>
      </x:c>
      <x:c r="X164" t="str">
        <x:v>primary regulatory instrument (rule stage only; not implementation, use or outcome)</x:v>
      </x:c>
      <x:c r="Y164" t="str">
        <x:v>البنك المركزي اليمني – عدن</x:v>
      </x:c>
      <x:c r="Z164" t="str">
        <x:v>Regulatory decision</x:v>
      </x:c>
      <x:c r="AA164" t="str">
        <x:v>قرار تنظيمي</x:v>
      </x:c>
      <x:c r="AB164" t="str">
        <x:v>2024-06-26</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82</x:v>
      </x:c>
      <x:c r="E6" s="24" t="str">
        <x:v>2024 Q1</x:v>
      </x:c>
      <x:c r="F6" s="24" t="str">
        <x:v>2026-01</x:v>
      </x:c>
      <x:c r="G6" s="24" t="n">
        <x:v>13</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56</x:v>
      </x:c>
      <x:c r="E10" s="24"/>
      <x:c r="F10" s="24"/>
      <x:c r="G10" s="24" t="n">
        <x:v>14</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2026-01</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28</x:v>
      </x:c>
      <x:c r="E35" s="24" t="n">
        <x:v>1997</x:v>
      </x:c>
      <x:c r="F35" s="24" t="str">
        <x:v>2026-01</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98 exchange companies, 225 individual establishments, 106 remittance agents, plus 429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13</x:v>
      </x:c>
      <x:c r="G55" s="24" t="str">
        <x:v>2024 Q3</x:v>
      </x:c>
      <x:c r="H55" s="24" t="str">
        <x:v>2026-01</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14</x:v>
      </x:c>
      <x:c r="G56" s="24" t="str">
        <x:v>2024 Q1</x:v>
      </x:c>
      <x:c r="H56" s="24" t="str">
        <x:v>2026-01</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13</x:v>
      </x:c>
      <x:c r="G57" s="24" t="str">
        <x:v>2024 Q1</x:v>
      </x:c>
      <x:c r="H57" s="24" t="str">
        <x:v>2026-01</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98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225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106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429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317.639</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386.792</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535.189</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490.759</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580.021</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795.006</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783.583</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910.688</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custom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Custom 2022 sample includes micro firms under 5 employees and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custom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custom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custom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custom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custom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custom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custom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custom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custom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custom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custom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custom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custom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custom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custom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custom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custom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custom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custom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custom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custom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custom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custom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custom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custom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custom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 Figure 108, p.146</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custom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 Figure 108, p.146</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custom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 Figure 108, p.146</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custom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 Figure 108, p.146</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custom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 Figure 108, p.146</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custom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 Figure 108, p.146</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custom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 Figure 108,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custom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 Figure 108,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custom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 Figure 108,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custom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 Figure 108,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custom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 Figure 108,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custom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 Figure 108,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custom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 Figure 108,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custom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 Figure 108,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custom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 Figure 108,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custom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 Figure 108,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custom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custom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custom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custom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custom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custom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custom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custom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custom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custom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custom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custom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custom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custom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custom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custom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custom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custom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custom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custom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custom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custom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custom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custom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custom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custom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custom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custom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custom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custom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custom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custom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custom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custom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custom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2022 custom survey including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2022 custom survey including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2022 custom survey including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2022 custom survey including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2022 custom survey including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2022 custom survey including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2022 custom survey including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https://www.sfd-yemen.org/uploads/issues/SFD_Nwesletter_en66%20final-20141224-124427.pdf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https://www.sfd-yemen.org/uploads/issues/Newsletter%20Eng%204th-2017%20%20-20-4-18-20190129-214133.pdf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https://www.sfd-yemen.org/uploads/issues/1st%20NL%202019-20200123-102323.pdf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https://sfd-yemen.org/uploads/issues/4th%20NL%202020-20211125-090031.pdf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https://www.sfd-yemen.org/uploads/issues/Microfinance%20Islamic%20Products%20Study%28TOR%29-20130109-132034.pdf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https://www.sfd-yemen.org/uploads/issues/Newsletter-12-ENGLISH%20-20120718-113859.pdf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https://www.sfd-yemen.org/uploads/issues/Microfinance%20Islamic%20Products%20Study%28TOR%29-20130109-132034.pdf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https://www.sfd-yemen.org/uploads/issues/DESIGN%201st%20NL%202012%20-%20No-20121222-162100.pdf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https://www.sfd-yemen.org/uploads/issues/SFD_Nwesletter_en66%20final-20141224-124427.pdf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https://www.sfd-yemen.org/uploads/issues/Newsletter%20Eng%204th-2017%20%20-20-4-18-20190129-214133.pdf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https://www.sfd-yemen.org/uploads/issues/1st%20NL%202019-20200123-102323.pdf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https://sfd-yemen.org/uploads/issues/4th%20NL%202020-20211125-090031.pdf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2026-09-07</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2026-09-07</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2026-09-07</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2026-09-07</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2026-09-07</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2026-09-07</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2026-09-07</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2026-09-07</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2026-09-07</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2026-09-07</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2026-09-07</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2026-09-07</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2026-09-07</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2026-09-07</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2026-09-07</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2026-09-07</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2026-09-07</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2026-09-07</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2026-09-07</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2026-09-07</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2026-09-07</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2026-09-07</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2026-09-07</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2026-09-07</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2026-09-07</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2026-09-07</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May describe the dated enforcement event at the exact entity/branch level supported. Do not imply that event-identified entities form the complete current provider universe.</x:v>
      </x:c>
      <x:c r="O31" s="24" t="str">
        <x:v>Names with non-primary corroboration remain non-public until primary decision content is controlled.</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May describe the dated enforcement event at the exact entity/branch level supported. Do not imply that event-identified entities form the complete current provider universe.</x:v>
      </x:c>
      <x:c r="O32" s="24" t="str">
        <x:v>Names with non-primary corroboration remain non-public until primary decision content is controlled.</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May describe the dated enforcement event at the exact entity/branch level supported. Do not imply that event-identified entities form the complete current provider universe.</x:v>
      </x:c>
      <x:c r="O33" s="24" t="str">
        <x:v>Names with non-primary corroboration remain non-public until primary decision content is controlled.</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May describe the dated enforcement event at the exact entity/branch level supported. Do not imply that event-identified entities form the complete current provider universe.</x:v>
      </x:c>
      <x:c r="O34" s="24" t="str">
        <x:v>Names with non-primary corroboration remain non-public until primary decision content is controlled.</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May describe the dated enforcement event at the exact entity/branch level supported. Do not imply that event-identified entities form the complete current provider universe.</x:v>
      </x:c>
      <x:c r="O35" s="24" t="str">
        <x:v>Names with non-primary corroboration remain non-public until primary decision content is controlled.</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May describe the dated enforcement event at the exact entity/branch level supported. Do not imply that event-identified entities form the complete current provider universe.</x:v>
      </x:c>
      <x:c r="O36" s="24" t="str">
        <x:v>Names with non-primary corroboration remain non-public until primary decision content is controlled.</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May describe the dated enforcement event at the exact entity/branch level supported. Do not imply that event-identified entities form the complete current provider universe.</x:v>
      </x:c>
      <x:c r="O37" s="24" t="str">
        <x:v>Names with non-primary corroboration remain non-public until primary decision content is controlled.</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May describe the dated enforcement event at the exact entity/branch level supported. Do not imply that event-identified entities form the complete current provider universe.</x:v>
      </x:c>
      <x:c r="O38" s="24" t="str">
        <x:v>Names with non-primary corroboration remain non-public until primary decision content is controlled.</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May describe the dated enforcement event at the exact entity/branch level supported. Do not imply that event-identified entities form the complete current provider universe.</x:v>
      </x:c>
      <x:c r="O39" s="24" t="str">
        <x:v>Names with non-primary corroboration remain non-public until primary decision content is controlled.</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May describe the dated enforcement event at the exact entity/branch level supported. Do not imply that event-identified entities form the complete current provider universe.</x:v>
      </x:c>
      <x:c r="O40" s="24" t="str">
        <x:v>Names with non-primary corroboration remain non-public until primary decision content is controlled.</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May describe the dated enforcement event at the exact entity/branch level supported. Do not imply that event-identified entities form the complete current provider universe.</x:v>
      </x:c>
      <x:c r="O41" s="24" t="str">
        <x:v>Names with non-primary corroboration remain non-public until primary decision content is controlled.</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May describe the dated enforcement event at the exact entity/branch level supported. Do not imply that event-identified entities form the complete current provider universe.</x:v>
      </x:c>
      <x:c r="O42" s="24" t="str">
        <x:v>Names with non-primary corroboration remain non-public until primary decision content is controlled.</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May describe the dated enforcement event at the exact entity/branch level supported. Do not imply that event-identified entities form the complete current provider universe.</x:v>
      </x:c>
      <x:c r="O43" s="24" t="str">
        <x:v>Names with non-primary corroboration remain non-public until primary decision content is controlled.</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May describe the dated enforcement event at the exact entity/branch level supported. Do not imply that event-identified entities form the complete current provider universe.</x:v>
      </x:c>
      <x:c r="O44" s="24" t="str">
        <x:v>Names with non-primary corroboration remain non-public until primary decision content is controlled.</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May describe the dated enforcement event at the exact entity/branch level supported. Do not imply that event-identified entities form the complete current provider universe.</x:v>
      </x:c>
      <x:c r="O45" s="24" t="str">
        <x:v>Names with non-primary corroboration remain non-public until primary decision content is controlled.</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May describe the dated enforcement event at the exact entity/branch level supported. Do not imply that event-identified entities form the complete current provider universe.</x:v>
      </x:c>
      <x:c r="O46" s="24" t="str">
        <x:v>Names with non-primary corroboration remain non-public until primary decision content is controlled.</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May describe the dated enforcement event at the exact entity/branch level supported. Do not imply that event-identified entities form the complete current provider universe.</x:v>
      </x:c>
      <x:c r="O47" s="24" t="str">
        <x:v>Names with non-primary corroboration remain non-public until primary decision content is controlled.</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May describe the dated enforcement event at the exact entity/branch level supported. Do not imply that event-identified entities form the complete current provider universe.</x:v>
      </x:c>
      <x:c r="O48" s="24" t="str">
        <x:v>Names with non-primary corroboration remain non-public until primary decision content is controlled.</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May describe the dated enforcement event at the exact entity/branch level supported. Do not imply that event-identified entities form the complete current provider universe.</x:v>
      </x:c>
      <x:c r="O49" s="24" t="str">
        <x:v>Names with non-primary corroboration remain non-public until primary decision content is controlled.</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May describe the dated enforcement event at the exact entity/branch level supported. Do not imply that event-identified entities form the complete current provider universe.</x:v>
      </x:c>
      <x:c r="O50" s="24" t="str">
        <x:v>Names with non-primary corroboration remain non-public until primary decision content is controlled.</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May describe the dated enforcement event at the exact entity/branch level supported. Do not imply that event-identified entities form the complete current provider universe.</x:v>
      </x:c>
      <x:c r="O51" s="24" t="str">
        <x:v>Names with non-primary corroboration remain non-public until primary decision content is controlled.</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May describe the dated enforcement event at the exact entity/branch level supported. Do not imply that event-identified entities form the complete current provider universe.</x:v>
      </x:c>
      <x:c r="O52" s="24" t="str">
        <x:v>Names with non-primary corroboration remain non-public until primary decision content is controlled.</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May describe the dated enforcement event at the exact entity/branch level supported. Do not imply that event-identified entities form the complete current provider universe.</x:v>
      </x:c>
      <x:c r="O53" s="24" t="str">
        <x:v>Names with non-primary corroboration remain non-public until primary decision content is controlled.</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May describe the dated enforcement event at the exact entity/branch level supported. Do not imply that event-identified entities form the complete current provider universe.</x:v>
      </x:c>
      <x:c r="O54" s="24" t="str">
        <x:v>Names with non-primary corroboration remain non-public until primary decision content is controlled.</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May describe the dated enforcement event at the exact entity/branch level supported. Do not imply that event-identified entities form the complete current provider universe.</x:v>
      </x:c>
      <x:c r="O55" s="24" t="str">
        <x:v>Names with non-primary corroboration remain non-public until primary decision content is controlled.</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May describe the dated enforcement event at the exact entity/branch level supported. Do not imply that event-identified entities form the complete current provider universe.</x:v>
      </x:c>
      <x:c r="O56" s="24" t="str">
        <x:v>Names with non-primary corroboration remain non-public until primary decision content is controlled.</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May describe the dated enforcement event at the exact entity/branch level supported. Do not imply that event-identified entities form the complete current provider universe.</x:v>
      </x:c>
      <x:c r="O57" s="24" t="str">
        <x:v>Names with non-primary corroboration remain non-public until primary decision content is controlled.</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May describe the dated enforcement event at the exact entity/branch level supported. Do not imply that event-identified entities form the complete current provider universe.</x:v>
      </x:c>
      <x:c r="O58" s="24" t="str">
        <x:v>Names with non-primary corroboration remain non-public until primary decision content is controlled.</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May describe the dated enforcement event at the exact entity/branch level supported. Do not imply that event-identified entities form the complete current provider universe.</x:v>
      </x:c>
      <x:c r="O59" s="24" t="str">
        <x:v>Names with non-primary corroboration remain non-public until primary decision content is controlled.</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May describe the 2026-09-17 licence-suspension/closure event for this exact company.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3">
      <x:c r="A63" s="53" t="str">
        <x:v>Provider universe</x:v>
      </x:c>
      <x:c r="B63" s="53"/>
      <x:c r="C63" s="53"/>
      <x:c r="D63" s="53"/>
      <x:c r="E63" s="53"/>
      <x:c r="F63" s="53"/>
      <x:c r="G63" s="53"/>
      <x:c r="H63" s="53"/>
      <x:c r="I63" s="53"/>
      <x:c r="J63" s="53"/>
      <x:c r="K63" s="53"/>
    </x:row>
    <x:row r="64">
      <x:c r="A64" s="51" t="str">
        <x:v>universe_id</x:v>
      </x:c>
      <x:c r="B64" s="51" t="str">
        <x:v>provider_class</x:v>
      </x:c>
      <x:c r="C64" s="51" t="str">
        <x:v>reference_state</x:v>
      </x:c>
      <x:c r="D64" s="51" t="str">
        <x:v>authoritative_source_id</x:v>
      </x:c>
      <x:c r="E64" s="51" t="str">
        <x:v>universe_count</x:v>
      </x:c>
      <x:c r="F64" s="51" t="str">
        <x:v>count_state</x:v>
      </x:c>
      <x:c r="G64" s="51" t="str">
        <x:v>named_universe_state</x:v>
      </x:c>
      <x:c r="H64" s="51" t="str">
        <x:v>custody_state</x:v>
      </x:c>
      <x:c r="I64" s="51" t="str">
        <x:v>event_overlay_state</x:v>
      </x:c>
      <x:c r="J64" s="51" t="str">
        <x:v>rc0_state</x:v>
      </x:c>
      <x:c r="K64" s="51" t="str">
        <x:v>critical_limit</x:v>
      </x:c>
    </x:row>
    <x:row r="65">
      <x:c r="A65" s="24" t="str">
        <x:v>PUC-BANK-2026-01</x:v>
      </x:c>
      <x:c r="B65" s="24" t="str">
        <x:v>BANKS_ALL_TYPES</x:v>
      </x:c>
      <x:c r="C65" s="24" t="str">
        <x:v>2026-09-07</x:v>
      </x:c>
      <x:c r="D65" s="24" t="str">
        <x:v>SRC-CBY-BANKLIST-AR-2026-001</x:v>
      </x:c>
      <x:c r="E65" s="24" t="n">
        <x:v>26</x:v>
      </x:c>
      <x:c r="F65" s="24" t="str">
        <x:v>PRIMARY_CURRENT_LIST_VERIFIED</x:v>
      </x:c>
      <x:c r="G65" s="24" t="str">
        <x:v>COMPLETE_FOR_SOURCE_LIST</x:v>
      </x:c>
      <x:c r="H65" s="24" t="str">
        <x:v>WEB_PDF_VISUALLY_VERIFIED__RAW_NOT_MIRRORED</x:v>
      </x:c>
      <x:c r="I65" s="24" t="str">
        <x:v>NO_BANK_STATUS_EVENT_OVERLAY_APPLIED_IN_THIS_UNIT</x:v>
      </x:c>
      <x:c r="J65" s="24" t="str">
        <x:v>SATISFIES_CURRENT_BANK_ROSTER_MINIMUM</x:v>
      </x:c>
      <x:c r="K65" s="24" t="str">
        <x:v>List presence proves licensing/listing only; operation is not inferred.</x:v>
      </x:c>
    </x:row>
    <x:row r="66">
      <x:c r="A66" s="24" t="str">
        <x:v>PUC-EXCH-2026-01</x:v>
      </x:c>
      <x:c r="B66" s="24" t="str">
        <x:v>EXCHANGE_COMPANIES_ESTABLISHMENTS_AND_REMITTANCE_AGENTS</x:v>
      </x:c>
      <x:c r="C66" s="24" t="str">
        <x:v>Official 2026 annual roster; later 2026 status events separate</x:v>
      </x:c>
      <x:c r="D66" s="24" t="str">
        <x:v>SRC-CBY-EXCH-LIST-2026-001</x:v>
      </x:c>
      <x:c r="E66" s="24" t="n">
        <x:v>429</x:v>
      </x:c>
      <x:c r="F66" s="24" t="str">
        <x:v>SOURCE_LISTED_ROWS__98_COMPANIES__225_ESTABLISHMENTS__106_REMITTANCE_AGENTS</x:v>
      </x:c>
      <x:c r="G66" s="24" t="str">
        <x:v>COMPLETE_CATEGORY_COUNTS__ROW_LEVEL_NAMES_NOT_YET_NORMALIZED_IN_PROVIDER_MASTER</x:v>
      </x:c>
      <x:c r="H66" s="24" t="str">
        <x:v>OFFICIAL_11_PAGE_PDF_VISUALLY_VERIFIED</x:v>
      </x:c>
      <x:c r="I66" s="24" t="str">
        <x:v>SELECTED_2026_STATUS_OVERLAY__LATER_SUSPENSION_CLOSURE_EVENTS_MUST_NOT_BE_SUBTRACTED_MECHANICALLY</x:v>
      </x:c>
      <x:c r="J66" s="24" t="str">
        <x:v>ROSTER_COUNTS_RESOLVED__CURRENT_OPERATION_REMAINS_ENTITY_STATUS_QUESTION</x:v>
      </x:c>
      <x:c r="K66" s="24" t="str">
        <x:v>429 is the arithmetic sum of source-listed rows across three classes, not a deduplicated unique-provider or currently operating-provider count.</x:v>
      </x:c>
    </x:row>
    <x:row r="67">
      <x:c r="A67" s="24" t="str">
        <x:v>PUC-WALLET-2025-01</x:v>
      </x:c>
      <x:c r="B67" s="24" t="str">
        <x:v>E_WALLETS_OR_E_MONEY_SERVICES_AS_CBY_REPORTED</x:v>
      </x:c>
      <x:c r="C67" s="24" t="str">
        <x:v>2024 Q3 / 2025 H1 / 2025-09-10 / 2026 event states</x:v>
      </x:c>
      <x:c r="D67" s="24" t="str">
        <x:v>MULTI_SOURCE</x:v>
      </x:c>
      <x:c r="E67" s="24"/>
      <x:c r="F67" s="24" t="str">
        <x:v>MULTIPLE_PRIMARY_DATED_COUNTS_WITH_DIFFERENT_WORDING</x:v>
      </x:c>
      <x:c r="G67" s="24" t="str">
        <x:v>POSITIVE_NAMES_NOT_CONTROLLED</x:v>
      </x:c>
      <x:c r="H67" s="24" t="str">
        <x:v>OFFICIAL_REPORTS_AND_EVENT_PAGES</x:v>
      </x:c>
      <x:c r="I67" s="24" t="str">
        <x:v>2024_NEGATIVE_AUTHORITY + 72_WALLET_COUNT_RECON__NO_POSITIVE_CURRENT_STATUS_LEDGER</x:v>
      </x:c>
      <x:c r="J67" s="24" t="str">
        <x:v>COUNT_ONLY_AND_SEMANTIC_COMPARE__NOT_NAMED_PROVIDER_MASTER</x:v>
      </x:c>
      <x:c r="K67" s="24" t="str">
        <x:v>Official objects report 7 e-wallets (2024 Q3), 9 e-wallets (2025 H1), 8 licensed e-wallets (2025-09-10), and &gt;9 event participants (2026-01-22). Preserve separately; named positive current wallet/PSP universe remains open.</x:v>
      </x:c>
    </x:row>
    <x:row r="68">
      <x:c r="A68" s="24" t="str">
        <x:v>PUC-MFI-2026-01</x:v>
      </x:c>
      <x:c r="B68" s="24" t="str">
        <x:v>NON_BANK_MICROFINANCE_INSTITUTIONS_AND_PROGRAMMES</x:v>
      </x:c>
      <x:c r="C68" s="24" t="str">
        <x:v>observed 2026-09-07</x:v>
      </x:c>
      <x:c r="D68" s="24" t="str">
        <x:v>SRC-YMN-MEMBERS-2026-001</x:v>
      </x:c>
      <x:c r="E68" s="24"/>
      <x:c r="F68" s="24" t="str">
        <x:v>MEMBERSHIP_PAGES_ONLY</x:v>
      </x:c>
      <x:c r="G68" s="24" t="str">
        <x:v>PARTIAL_NETWORK_MEMBERSHIP_NOT_REGULATORY_UNIVERSE</x:v>
      </x:c>
      <x:c r="H68" s="24" t="str">
        <x:v>WEB_VERIFIED</x:v>
      </x:c>
      <x:c r="I68" s="24" t="str">
        <x:v>NONE</x:v>
      </x:c>
      <x:c r="J68" s="24" t="str">
        <x:v>CONTEXT_ONLY__NOT_NATIONAL_PROVIDER_CENSUS</x:v>
      </x:c>
      <x:c r="K68" s="24" t="str">
        <x:v>YMN membership presence is not licence or operation verification and is not a complete national universe.</x:v>
      </x:c>
    </x:row>
    <x:row r="71">
      <x:c r="A71" s="53" t="str">
        <x:v>Provider status events</x:v>
      </x:c>
      <x:c r="B71" s="53"/>
      <x:c r="C71" s="53"/>
      <x:c r="D71" s="53"/>
      <x:c r="E71" s="53"/>
      <x:c r="F71" s="53"/>
      <x:c r="G71" s="53"/>
      <x:c r="H71" s="53"/>
      <x:c r="I71" s="53"/>
      <x:c r="J71" s="53"/>
      <x:c r="K71" s="53"/>
      <x:c r="L71" s="53"/>
    </x:row>
    <x:row r="72">
      <x:c r="A72" s="51" t="str">
        <x:v>status_event_id</x:v>
      </x:c>
      <x:c r="B72" s="51" t="str">
        <x:v>event_date</x:v>
      </x:c>
      <x:c r="C72" s="51" t="str">
        <x:v>source_id</x:v>
      </x:c>
      <x:c r="D72" s="51" t="str">
        <x:v>authority</x:v>
      </x:c>
      <x:c r="E72" s="51" t="str">
        <x:v>event_scope</x:v>
      </x:c>
      <x:c r="F72" s="51" t="str">
        <x:v>affected_class</x:v>
      </x:c>
      <x:c r="G72" s="51" t="str">
        <x:v>event_state</x:v>
      </x:c>
      <x:c r="H72" s="51" t="str">
        <x:v>normalized_event</x:v>
      </x:c>
      <x:c r="I72" s="51" t="str">
        <x:v>entity_subject_state</x:v>
      </x:c>
      <x:c r="J72" s="51" t="str">
        <x:v>public_use</x:v>
      </x:c>
      <x:c r="K72" s="51" t="str">
        <x:v>not_proven</x:v>
      </x:c>
      <x:c r="L72" s="51" t="str">
        <x:v>source_url</x:v>
      </x:c>
    </x:row>
    <x:row r="73">
      <x:c r="A73" s="24" t="str">
        <x:v>PSE-001</x:v>
      </x:c>
      <x:c r="B73" s="24" t="str">
        <x:v>2024-06-26</x:v>
      </x:c>
      <x:c r="C73" s="24" t="str">
        <x:v>SRC-CBY-UNLICENSED-EWALLET-2024-001</x:v>
      </x:c>
      <x:c r="D73" s="24" t="str">
        <x:v>Central Bank of Yemen — Aden</x:v>
      </x:c>
      <x:c r="E73" s="24" t="str">
        <x:v>12 named wallets/entities/services + any other unlicensed electronic financial service</x:v>
      </x:c>
      <x:c r="F73" s="24" t="str">
        <x:v>E_WALLET_OR_ELECTRONIC_PAYMENT_SERVICE</x:v>
      </x:c>
      <x:c r="G73" s="24" t="str">
        <x:v>PROHIBITED_DEALING__UNLICENSED_AS_SOURCE_DATED</x:v>
      </x:c>
      <x:c r="H73" s="24" t="str">
        <x:v>CBY directs banks and exchange businesses not to deal directly or indirectly with the listed unlicensed electronic-payment entities/services.</x:v>
      </x:c>
      <x:c r="I73" s="24" t="str">
        <x:v>NAMED_NEGATIVE_AUTHORITY_LIST_IN_67</x:v>
      </x:c>
      <x:c r="J73" s="24" t="str">
        <x:v>May show a dated negative-authority list with exact source and date.</x:v>
      </x:c>
      <x:c r="K73" s="24" t="str">
        <x:v>Does not identify the positive licensed universe; does not establish 2026 current status.</x:v>
      </x:c>
      <x:c r="L73" s="24" t="str">
        <x:v>https://cby-ye.com/files/667c32dabd223.pdf</x:v>
      </x:c>
    </x:row>
    <x:row r="74">
      <x:c r="A74" s="24" t="str">
        <x:v>PSE-002</x:v>
      </x:c>
      <x:c r="B74" s="24" t="str">
        <x:v>2026-01-01</x:v>
      </x:c>
      <x:c r="C74" s="24" t="str">
        <x:v>SRC-CBY-ENF-01-2026</x:v>
      </x:c>
      <x:c r="D74" s="24" t="str">
        <x:v>Central Bank of Yemen — Aden</x:v>
      </x:c>
      <x:c r="E74" s="24" t="str">
        <x:v>multiple event subjects captured in Provider Master</x:v>
      </x:c>
      <x:c r="F74" s="24" t="str">
        <x:v>EXCHANGE_COMPANY_OR_ESTABLISHMENT</x:v>
      </x:c>
      <x:c r="G74" s="24" t="str">
        <x:v>LICENCE_SUSPENSION_AND_CLOSURE_EVENT</x:v>
      </x:c>
      <x:c r="H74" s="24" t="str">
        <x:v>Governor Decision No. 1 of 2026 suspends licences of a number of non-compliant exchange companies/establishments and closes their premises based on Banking Supervision field-inspection reporting.</x:v>
      </x:c>
      <x:c r="I74" s="24" t="str">
        <x:v>PRIMARY_EVENT_SUBJECTS_PRESENT_IN_15_PROVIDER_MASTER</x:v>
      </x:c>
      <x:c r="J74" s="24" t="str">
        <x:v>May show the dated enforcement event and exact subjects only where primary decision content is controlled.</x:v>
      </x:c>
      <x:c r="K74" s="24" t="str">
        <x:v>Does not establish the complete roster or current operation of unaffected providers.</x:v>
      </x:c>
      <x:c r="L74" s="24" t="str">
        <x:v>https://cby-ye.com/news/907</x:v>
      </x:c>
    </x:row>
    <x:row r="75">
      <x:c r="A75" s="24" t="str">
        <x:v>PSE-003</x:v>
      </x:c>
      <x:c r="B75" s="24" t="str">
        <x:v>2026-08-06</x:v>
      </x:c>
      <x:c r="C75" s="24" t="str">
        <x:v>SRC-CBY-ENF-13-2026</x:v>
      </x:c>
      <x:c r="D75" s="24" t="str">
        <x:v>Central Bank of Yemen — Aden</x:v>
      </x:c>
      <x:c r="E75" s="24" t="str">
        <x:v>event subjects partially normalized in Provider Master</x:v>
      </x:c>
      <x:c r="F75" s="24" t="str">
        <x:v>EXCHANGE_ESTABLISHMENT_AND_REMITTANCE_AGENT</x:v>
      </x:c>
      <x:c r="G75" s="24" t="str">
        <x:v>LICENCE_SUSPENSION_AND_CLOSURE_EVENT</x:v>
      </x:c>
      <x:c r="H75" s="24" t="str">
        <x:v>Governor Decision No. 13 of 2026 suspends licences of a number of exchange establishments and a remittance agent and closes premises, based on Banking Supervision field-inspection reporting.</x:v>
      </x:c>
      <x:c r="I75" s="24" t="str">
        <x:v>OFFICIAL_EVENT_VERIFIED__SOME_NAMES_SECONDARY_CORROBORATION</x:v>
      </x:c>
      <x:c r="J75" s="24" t="str">
        <x:v>Event-level state is public; entity names require the source-specific evidence tier already stored in Provider Master.</x:v>
      </x:c>
      <x:c r="K75" s="24" t="str">
        <x:v>Does not establish the complete 2026 provider universe.</x:v>
      </x:c>
      <x:c r="L75" s="24" t="str">
        <x:v>https://cby-ye.com/news/964</x:v>
      </x:c>
    </x:row>
    <x:row r="76">
      <x:c r="A76" s="24" t="str">
        <x:v>PSE-004</x:v>
      </x:c>
      <x:c r="B76" s="24" t="str">
        <x:v>2026-08-20</x:v>
      </x:c>
      <x:c r="C76" s="24" t="str">
        <x:v>SRC-CBY-ENF-14-2026</x:v>
      </x:c>
      <x:c r="D76" s="24" t="str">
        <x:v>Central Bank of Yemen — Aden</x:v>
      </x:c>
      <x:c r="E76" s="24" t="str">
        <x:v>event subjects partially normalized in Provider Master</x:v>
      </x:c>
      <x:c r="F76" s="24" t="str">
        <x:v>EXCHANGE_COMPANY_OR_ESTABLISHMENT</x:v>
      </x:c>
      <x:c r="G76" s="24" t="str">
        <x:v>LICENCE_SUSPENSION_AND_CLOSURE_EVENT</x:v>
      </x:c>
      <x:c r="H76" s="24" t="str">
        <x:v>Governor Decision No. 14 of 2026 suspends licences of a number of exchange companies/establishment(s) and closes premises based on Banking Supervision field-inspection reporting.</x:v>
      </x:c>
      <x:c r="I76" s="24" t="str">
        <x:v>OFFICIAL_EVENT_VERIFIED__SOME_NAMES_CORROBORATED</x:v>
      </x:c>
      <x:c r="J76" s="24" t="str">
        <x:v>Event-level state is public; entity names require source-specific evidence tier.</x:v>
      </x:c>
      <x:c r="K76" s="24" t="str">
        <x:v>Does not establish complete provider universe or market activity.</x:v>
      </x:c>
      <x:c r="L76" s="24" t="str">
        <x:v>https://cby-ye.com/news/968</x:v>
      </x:c>
    </x:row>
    <x:row r="77">
      <x:c r="A77" s="24" t="str">
        <x:v>PSE-005</x:v>
      </x:c>
      <x:c r="B77" s="24" t="str">
        <x:v>2026-08-27</x:v>
      </x:c>
      <x:c r="C77" s="24" t="str">
        <x:v>SRC-CBY-ENF-15-2026</x:v>
      </x:c>
      <x:c r="D77" s="24" t="str">
        <x:v>Central Bank of Yemen — Aden</x:v>
      </x:c>
      <x:c r="E77" s="24" t="str">
        <x:v>event subjects partially normalized in Provider Master</x:v>
      </x:c>
      <x:c r="F77" s="24" t="str">
        <x:v>EXCHANGE_COMPANY_ESTABLISHMENT_AND_REMITTANCE_AGENTS</x:v>
      </x:c>
      <x:c r="G77" s="24" t="str">
        <x:v>LICENCE_SUSPENSION_AND_CLOSURE_EVENT</x:v>
      </x:c>
      <x:c r="H77" s="24" t="str">
        <x:v>Governor Decision No. 15 of 2026 suspends licences of an exchange company, establishment and a number of remittance agents and closes premises based on Banking Supervision field-inspection reporting.</x:v>
      </x:c>
      <x:c r="I77" s="24" t="str">
        <x:v>OFFICIAL_EVENT_VERIFIED__SOME_NAMES_SECONDARY_ONLY</x:v>
      </x:c>
      <x:c r="J77" s="24" t="str">
        <x:v>Event-level state is public; individual names remain governed by Provider Master evidence tier.</x:v>
      </x:c>
      <x:c r="K77" s="24" t="str">
        <x:v>Does not establish complete provider universe or current operation of other entities.</x:v>
      </x:c>
      <x:c r="L77" s="24" t="str">
        <x:v>https://cby-ye.com/news/969</x:v>
      </x:c>
    </x:row>
    <x:row r="78">
      <x:c r="A78" s="24" t="str">
        <x:v>PSE-006</x:v>
      </x:c>
      <x:c r="B78" s="24" t="str">
        <x:v>2026-01-01</x:v>
      </x:c>
      <x:c r="C78" s="24" t="str">
        <x:v>SRC-CBY-ENF-02-2026</x:v>
      </x:c>
      <x:c r="D78" s="24" t="str">
        <x:v>Central Bank of Yemen — Aden</x:v>
      </x:c>
      <x:c r="E78" s="24" t="str">
        <x:v>Al-Shamil Exchange branch</x:v>
      </x:c>
      <x:c r="F78" s="24" t="str">
        <x:v>EXCHANGE_BRANCH</x:v>
      </x:c>
      <x:c r="G78" s="24" t="str">
        <x:v>LICENCE_WITHDRAWAL_EVENT</x:v>
      </x:c>
      <x:c r="H78" s="24" t="str">
        <x:v>Governor Decision No. 2 of 2026 withdraws the licence of a non-compliant Al-Shamil Exchange branch based on Banking Supervision field-inspection reporting.</x:v>
      </x:c>
      <x:c r="I78" s="24" t="str">
        <x:v>PRIMARY_BRANCH_SUBJECT_PRESENT_IN_15_PROVIDER_MASTER</x:v>
      </x:c>
      <x:c r="J78" s="24" t="str">
        <x:v>May show the exact dated branch-level status event.</x:v>
      </x:c>
      <x:c r="K78" s="24" t="str">
        <x:v>Does not establish parent-company operation, all branches, or complete provider universe.</x:v>
      </x:c>
      <x:c r="L78" s="24" t="str">
        <x:v>https://cby-ye.com/news/908</x:v>
      </x:c>
    </x:row>
    <x:row r="79">
      <x:c r="A79" s="24" t="str">
        <x:v>PSE-007</x:v>
      </x:c>
      <x:c r="B79" s="24" t="str">
        <x:v>2026-01-08</x:v>
      </x:c>
      <x:c r="C79" s="24" t="str">
        <x:v>SRC-CBY-ENF-03-2026</x:v>
      </x:c>
      <x:c r="D79" s="24" t="str">
        <x:v>Central Bank of Yemen — Aden</x:v>
      </x:c>
      <x:c r="E79" s="24" t="str">
        <x:v>Bin Amin Ghannam Exchange branch</x:v>
      </x:c>
      <x:c r="F79" s="24" t="str">
        <x:v>EXCHANGE_BRANCH</x:v>
      </x:c>
      <x:c r="G79" s="24" t="str">
        <x:v>LICENCE_WITHDRAWAL_EVENT</x:v>
      </x:c>
      <x:c r="H79" s="24" t="str">
        <x:v>Governor Decision No. 3 of 2026 withdraws the licence of a Bin Amin Ghannam Exchange branch based on Banking Supervision field-inspection reporting.</x:v>
      </x:c>
      <x:c r="I79" s="24" t="str">
        <x:v>PRIMARY_BRANCH_SUBJECT_PRESENT_IN_15_PROVIDER_MASTER</x:v>
      </x:c>
      <x:c r="J79" s="24" t="str">
        <x:v>May show the exact dated branch-level status event.</x:v>
      </x:c>
      <x:c r="K79" s="24" t="str">
        <x:v>Does not establish parent-company operation, all branches, or complete provider universe.</x:v>
      </x:c>
      <x:c r="L79" s="24" t="str">
        <x:v>https://cby-ye.com/news/910</x:v>
      </x:c>
    </x:row>
    <x:row r="80">
      <x:c r="A80" s="24" t="str">
        <x:v>PSE-008</x:v>
      </x:c>
      <x:c r="B80" s="24" t="str">
        <x:v>2026-01-08</x:v>
      </x:c>
      <x:c r="C80" s="24" t="str">
        <x:v>SRC-CBY-ENF-04-2026</x:v>
      </x:c>
      <x:c r="D80" s="24" t="str">
        <x:v>Central Bank of Yemen — Aden</x:v>
      </x:c>
      <x:c r="E80" s="24" t="str">
        <x:v>multiple event subjects captured in Provider Master</x:v>
      </x:c>
      <x:c r="F80" s="24" t="str">
        <x:v>EXCHANGE_ESTABLISHMENT</x:v>
      </x:c>
      <x:c r="G80" s="24" t="str">
        <x:v>LICENCE_SUSPENSION_AND_CLOSURE_EVENT</x:v>
      </x:c>
      <x:c r="H80" s="24" t="str">
        <x:v>Governor Decision No. 4 of 2026 suspends licences of a number of non-compliant exchange establishments and closes premises based on Banking Supervision field-inspection reporting.</x:v>
      </x:c>
      <x:c r="I80" s="24" t="str">
        <x:v>PRIMARY_EVENT_SUBJECTS_PRESENT_IN_15_PROVIDER_MASTER</x:v>
      </x:c>
      <x:c r="J80" s="24" t="str">
        <x:v>May show the dated event and subjects only at their controlled evidence tier.</x:v>
      </x:c>
      <x:c r="K80" s="24" t="str">
        <x:v>Does not establish complete provider universe or current operation of unaffected providers.</x:v>
      </x:c>
      <x:c r="L80" s="24" t="str">
        <x:v>https://cby-ye.com/news/911</x:v>
      </x:c>
    </x:row>
    <x:row r="81">
      <x:c r="A81" s="24" t="str">
        <x:v>PSE-009</x:v>
      </x:c>
      <x:c r="B81" s="24" t="str">
        <x:v>2026-01-13</x:v>
      </x:c>
      <x:c r="C81" s="24" t="str">
        <x:v>SRC-CBY-ENF-05-2026</x:v>
      </x:c>
      <x:c r="D81" s="24" t="str">
        <x:v>Central Bank of Yemen — Aden</x:v>
      </x:c>
      <x:c r="E81" s="24" t="str">
        <x:v>multiple event subjects captured in Provider Master</x:v>
      </x:c>
      <x:c r="F81" s="24" t="str">
        <x:v>EXCHANGE_ESTABLISHMENT</x:v>
      </x:c>
      <x:c r="G81" s="24" t="str">
        <x:v>LICENCE_SUSPENSION_AND_CLOSURE_EVENT</x:v>
      </x:c>
      <x:c r="H81" s="24" t="str">
        <x:v>Governor Decision No. 5 of 2026 suspends licences of a number of non-compliant exchange establishments and closes premises based on Banking Supervision field-inspection reporting.</x:v>
      </x:c>
      <x:c r="I81" s="24" t="str">
        <x:v>PRIMARY_EVENT_SUBJECTS_PRESENT_IN_15_PROVIDER_MASTER</x:v>
      </x:c>
      <x:c r="J81" s="24" t="str">
        <x:v>May show the dated event and exact controlled subjects.</x:v>
      </x:c>
      <x:c r="K81" s="24" t="str">
        <x:v>Does not establish complete provider universe or current operation of unaffected providers.</x:v>
      </x:c>
      <x:c r="L81" s="24" t="str">
        <x:v>https://cby-ye.com/news/912</x:v>
      </x:c>
    </x:row>
    <x:row r="82">
      <x:c r="A82" s="24" t="str">
        <x:v>PSE-010</x:v>
      </x:c>
      <x:c r="B82" s="24" t="str">
        <x:v>2026-01-13</x:v>
      </x:c>
      <x:c r="C82" s="24" t="str">
        <x:v>SRC-CBY-ENF-06-2026</x:v>
      </x:c>
      <x:c r="D82" s="24" t="str">
        <x:v>Central Bank of Yemen — Aden</x:v>
      </x:c>
      <x:c r="E82" s="24" t="str">
        <x:v>Al-Thawr Exchange branch — Al-Mahra</x:v>
      </x:c>
      <x:c r="F82" s="24" t="str">
        <x:v>EXCHANGE_BRANCH</x:v>
      </x:c>
      <x:c r="G82" s="24" t="str">
        <x:v>LICENCE_SUSPENSION_AND_CLOSURE_EVENT</x:v>
      </x:c>
      <x:c r="H82" s="24" t="str">
        <x:v>Governor Decision No. 6 of 2026 suspends the licence of an Al-Thawr Exchange branch in Al-Mahra and closes its premises.</x:v>
      </x:c>
      <x:c r="I82" s="24" t="str">
        <x:v>PRIMARY_BRANCH_SUBJECT_PRESENT_IN_15_PROVIDER_MASTER</x:v>
      </x:c>
      <x:c r="J82" s="24" t="str">
        <x:v>May show the dated branch-level status event.</x:v>
      </x:c>
      <x:c r="K82" s="24" t="str">
        <x:v>Does not establish parent-company operation, all branches, or complete provider universe.</x:v>
      </x:c>
      <x:c r="L82" s="24" t="str">
        <x:v>https://cby-ye.com/news/913</x:v>
      </x:c>
    </x:row>
    <x:row r="83">
      <x:c r="A83" s="24" t="str">
        <x:v>PSE-011</x:v>
      </x:c>
      <x:c r="B83" s="24" t="str">
        <x:v>2026-05-21</x:v>
      </x:c>
      <x:c r="C83" s="24" t="str">
        <x:v>SRC-CBY-ENF-09-2026</x:v>
      </x:c>
      <x:c r="D83" s="24" t="str">
        <x:v>Central Bank of Yemen — Aden</x:v>
      </x:c>
      <x:c r="E83" s="24" t="str">
        <x:v>One remittance agent (an individual named in the decision) — Lahj/Tuban</x:v>
      </x:c>
      <x:c r="F83" s="24" t="str">
        <x:v>REMITTANCE_AGENT</x:v>
      </x:c>
      <x:c r="G83" s="24" t="str">
        <x:v>LICENCE_SUSPENSION_AND_CLOSURE_EVENT</x:v>
      </x:c>
      <x:c r="H83" s="24" t="str">
        <x:v>Governor Decision No. 9 of 2026 suspends the licence of a remittance agent in Lahj/Tuban and closes the premises; the agent is an individual and is not named in this resource.</x:v>
      </x:c>
      <x:c r="I83" s="24" t="str">
        <x:v>PRIMARY_OFFICIAL_EVENT_AND_SUBJECT_VERIFIED</x:v>
      </x:c>
      <x:c r="J83" s="24" t="str">
        <x:v>May show the dated event; the subject is an individual and is not named.</x:v>
      </x:c>
      <x:c r="K83" s="24" t="str">
        <x:v>Does not establish complete current remittance-agent universe or later status without further evidence.</x:v>
      </x:c>
      <x:c r="L83" s="24" t="str">
        <x:v>https://cby-ye.com/news/943</x:v>
      </x:c>
    </x:row>
    <x:row r="84">
      <x:c r="A84" s="24" t="str">
        <x:v>PSE-012</x:v>
      </x:c>
      <x:c r="B84" s="24" t="str">
        <x:v>2026-06-09</x:v>
      </x:c>
      <x:c r="C84" s="24" t="str">
        <x:v>SRC-CBY-ENF-10-2026</x:v>
      </x:c>
      <x:c r="D84" s="24" t="str">
        <x:v>Central Bank of Yemen — Aden</x:v>
      </x:c>
      <x:c r="E84" s="24" t="str">
        <x:v>Bin Dabi — remittance agent — Shabwa/Habban</x:v>
      </x:c>
      <x:c r="F84" s="24" t="str">
        <x:v>REMITTANCE_AGENT</x:v>
      </x:c>
      <x:c r="G84" s="24" t="str">
        <x:v>LICENCE_SUSPENSION_AND_CLOSURE_EVENT</x:v>
      </x:c>
      <x:c r="H84" s="24" t="str">
        <x:v>Governor Decision No. 10 of 2026 suspends the licence of Bin Dabi remittance agent in Shabwa/Habban and closes the premises.</x:v>
      </x:c>
      <x:c r="I84" s="24" t="str">
        <x:v>PRIMARY_OFFICIAL_PAGE_TITLE_VERIFIED__DATE_CROSS_CORROBORATED</x:v>
      </x:c>
      <x:c r="J84" s="24" t="str">
        <x:v>May show the event subject; if exact date is surfaced publicly, retain the cross-corroboration note until the primary page date is directly machine-readable/archived.</x:v>
      </x:c>
      <x:c r="K84" s="24" t="str">
        <x:v>Does not establish complete current remittance-agent universe or later status.</x:v>
      </x:c>
      <x:c r="L84" s="24" t="str">
        <x:v>https://cby-ye.com/news/944</x:v>
      </x:c>
    </x:row>
    <x:row r="85">
      <x:c r="A85" s="24" t="str">
        <x:v>PSE-013</x:v>
      </x:c>
      <x:c r="B85" s="24" t="str">
        <x:v>2026-06-10</x:v>
      </x:c>
      <x:c r="C85" s="24" t="str">
        <x:v>SRC-CBY-ENF-11-2026</x:v>
      </x:c>
      <x:c r="D85" s="24" t="str">
        <x:v>Central Bank of Yemen — Aden</x:v>
      </x:c>
      <x:c r="E85" s="24" t="str">
        <x:v>Al-Ittihad Money — remittance agent — Lahj/Yafa Al-Hadd</x:v>
      </x:c>
      <x:c r="F85" s="24" t="str">
        <x:v>REMITTANCE_AGENT</x:v>
      </x:c>
      <x:c r="G85" s="24" t="str">
        <x:v>LICENCE_SUSPENSION_AND_CLOSURE_EVENT</x:v>
      </x:c>
      <x:c r="H85" s="24" t="str">
        <x:v>Governor Decision No. 11 of 2026 suspends the licence of Al-Ittihad Money remittance agent in Lahj/Yafa Al-Hadd and closes the premises.</x:v>
      </x:c>
      <x:c r="I85" s="24" t="str">
        <x:v>PRIMARY_OFFICIAL_EVENT_AND_SUBJECT_VERIFIED</x:v>
      </x:c>
      <x:c r="J85" s="24" t="str">
        <x:v>May show the exact dated event and subject.</x:v>
      </x:c>
      <x:c r="K85" s="24" t="str">
        <x:v>Does not establish complete current remittance-agent universe or later status without further evidence.</x:v>
      </x:c>
      <x:c r="L85" s="24" t="str">
        <x:v>https://www.cby-ye.com/news/945</x:v>
      </x:c>
    </x:row>
    <x:row r="86">
      <x:c r="A86" t="str">
        <x:v>PSE-014</x:v>
      </x:c>
      <x:c r="B86" t="str">
        <x:v>2026-09-17</x:v>
      </x:c>
      <x:c r="C86" t="str">
        <x:v>SRC-CBY-ENF-17-2026</x:v>
      </x:c>
      <x:c r="D86" t="str">
        <x:v>Central Bank of Yemen — Aden</x:v>
      </x:c>
      <x:c r="E86" t="str">
        <x:v>Al-Buraq Exchange and Transfers Company</x:v>
      </x:c>
      <x:c r="F86" t="str">
        <x:v>EXCHANGE_COMPANY</x:v>
      </x:c>
      <x:c r="G86" t="str">
        <x:v>LICENCE_SUSPENSION_AND_CLOSURE_EVENT</x:v>
      </x:c>
      <x:c r="H86" t="str">
        <x:v>Governor Decision No. 17 of 2026 suspends the licence granted to Al-Buraq Exchange and Transfers Company and closes its premises, based on violations recorded in a field-inspection report from Banking Supervision.</x:v>
      </x:c>
      <x:c r="I86" t="str">
        <x:v>PRIMARY_OFFICIAL_EVENT_AND_SUBJECT_VERIFIED</x:v>
      </x:c>
      <x:c r="J86" t="str">
        <x:v>May show the exact dated event and subject.</x:v>
      </x:c>
      <x:c r="K86" t="str">
        <x:v>Does not establish the complete 2026 provider universe, the status of other entities, or a later status for Al-Buraq beyond the source date; do not subtract the event mechanically from the annual roster.</x:v>
      </x:c>
      <x:c r="L86" t="str">
        <x:v>https://cby-ye.com/news/973</x:v>
      </x:c>
      <x:c r="M86"/>
      <x:c r="N86"/>
      <x:c r="O86"/>
    </x:row>
    <x:row r="87">
      <x:c r="A87" t="str">
        <x:v>PSE-015</x:v>
      </x:c>
      <x:c r="B87" t="str">
        <x:v>2026-09-24</x:v>
      </x:c>
      <x:c r="C87" t="str">
        <x:v>SRC-CBY-ENF-18-2026</x:v>
      </x:c>
      <x:c r="D87" t="str">
        <x:v>Central Bank of Yemen — Aden</x:v>
      </x:c>
      <x:c r="E87" t="str">
        <x:v>one exchange company, exchange establishments and one remittance agent, as announced</x:v>
      </x:c>
      <x:c r="F87" t="str">
        <x:v>EXCHANGE_COMPANY_ESTABLISHMENTS_AND_REMITTANCE_AGENT</x:v>
      </x:c>
      <x:c r="G87" t="str">
        <x:v>LICENCE_SUSPENSION_AND_CLOSURE_EVENT</x:v>
      </x:c>
      <x:c r="H87" t="str">
        <x:v>Governor Decision No. 18 of 2026 suspends licences of an exchange company, exchange establishments and a remittance agent and closes their premises</x:v>
      </x:c>
      <x:c r="I87" t="str">
        <x:v>NAMES_PRIMARY_SOURCE_PENDING</x:v>
      </x:c>
      <x:c r="J87" t="str">
        <x:v>PUBLIC_EVENT__NAMES_WITHHELD_UNTIL_TRANSCRIBED</x:v>
      </x:c>
      <x:c r="K87" t="str">
        <x:v>a licence suspension or closure is a dated regulatory action and does not establish permanent cessation; it says nothing about the current operation of other entities and does not change the 2026 roster count</x:v>
      </x:c>
      <x:c r="L87" t="str">
        <x:v>https://cby-ye.com/news/975</x:v>
      </x:c>
    </x:row>
    <x:row r="89">
      <x:c r="A89" s="53" t="str">
        <x:v>Provider negative-authority evidence</x:v>
      </x:c>
      <x:c r="B89" s="53"/>
      <x:c r="C89" s="53"/>
      <x:c r="D89" s="53"/>
      <x:c r="E89" s="53"/>
      <x:c r="F89" s="53"/>
      <x:c r="G89" s="53"/>
      <x:c r="H89" s="53"/>
      <x:c r="I89" s="53"/>
      <x:c r="J89" s="53"/>
      <x:c r="K89" s="53"/>
    </x:row>
    <x:row r="90">
      <x:c r="A90" s="51" t="str">
        <x:v>negative_authority_id</x:v>
      </x:c>
      <x:c r="B90" s="51" t="str">
        <x:v>source_id</x:v>
      </x:c>
      <x:c r="C90" s="51" t="str">
        <x:v>authority</x:v>
      </x:c>
      <x:c r="D90" s="51" t="str">
        <x:v>source_date</x:v>
      </x:c>
      <x:c r="E90" s="51" t="str">
        <x:v>source_label_ar</x:v>
      </x:c>
      <x:c r="F90" s="51" t="str">
        <x:v>normalized_search_label_en</x:v>
      </x:c>
      <x:c r="G90" s="51" t="str">
        <x:v>authority_state</x:v>
      </x:c>
      <x:c r="H90" s="51" t="str">
        <x:v>scope</x:v>
      </x:c>
      <x:c r="I90" s="51" t="str">
        <x:v>current_status_inference</x:v>
      </x:c>
      <x:c r="J90" s="51" t="str">
        <x:v>positive_universe_inference</x:v>
      </x:c>
      <x:c r="K90" s="51" t="str">
        <x:v>source_url</x:v>
      </x:c>
    </x:row>
    <x:row r="91">
      <x:c r="A91" s="24" t="str">
        <x:v>NEG-EW-001</x:v>
      </x:c>
      <x:c r="B91" s="24" t="str">
        <x:v>SRC-CBY-UNLICENSED-EWALLET-2024-001</x:v>
      </x:c>
      <x:c r="C91" s="24" t="str">
        <x:v>Central Bank of Yemen — Aden</x:v>
      </x:c>
      <x:c r="D91" s="24" t="str">
        <x:v>2024-06-26</x:v>
      </x:c>
      <x:c r="E91" s="24" t="str">
        <x:v>محفظة كاش</x:v>
      </x:c>
      <x:c r="F91" s="24" t="str">
        <x:v>Cash wallet</x:v>
      </x:c>
      <x:c r="G91" s="24" t="str">
        <x:v>UNLICENSED_AS_NAMED_IN_SOURCE_ON_SOURCE_DATE</x:v>
      </x:c>
      <x:c r="H91" s="24" t="str">
        <x:v>CBY circular prohibiting direct/indirect dealing</x:v>
      </x:c>
      <x:c r="I91" s="24" t="str">
        <x:v>NONE__DO_NOT_CARRY_FORWARD_TO_2026_WITHOUT_NEW_STATUS_EVIDENCE</x:v>
      </x:c>
      <x:c r="J91" s="24" t="str">
        <x:v>NONE__NEGATIVE_LIST_DOES_NOT_DEFINE_LICENSED_UNIVERSE</x:v>
      </x:c>
      <x:c r="K91" s="24" t="str">
        <x:v>https://cby-ye.com/files/667c32dabd223.pdf</x:v>
      </x:c>
    </x:row>
    <x:row r="92">
      <x:c r="A92" s="24" t="str">
        <x:v>NEG-EW-002</x:v>
      </x:c>
      <x:c r="B92" s="24" t="str">
        <x:v>SRC-CBY-UNLICENSED-EWALLET-2024-001</x:v>
      </x:c>
      <x:c r="C92" s="24" t="str">
        <x:v>Central Bank of Yemen — Aden</x:v>
      </x:c>
      <x:c r="D92" s="24" t="str">
        <x:v>2024-06-26</x:v>
      </x:c>
      <x:c r="E92" s="24" t="str">
        <x:v>محفظة الدولي موني</x:v>
      </x:c>
      <x:c r="F92" s="24" t="str">
        <x:v>Al-Dawli Money wallet</x:v>
      </x:c>
      <x:c r="G92" s="24" t="str">
        <x:v>UNLICENSED_AS_NAMED_IN_SOURCE_ON_SOURCE_DATE</x:v>
      </x:c>
      <x:c r="H92" s="24" t="str">
        <x:v>CBY circular prohibiting direct/indirect dealing</x:v>
      </x:c>
      <x:c r="I92" s="24" t="str">
        <x:v>NONE__DO_NOT_CARRY_FORWARD_TO_2026_WITHOUT_NEW_STATUS_EVIDENCE</x:v>
      </x:c>
      <x:c r="J92" s="24" t="str">
        <x:v>NONE__NEGATIVE_LIST_DOES_NOT_DEFINE_LICENSED_UNIVERSE</x:v>
      </x:c>
      <x:c r="K92" s="24" t="str">
        <x:v>https://cby-ye.com/files/667c32dabd223.pdf</x:v>
      </x:c>
    </x:row>
    <x:row r="93">
      <x:c r="A93" s="24" t="str">
        <x:v>NEG-EW-003</x:v>
      </x:c>
      <x:c r="B93" s="24" t="str">
        <x:v>SRC-CBY-UNLICENSED-EWALLET-2024-001</x:v>
      </x:c>
      <x:c r="C93" s="24" t="str">
        <x:v>Central Bank of Yemen — Aden</x:v>
      </x:c>
      <x:c r="D93" s="24" t="str">
        <x:v>2024-06-26</x:v>
      </x:c>
      <x:c r="E93" s="24" t="str">
        <x:v>محفظة جوالي</x:v>
      </x:c>
      <x:c r="F93" s="24" t="str">
        <x:v>Jawali wallet</x:v>
      </x:c>
      <x:c r="G93" s="24" t="str">
        <x:v>UNLICENSED_AS_NAMED_IN_SOURCE_ON_SOURCE_DATE</x:v>
      </x:c>
      <x:c r="H93" s="24" t="str">
        <x:v>CBY circular prohibiting direct/indirect dealing</x:v>
      </x:c>
      <x:c r="I93" s="24" t="str">
        <x:v>NONE__DO_NOT_CARRY_FORWARD_TO_2026_WITHOUT_NEW_STATUS_EVIDENCE</x:v>
      </x:c>
      <x:c r="J93" s="24" t="str">
        <x:v>NONE__NEGATIVE_LIST_DOES_NOT_DEFINE_LICENSED_UNIVERSE</x:v>
      </x:c>
      <x:c r="K93" s="24" t="str">
        <x:v>https://cby-ye.com/files/667c32dabd223.pdf</x:v>
      </x:c>
    </x:row>
    <x:row r="94">
      <x:c r="A94" s="24" t="str">
        <x:v>NEG-EW-004</x:v>
      </x:c>
      <x:c r="B94" s="24" t="str">
        <x:v>SRC-CBY-UNLICENSED-EWALLET-2024-001</x:v>
      </x:c>
      <x:c r="C94" s="24" t="str">
        <x:v>Central Bank of Yemen — Aden</x:v>
      </x:c>
      <x:c r="D94" s="24" t="str">
        <x:v>2024-06-26</x:v>
      </x:c>
      <x:c r="E94" s="24" t="str">
        <x:v>محفظة فلوسك</x:v>
      </x:c>
      <x:c r="F94" s="24" t="str">
        <x:v>Floosak wallet</x:v>
      </x:c>
      <x:c r="G94" s="24" t="str">
        <x:v>UNLICENSED_AS_NAMED_IN_SOURCE_ON_SOURCE_DATE</x:v>
      </x:c>
      <x:c r="H94" s="24" t="str">
        <x:v>CBY circular prohibiting direct/indirect dealing</x:v>
      </x:c>
      <x:c r="I94" s="24" t="str">
        <x:v>NONE__DO_NOT_CARRY_FORWARD_TO_2026_WITHOUT_NEW_STATUS_EVIDENCE</x:v>
      </x:c>
      <x:c r="J94" s="24" t="str">
        <x:v>NONE__NEGATIVE_LIST_DOES_NOT_DEFINE_LICENSED_UNIVERSE</x:v>
      </x:c>
      <x:c r="K94" s="24" t="str">
        <x:v>https://cby-ye.com/files/667c32dabd223.pdf</x:v>
      </x:c>
    </x:row>
    <x:row r="95">
      <x:c r="A95" s="24" t="str">
        <x:v>NEG-EW-005</x:v>
      </x:c>
      <x:c r="B95" s="24" t="str">
        <x:v>SRC-CBY-UNLICENSED-EWALLET-2024-001</x:v>
      </x:c>
      <x:c r="C95" s="24" t="str">
        <x:v>Central Bank of Yemen — Aden</x:v>
      </x:c>
      <x:c r="D95" s="24" t="str">
        <x:v>2024-06-26</x:v>
      </x:c>
      <x:c r="E95" s="24" t="str">
        <x:v>محفظة سبا كاش</x:v>
      </x:c>
      <x:c r="F95" s="24" t="str">
        <x:v>Saba 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NEG-EW-006</x:v>
      </x:c>
      <x:c r="B96" s="24" t="str">
        <x:v>SRC-CBY-UNLICENSED-EWALLET-2024-001</x:v>
      </x:c>
      <x:c r="C96" s="24" t="str">
        <x:v>Central Bank of Yemen — Aden</x:v>
      </x:c>
      <x:c r="D96" s="24" t="str">
        <x:v>2024-06-26</x:v>
      </x:c>
      <x:c r="E96" s="24" t="str">
        <x:v>محفظة موبايل موني</x:v>
      </x:c>
      <x:c r="F96" s="24" t="str">
        <x:v>Mobile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NEG-EW-007</x:v>
      </x:c>
      <x:c r="B97" s="24" t="str">
        <x:v>SRC-CBY-UNLICENSED-EWALLET-2024-001</x:v>
      </x:c>
      <x:c r="C97" s="24" t="str">
        <x:v>Central Bank of Yemen — Aden</x:v>
      </x:c>
      <x:c r="D97" s="24" t="str">
        <x:v>2024-06-26</x:v>
      </x:c>
      <x:c r="E97" s="24" t="str">
        <x:v>محفظة يمن والت</x:v>
      </x:c>
      <x:c r="F97" s="24" t="str">
        <x:v>Yemen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NEG-EW-008</x:v>
      </x:c>
      <x:c r="B98" s="24" t="str">
        <x:v>SRC-CBY-UNLICENSED-EWALLET-2024-001</x:v>
      </x:c>
      <x:c r="C98" s="24" t="str">
        <x:v>Central Bank of Yemen — Aden</x:v>
      </x:c>
      <x:c r="D98" s="24" t="str">
        <x:v>2024-06-26</x:v>
      </x:c>
      <x:c r="E98" s="24" t="str">
        <x:v>محفظة الريال الالكتروني</x:v>
      </x:c>
      <x:c r="F98" s="24" t="str">
        <x:v>Electronic Riyal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NEG-EW-009</x:v>
      </x:c>
      <x:c r="B99" s="24" t="str">
        <x:v>SRC-CBY-UNLICENSED-EWALLET-2024-001</x:v>
      </x:c>
      <x:c r="C99" s="24" t="str">
        <x:v>Central Bank of Yemen — Aden</x:v>
      </x:c>
      <x:c r="D99" s="24" t="str">
        <x:v>2024-06-26</x:v>
      </x:c>
      <x:c r="E99" s="24" t="str">
        <x:v>محفظة ريال موبايل</x:v>
      </x:c>
      <x:c r="F99" s="24" t="str">
        <x:v>Rial Mobile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NEG-EW-010</x:v>
      </x:c>
      <x:c r="B100" s="24" t="str">
        <x:v>SRC-CBY-UNLICENSED-EWALLET-2024-001</x:v>
      </x:c>
      <x:c r="C100" s="24" t="str">
        <x:v>Central Bank of Yemen — Aden</x:v>
      </x:c>
      <x:c r="D100" s="24" t="str">
        <x:v>2024-06-26</x:v>
      </x:c>
      <x:c r="E100" s="24" t="str">
        <x:v>محفظة جيب Jaib</x:v>
      </x:c>
      <x:c r="F100" s="24" t="str">
        <x:v>Jaib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NEG-EW-011</x:v>
      </x:c>
      <x:c r="B101" s="24" t="str">
        <x:v>SRC-CBY-UNLICENSED-EWALLET-2024-001</x:v>
      </x:c>
      <x:c r="C101" s="24" t="str">
        <x:v>Central Bank of Yemen — Aden</x:v>
      </x:c>
      <x:c r="D101" s="24" t="str">
        <x:v>2024-06-26</x:v>
      </x:c>
      <x:c r="E101" s="24" t="str">
        <x:v>محفظة وي كاش لخدمات وأنظمة الدفع الالكتروني</x:v>
      </x:c>
      <x:c r="F101" s="24" t="str">
        <x:v>We Cash electronic payment services</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NEG-EW-012</x:v>
      </x:c>
      <x:c r="B102" s="24" t="str">
        <x:v>SRC-CBY-UNLICENSED-EWALLET-2024-001</x:v>
      </x:c>
      <x:c r="C102" s="24" t="str">
        <x:v>Central Bank of Yemen — Aden</x:v>
      </x:c>
      <x:c r="D102" s="24" t="str">
        <x:v>2024-06-26</x:v>
      </x:c>
      <x:c r="E102" s="24" t="str">
        <x:v>محفظة المتكاملة</x:v>
      </x:c>
      <x:c r="F102" s="24" t="str">
        <x:v>Al-Mutakamila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5">
      <x:c r="A105" s="53" t="str">
        <x:v>Provider baseline</x:v>
      </x:c>
      <x:c r="B105" s="53"/>
      <x:c r="C105" s="53"/>
      <x:c r="D105" s="53"/>
      <x:c r="E105" s="53"/>
      <x:c r="F105" s="53"/>
      <x:c r="G105" s="53"/>
      <x:c r="H105" s="53"/>
      <x:c r="I105" s="53"/>
      <x:c r="J105" s="53"/>
      <x:c r="K105" s="53"/>
    </x:row>
    <x:row r="106">
      <x:c r="A106" s="51" t="str">
        <x:v>baseline_id</x:v>
      </x:c>
      <x:c r="B106" s="51" t="str">
        <x:v>source_id</x:v>
      </x:c>
      <x:c r="C106" s="51" t="str">
        <x:v>reference_year</x:v>
      </x:c>
      <x:c r="D106" s="51" t="str">
        <x:v>provider_class</x:v>
      </x:c>
      <x:c r="E106" s="51" t="str">
        <x:v>verified_count</x:v>
      </x:c>
      <x:c r="F106" s="51" t="str">
        <x:v>count_basis</x:v>
      </x:c>
      <x:c r="G106" s="51" t="str">
        <x:v>evidence_state</x:v>
      </x:c>
      <x:c r="H106" s="51" t="str">
        <x:v>what_it_supports</x:v>
      </x:c>
      <x:c r="I106" s="51" t="str">
        <x:v>what_it_does_not_support</x:v>
      </x:c>
      <x:c r="J106" s="51" t="str">
        <x:v>source_url</x:v>
      </x:c>
      <x:c r="K106" s="51" t="str">
        <x:v>critical_control</x:v>
      </x:c>
    </x:row>
    <x:row r="107">
      <x:c r="A107" s="24" t="str">
        <x:v>PBL-2025-001</x:v>
      </x:c>
      <x:c r="B107" s="24" t="str">
        <x:v>SRC-CBY-EXCH-LIST-2025-001</x:v>
      </x:c>
      <x:c r="C107" s="24" t="n">
        <x:v>2025</x:v>
      </x:c>
      <x:c r="D107" s="24" t="str">
        <x:v>EXCHANGE_COMPANIES</x:v>
      </x:c>
      <x:c r="E107" s="24" t="n">
        <x:v>79</x:v>
      </x:c>
      <x:c r="F107" s="24" t="str">
        <x:v>Section numbering ends at 79 in the official roster.</x:v>
      </x:c>
      <x:c r="G107" s="24" t="str">
        <x:v>PRIMARY_OFFICIAL_ROSTER_VISUALLY_VERIFIED</x:v>
      </x:c>
      <x:c r="H107" s="24" t="str">
        <x:v>A dated 2025 predecessor count and historical universe structure.</x:v>
      </x:c>
      <x:c r="I107" s="24" t="str">
        <x:v>Any 2026 count, current membership, operation or status.</x:v>
      </x:c>
      <x:c r="J107" s="24" t="str">
        <x:v>https://cby-ye.com/files/69561aafe8942.pdf</x:v>
      </x:c>
      <x:c r="K107" s="24" t="str">
        <x:v>Historical predecessor only; never carry forward membership to 2026.</x:v>
      </x:c>
    </x:row>
    <x:row r="108">
      <x:c r="A108" s="24" t="str">
        <x:v>PBL-2025-002</x:v>
      </x:c>
      <x:c r="B108" s="24" t="str">
        <x:v>SRC-CBY-EXCH-LIST-2025-001</x:v>
      </x:c>
      <x:c r="C108" s="24" t="n">
        <x:v>2025</x:v>
      </x:c>
      <x:c r="D108" s="24" t="str">
        <x:v>EXCHANGE_ESTABLISHMENTS</x:v>
      </x:c>
      <x:c r="E108" s="24" t="n">
        <x:v>195</x:v>
      </x:c>
      <x:c r="F108" s="24" t="str">
        <x:v>Section numbering ends at 195 in the official roster.</x:v>
      </x:c>
      <x:c r="G108" s="24" t="str">
        <x:v>PRIMARY_OFFICIAL_ROSTER_VISUALLY_VERIFIED</x:v>
      </x:c>
      <x:c r="H108" s="24" t="str">
        <x:v>A dated 2025 predecessor count and historical universe structure.</x:v>
      </x:c>
      <x:c r="I108" s="24" t="str">
        <x:v>Any 2026 count, current membership, operation or status.</x:v>
      </x:c>
      <x:c r="J108" s="24" t="str">
        <x:v>https://cby-ye.com/files/69561aafe8942.pdf</x:v>
      </x:c>
      <x:c r="K108" s="24" t="str">
        <x:v>Historical predecessor only; never carry forward membership to 2026.</x:v>
      </x:c>
    </x:row>
    <x:row r="109">
      <x:c r="A109" s="24" t="str">
        <x:v>PBL-2025-003</x:v>
      </x:c>
      <x:c r="B109" s="24" t="str">
        <x:v>SRC-CBY-EXCH-LIST-2025-001</x:v>
      </x:c>
      <x:c r="C109" s="24" t="n">
        <x:v>2025</x:v>
      </x:c>
      <x:c r="D109" s="24" t="str">
        <x:v>REMITTANCE_AGENTS</x:v>
      </x:c>
      <x:c r="E109" s="24" t="n">
        <x:v>108</x:v>
      </x:c>
      <x:c r="F109" s="24" t="str">
        <x:v>Official PDF text/page sequence reaches row 108 in the third section.</x:v>
      </x:c>
      <x:c r="G109" s="24" t="str">
        <x:v>PRIMARY_OFFICIAL_ROSTER_VISUALLY_VERIFIED</x:v>
      </x:c>
      <x:c r="H109" s="24" t="str">
        <x:v>A dated 2025 predecessor count and historical universe structure.</x:v>
      </x:c>
      <x:c r="I109" s="24" t="str">
        <x:v>Any 2026 count, current membership, operation or status.</x:v>
      </x:c>
      <x:c r="J109" s="24" t="str">
        <x:v>https://cby-ye.com/files/69561aafe8942.pdf</x:v>
      </x:c>
      <x:c r="K109" s="24" t="str">
        <x:v>Historical predecessor only; never carry forward membership to 2026.</x:v>
      </x:c>
    </x:row>
    <x:row r="110">
      <x:c r="A110" s="24" t="str">
        <x:v>PBL-2025-004</x:v>
      </x:c>
      <x:c r="B110" s="24" t="str">
        <x:v>SRC-CBY-EXCH-LIST-2025-001</x:v>
      </x:c>
      <x:c r="C110" s="24" t="n">
        <x:v>2025</x:v>
      </x:c>
      <x:c r="D110" s="24" t="str">
        <x:v>TOTAL_ROSTER_ENTRIES</x:v>
      </x:c>
      <x:c r="E110" s="24" t="n">
        <x:v>382</x:v>
      </x:c>
      <x:c r="F110" s="24" t="str">
        <x:v>79 companies + 195 establishments + 108 remittance agents.</x:v>
      </x:c>
      <x:c r="G110" s="24" t="str">
        <x:v>DERIVED_FROM_PRIMARY_SECTION_COUNTS</x:v>
      </x:c>
      <x:c r="H110" s="24" t="str">
        <x:v>A bounded historical headline about the size/structure of the 2025 roster.</x:v>
      </x:c>
      <x:c r="I110" s="24" t="str">
        <x:v>Unique legal entities across categories, 2026 size, active operation, branch network or market share.</x:v>
      </x:c>
      <x:c r="J110" s="24" t="str">
        <x:v>https://cby-ye.com/files/69561aafe8942.pdf</x:v>
      </x:c>
      <x:c r="K110" s="24" t="str">
        <x:v>This is a category-entry total, not a current provider census and not necessarily unique economic actors.</x:v>
      </x:c>
    </x:row>
    <x:row r="113">
      <x:c r="A113" s="53" t="str">
        <x:v>Wallet count reconciliation</x:v>
      </x:c>
      <x:c r="B113" s="53"/>
      <x:c r="C113" s="53"/>
      <x:c r="D113" s="53"/>
      <x:c r="E113" s="53"/>
      <x:c r="F113" s="53"/>
      <x:c r="G113" s="53"/>
      <x:c r="H113" s="53"/>
      <x:c r="I113" s="53"/>
      <x:c r="J113" s="53"/>
      <x:c r="K113" s="53"/>
    </x:row>
    <x:row r="114">
      <x:c r="A114" s="51" t="str">
        <x:v>wallet_count_object_id</x:v>
      </x:c>
      <x:c r="B114" s="51" t="str">
        <x:v>source_id</x:v>
      </x:c>
      <x:c r="C114" s="51" t="str">
        <x:v>reference_period</x:v>
      </x:c>
      <x:c r="D114" s="51" t="str">
        <x:v>source_wording_or_metric</x:v>
      </x:c>
      <x:c r="E114" s="51" t="str">
        <x:v>reported_value</x:v>
      </x:c>
      <x:c r="F114" s="51" t="str">
        <x:v>unit</x:v>
      </x:c>
      <x:c r="G114" s="51" t="str">
        <x:v>semantic_state</x:v>
      </x:c>
      <x:c r="H114" s="51" t="str">
        <x:v>possible_relation_to_other_counts</x:v>
      </x:c>
      <x:c r="I114" s="51" t="str">
        <x:v>admitted_use</x:v>
      </x:c>
      <x:c r="J114" s="51" t="str">
        <x:v>prohibited_inference</x:v>
      </x:c>
      <x:c r="K114" s="51" t="str">
        <x:v>source_url</x:v>
      </x:c>
    </x:row>
    <x:row r="115">
      <x:c r="A115" s="24" t="str">
        <x:v>WCR-001</x:v>
      </x:c>
      <x:c r="B115" s="24" t="str">
        <x:v>SRC-CBY-PAYREPORT-Q3-2024</x:v>
      </x:c>
      <x:c r="C115" s="24" t="str">
        <x:v>2024 Q3</x:v>
      </x:c>
      <x:c r="D115" s="24" t="str">
        <x:v>Number of e-wallets</x:v>
      </x:c>
      <x:c r="E115" s="24" t="n">
        <x:v>7</x:v>
      </x:c>
      <x:c r="F115" s="24" t="str">
        <x:v>e-wallets</x:v>
      </x:c>
      <x:c r="G115" s="24" t="str">
        <x:v>PRIMARY_ADMINISTRATIVE_COUNT</x:v>
      </x:c>
      <x:c r="H115" s="24" t="str">
        <x:v>Could be reporting-universe count at Q3 2024; exact licensing/active/reporting semantics not proven identical to later objects.</x:v>
      </x:c>
      <x:c r="I115" s="24" t="str">
        <x:v>Display as a dated source-reported count only.</x:v>
      </x:c>
      <x:c r="J115" s="24" t="str">
        <x:v>Do not trend mechanically to 9 or 8 and do not infer entry/exit.</x:v>
      </x:c>
      <x:c r="K115" s="24" t="str">
        <x:v>https://www.cby-ye.com/files/677c2e75a4d8c.pdf</x:v>
      </x:c>
    </x:row>
    <x:row r="116">
      <x:c r="A116" s="24" t="str">
        <x:v>WCR-002</x:v>
      </x:c>
      <x:c r="B116" s="24" t="str">
        <x:v>SRC-CBY-PAYREPORT-H1-2025</x:v>
      </x:c>
      <x:c r="C116" s="24" t="str">
        <x:v>2025 H1</x:v>
      </x:c>
      <x:c r="D116" s="24" t="str">
        <x:v>Number of e-wallets</x:v>
      </x:c>
      <x:c r="E116" s="24" t="n">
        <x:v>9</x:v>
      </x:c>
      <x:c r="F116" s="24" t="str">
        <x:v>e-wallets</x:v>
      </x:c>
      <x:c r="G116" s="24" t="str">
        <x:v>PRIMARY_ADMINISTRATIVE_COUNT</x:v>
      </x:c>
      <x:c r="H116" s="24" t="str">
        <x:v>Administrative reporting count; may differ from legal licensed-universe wording or reference date.</x:v>
      </x:c>
      <x:c r="I116" s="24" t="str">
        <x:v>Display with H1 report context and subscribers/activity metrics.</x:v>
      </x:c>
      <x:c r="J116" s="24" t="str">
        <x:v>Do not equate automatically to licensed providers or unique wallet products.</x:v>
      </x:c>
      <x:c r="K116" s="24" t="str">
        <x:v>https://www.cby-ye.com/files/693a7845e7f26.pdf</x:v>
      </x:c>
    </x:row>
    <x:row r="117">
      <x:c r="A117" s="24" t="str">
        <x:v>WCR-003</x:v>
      </x:c>
      <x:c r="B117" s="24" t="str">
        <x:v>SRC-CBY-FMIIP-WORKSHOP-2025</x:v>
      </x:c>
      <x:c r="C117" s="24" t="str">
        <x:v>2025-09-10</x:v>
      </x:c>
      <x:c r="D117" s="24" t="str">
        <x:v>Governor states CBY licensed eight electronic wallets</x:v>
      </x:c>
      <x:c r="E117" s="24" t="n">
        <x:v>8</x:v>
      </x:c>
      <x:c r="F117" s="24" t="str">
        <x:v>licensed e-wallets</x:v>
      </x:c>
      <x:c r="G117" s="24" t="str">
        <x:v>PRIMARY_OFFICIAL_DATED_LICENSING_STATEMENT</x:v>
      </x:c>
      <x:c r="H117" s="24" t="str">
        <x:v>Legal/authority wording differs from H1 payment-report count; named universe not supplied.</x:v>
      </x:c>
      <x:c r="I117" s="24" t="str">
        <x:v>Display as a dated licensing statement with attribution.</x:v>
      </x:c>
      <x:c r="J117" s="24" t="str">
        <x:v>Do not infer one provider exited between H1 and September without direct status evidence.</x:v>
      </x:c>
      <x:c r="K117" s="24" t="str">
        <x:v>https://cby-ye.com/news/876</x:v>
      </x:c>
    </x:row>
    <x:row r="118">
      <x:c r="A118" s="24" t="str">
        <x:v>WCR-004</x:v>
      </x:c>
      <x:c r="B118" s="24" t="str">
        <x:v>SRC-CBY-DIGITAL-EXPO-2026-001</x:v>
      </x:c>
      <x:c r="C118" s="24" t="str">
        <x:v>2026-01-22 event</x:v>
      </x:c>
      <x:c r="D118" s="24" t="str">
        <x:v>More than 9 e-wallets participated in the digital-payment exhibition</x:v>
      </x:c>
      <x:c r="E118" s="24" t="str">
        <x:v>&gt;9</x:v>
      </x:c>
      <x:c r="F118" s="24" t="str">
        <x:v>event participants</x:v>
      </x:c>
      <x:c r="G118" s="24" t="str">
        <x:v>PRIMARY_OFFICIAL_EVENT_PARTICIPATION</x:v>
      </x:c>
      <x:c r="H118" s="24" t="str">
        <x:v>Participation count is neither a licensing count nor a complete current universe.</x:v>
      </x:c>
      <x:c r="I118" s="24" t="str">
        <x:v>Use as event participation/activity evidence only.</x:v>
      </x:c>
      <x:c r="J118" s="24" t="str">
        <x:v>Do not call it the licensed wallet count or use it to close the named universe.</x:v>
      </x:c>
      <x:c r="K118" s="24" t="str">
        <x:v>https://cby-ye.com/news/915</x:v>
      </x:c>
    </x:row>
    <x:row r="119">
      <x:c r="A119" s="24" t="str">
        <x:v>WCR-005</x:v>
      </x:c>
      <x:c r="B119" s="24" t="str">
        <x:v>MULTI_SOURCE</x:v>
      </x:c>
      <x:c r="C119" s="24" t="str">
        <x:v>2024-2026</x:v>
      </x:c>
      <x:c r="D119" s="24" t="str">
        <x:v>7 → 9 → 8 → &gt;9 are not a valid time series without semantic reconciliation</x:v>
      </x:c>
      <x:c r="E119" s="24"/>
      <x:c r="F119" s="24" t="str">
        <x:v>N/A</x:v>
      </x:c>
      <x:c r="G119" s="24" t="str">
        <x:v>CONTROLLED_SEMANTIC_CONTRADICTION</x:v>
      </x:c>
      <x:c r="H119" s="24" t="str">
        <x:v>Different dates, source contexts and likely universes/definitions may explain the values; no explanation is assumed.</x:v>
      </x:c>
      <x:c r="I119" s="24" t="str">
        <x:v>Power Source Comparison Lab and provider-observability badges.</x:v>
      </x:c>
      <x:c r="J119" s="24" t="str">
        <x:v>Do not manufacture wallet growth/churn, net entry, current 2026 count or named roster.</x:v>
      </x:c>
      <x:c r="K119" s="24" t="str">
        <x:v>Internal synthesis governed by source objects</x:v>
      </x:c>
    </x:row>
    <x:row r="122">
      <x:c r="A122" s="53" t="str">
        <x:v>Payment currentness</x:v>
      </x:c>
      <x:c r="B122" s="53"/>
      <x:c r="C122" s="53"/>
      <x:c r="D122" s="53"/>
      <x:c r="E122" s="53"/>
      <x:c r="F122" s="53"/>
      <x:c r="G122" s="53"/>
      <x:c r="H122" s="53"/>
      <x:c r="I122" s="53"/>
    </x:row>
    <x:row r="123">
      <x:c r="A123" s="51" t="str">
        <x:v>payment_control_id</x:v>
      </x:c>
      <x:c r="B123" s="51" t="str">
        <x:v>object_family</x:v>
      </x:c>
      <x:c r="C123" s="51" t="str">
        <x:v>latest_primary_state</x:v>
      </x:c>
      <x:c r="D123" s="51" t="str">
        <x:v>latest_period_or_date</x:v>
      </x:c>
      <x:c r="E123" s="51" t="str">
        <x:v>normalization_state</x:v>
      </x:c>
      <x:c r="F123" s="51" t="str">
        <x:v>what_is_currently_safe</x:v>
      </x:c>
      <x:c r="G123" s="51" t="str">
        <x:v>remaining_gap</x:v>
      </x:c>
      <x:c r="H123" s="51" t="str">
        <x:v>source_url</x:v>
      </x:c>
      <x:c r="I123" s="51" t="str">
        <x:v>release_state</x:v>
      </x:c>
    </x:row>
    <x:row r="124">
      <x:c r="A124" s="24" t="str">
        <x:v>PAYCUR-001</x:v>
      </x:c>
      <x:c r="B124" s="24" t="str">
        <x:v>Monthly POS operations</x:v>
      </x:c>
      <x:c r="C124" s="24" t="str">
        <x:v>CBY current payments page rechecked on 2026-09-26; it lists monthly POS objects March 2025 through January 2026</x:v>
      </x:c>
      <x:c r="D124" s="24" t="str">
        <x:v>2026-01</x:v>
      </x:c>
      <x:c r="E124" s="24" t="str">
        <x:v>NORMALIZED_IN_11_CBY_PAYMENTS__CURRENTNESS_RECHECKED_2026-09-26</x:v>
      </x:c>
      <x:c r="F124" s="24" t="str">
        <x:v>Use the controlled monthly POS sequence only through January 2026, with source-specific values/units and missingness preserved.</x:v>
      </x:c>
      <x:c r="G124" s="24" t="str">
        <x:v>No later monthly POS object was exposed on the official payments page when rechecked on 2026-09-26; do not extrapolate February onward.</x:v>
      </x:c>
      <x:c r="H124" s="24" t="str">
        <x:v>https://english.cby-ye.com/pages/27</x:v>
      </x:c>
      <x:c r="I124" s="24" t="str">
        <x:v>PUBLIC_CONDITIONAL</x:v>
      </x:c>
    </x:row>
    <x:row r="125">
      <x:c r="A125" s="24" t="str">
        <x:v>PAYCUR-002</x:v>
      </x:c>
      <x:c r="B125" s="24" t="str">
        <x:v>H1 payment-system snapshot</x:v>
      </x:c>
      <x:c r="C125" s="24" t="str">
        <x:v>Cards, ATMs, POS, accounts, e-wallet count and subscribers reported in official H1 2025 payment report</x:v>
      </x:c>
      <x:c r="D125" s="24" t="str">
        <x:v>2025 H1</x:v>
      </x:c>
      <x:c r="E125" s="24" t="str">
        <x:v>NORMALIZED_IN_11_CBY_PAYMENTS</x:v>
      </x:c>
      <x:c r="F125" s="24" t="str">
        <x:v>Use as a bounded administrative snapshot with metric definitions and non-person caveats.</x:v>
      </x:c>
      <x:c r="G125" s="24" t="str">
        <x:v>Not a 2026 snapshot and not proof of unique active users.</x:v>
      </x:c>
      <x:c r="H125" s="24" t="str">
        <x:v>https://www.cby-ye.com/files/693a7845e7f26.pdf</x:v>
      </x:c>
      <x:c r="I125" s="24" t="str">
        <x:v>PUBLIC_CONDITIONAL</x:v>
      </x:c>
    </x:row>
    <x:row r="126">
      <x:c r="A126" s="24" t="str">
        <x:v>PAYCUR-003</x:v>
      </x:c>
      <x:c r="B126" s="24" t="str">
        <x:v>Digital-finance infrastructure project</x:v>
      </x:c>
      <x:c r="C126" s="24" t="str">
        <x:v>CBY/World Bank/UNDP workshop states FPS/RTGS/interoperability programme and reports 15 banks connected to national card switch plus 8 licensed electronic wallets</x:v>
      </x:c>
      <x:c r="D126" s="24" t="str">
        <x:v>2025-09-10</x:v>
      </x:c>
      <x:c r="E126" s="24" t="str">
        <x:v>PRIMARY_EVENT_NORMALIZED</x:v>
      </x:c>
      <x:c r="F126" s="24" t="str">
        <x:v>Use as project/regulatory/infrastructure state, not outcome.</x:v>
      </x:c>
      <x:c r="G126" s="24" t="str">
        <x:v>Named wallet universe and independent go-live/coverage/use metrics remain open.</x:v>
      </x:c>
      <x:c r="H126" s="24" t="str">
        <x:v>https://cby-ye.com/news/876</x:v>
      </x:c>
      <x:c r="I126" s="24" t="str">
        <x:v>PUBLIC_CONDITIONAL</x:v>
      </x:c>
    </x:row>
    <x:row r="127">
      <x:c r="A127" s="24" t="str">
        <x:v>PAYCUR-004</x:v>
      </x:c>
      <x:c r="B127" s="24" t="str">
        <x:v>Unified-network integration</x:v>
      </x:c>
      <x:c r="C127" s="24" t="str">
        <x:v>CBY June 2026 meeting discusses implementation of unified network as main channel and completion of integration among banks and financial-service providers</x:v>
      </x:c>
      <x:c r="D127" s="24" t="str">
        <x:v>2026-06-17</x:v>
      </x:c>
      <x:c r="E127" s="24" t="str">
        <x:v>PRIMARY_EVENT_NORMALIZED</x:v>
      </x:c>
      <x:c r="F127" s="24" t="str">
        <x:v>Use as implementation/integration-state evidence.</x:v>
      </x:c>
      <x:c r="G127" s="24" t="str">
        <x:v>Do not infer every participant is technically live or all transfers use the network.</x:v>
      </x:c>
      <x:c r="H127" s="24" t="str">
        <x:v>https://cby-ye.com/news/946</x:v>
      </x:c>
      <x:c r="I127" s="24" t="str">
        <x:v>PUBLIC_CONDITIONAL</x:v>
      </x:c>
    </x:row>
    <x:row r="128">
      <x:c r="A128" s="24" t="str">
        <x:v>PAYCUR-005</x:v>
      </x:c>
      <x:c r="B128" s="24" t="str">
        <x:v>Unified Money Network company</x:v>
      </x:c>
      <x:c r="C128" s="24" t="str">
        <x:v>CBY reports restructuring/capital increase and expansion of shareholder base with banks joining the company</x:v>
      </x:c>
      <x:c r="D128" s="24" t="str">
        <x:v>2026-07-27</x:v>
      </x:c>
      <x:c r="E128" s="24" t="str">
        <x:v>PRIMARY_EVENT_NORMALIZED</x:v>
      </x:c>
      <x:c r="F128" s="24" t="str">
        <x:v>Use as institutionalization/governance evidence in payment infrastructure timeline.</x:v>
      </x:c>
      <x:c r="G128" s="24" t="str">
        <x:v>No inference on transaction coverage, unique users or inclusion outcomes.</x:v>
      </x:c>
      <x:c r="H128" s="24" t="str">
        <x:v>https://cby-ye.com/news/957</x:v>
      </x:c>
      <x:c r="I128" s="24" t="str">
        <x:v>PUBLIC_CONDITIONAL</x:v>
      </x:c>
    </x:row>
    <x:row r="129">
      <x:c r="A129" s="24" t="str">
        <x:v>PAYCUR-006</x:v>
      </x:c>
      <x:c r="B129" s="24" t="str">
        <x:v>Yemeni Payments and Clearing Company</x:v>
      </x:c>
      <x:c r="C129" s="24" t="str">
        <x:v>Founding assembly held 2026-08-03 and first board meeting held 2026-08-04</x:v>
      </x:c>
      <x:c r="D129" s="24" t="str">
        <x:v>2026-08-03/04</x:v>
      </x:c>
      <x:c r="E129" s="24" t="str">
        <x:v>PRIMARY_EVENT_NORMALIZED</x:v>
      </x:c>
      <x:c r="F129" s="24" t="str">
        <x:v>Use as institutional-establishment state for national payments infrastructure.</x:v>
      </x:c>
      <x:c r="G129" s="24" t="str">
        <x:v>Company establishment ≠ system go-live, usage or outcome.</x:v>
      </x:c>
      <x:c r="H129" s="24" t="str">
        <x:v>https://cby-ye.com/news/961 | https://cby-ye.com/news/962</x:v>
      </x:c>
      <x:c r="I129" s="24" t="str">
        <x:v>PUBLIC_CONDITIONAL</x:v>
      </x:c>
    </x:row>
    <x:row r="137">
      <x:c r="A137" s="160" t="str">
        <x:v>Official CBY 2026 exchange/remittance roster — category counts / أعداد فئات قائمة الصرافة والحوالات الرسمية 2026</x:v>
      </x:c>
      <x:c r="B137" s="160"/>
      <x:c r="C137" s="160"/>
      <x:c r="D137" s="160"/>
      <x:c r="E137" s="160"/>
      <x:c r="F137" s="160"/>
      <x:c r="G137" s="160"/>
      <x:c r="H137" s="160"/>
    </x:row>
    <x:row r="138">
      <x:c r="A138" s="163" t="str">
        <x:v>roster_metric_id</x:v>
      </x:c>
      <x:c r="B138" s="163" t="str">
        <x:v>provider_class_en</x:v>
      </x:c>
      <x:c r="C138" s="163" t="str">
        <x:v>provider_class_ar</x:v>
      </x:c>
      <x:c r="D138" s="163" t="str">
        <x:v>count</x:v>
      </x:c>
      <x:c r="E138" s="163" t="str">
        <x:v>unit</x:v>
      </x:c>
      <x:c r="F138" s="163" t="str">
        <x:v>period</x:v>
      </x:c>
      <x:c r="G138" s="163" t="str">
        <x:v>source_id</x:v>
      </x:c>
      <x:c r="H138" s="163" t="str">
        <x:v>interpretation</x:v>
      </x:c>
    </x:row>
    <x:row r="139">
      <x:c r="A139" s="24" t="str">
        <x:v>CBY-ROSTER-2026-COMP</x:v>
      </x:c>
      <x:c r="B139" s="24" t="str">
        <x:v>Exchange companies</x:v>
      </x:c>
      <x:c r="C139" s="28" t="str">
        <x:v>شركات الصرافة</x:v>
      </x:c>
      <x:c r="D139" s="24" t="n">
        <x:v>98</x:v>
      </x:c>
      <x:c r="E139" s="24" t="str">
        <x:v>source-listed rows</x:v>
      </x:c>
      <x:c r="F139" s="24" t="str">
        <x:v>2026</x:v>
      </x:c>
      <x:c r="G139" s="24" t="str">
        <x:v>SRC-CBY-EXCH-LIST-2026-001</x:v>
      </x:c>
      <x:c r="H139" s="24" t="str">
        <x:v>Annual roster count; not proof of current operation.</x:v>
      </x:c>
    </x:row>
    <x:row r="140">
      <x:c r="A140" s="24" t="str">
        <x:v>CBY-ROSTER-2026-EST</x:v>
      </x:c>
      <x:c r="B140" s="24" t="str">
        <x:v>Individual exchange establishments</x:v>
      </x:c>
      <x:c r="C140" s="28" t="str">
        <x:v>منشآت الصرافة الفردية</x:v>
      </x:c>
      <x:c r="D140" s="24" t="n">
        <x:v>225</x:v>
      </x:c>
      <x:c r="E140" s="24" t="str">
        <x:v>source-listed rows</x:v>
      </x:c>
      <x:c r="F140" s="24" t="str">
        <x:v>2026</x:v>
      </x:c>
      <x:c r="G140" s="24" t="str">
        <x:v>SRC-CBY-EXCH-LIST-2026-001</x:v>
      </x:c>
      <x:c r="H140" s="24" t="str">
        <x:v>Annual roster count; not proof of current operation.</x:v>
      </x:c>
    </x:row>
    <x:row r="141">
      <x:c r="A141" s="24" t="str">
        <x:v>CBY-ROSTER-2026-AGT</x:v>
      </x:c>
      <x:c r="B141" s="24" t="str">
        <x:v>Remittance agents</x:v>
      </x:c>
      <x:c r="C141" s="28" t="str">
        <x:v>وكلاء الحوالات</x:v>
      </x:c>
      <x:c r="D141" s="24" t="n">
        <x:v>106</x:v>
      </x:c>
      <x:c r="E141" s="24" t="str">
        <x:v>source-listed rows</x:v>
      </x:c>
      <x:c r="F141" s="24" t="str">
        <x:v>2026</x:v>
      </x:c>
      <x:c r="G141" s="24" t="str">
        <x:v>SRC-CBY-EXCH-LIST-2026-001</x:v>
      </x:c>
      <x:c r="H141" s="24" t="str">
        <x:v>Annual roster count; not proof of current operation.</x:v>
      </x:c>
    </x:row>
    <x:row r="142">
      <x:c r="A142" s="24" t="str">
        <x:v>CBY-ROSTER-2026-ROWS</x:v>
      </x:c>
      <x:c r="B142" s="24" t="str">
        <x:v>All listed rows across the three classes</x:v>
      </x:c>
      <x:c r="C142" s="28" t="str">
        <x:v>إجمالي الصفوف المدرجة عبر الفئات الثلاث</x:v>
      </x:c>
      <x:c r="D142" s="24" t="n">
        <x:v>429</x:v>
      </x:c>
      <x:c r="E142" s="24" t="str">
        <x:v>rows</x:v>
      </x:c>
      <x:c r="F142" s="24" t="str">
        <x:v>2026</x:v>
      </x:c>
      <x:c r="G142" s="24" t="str">
        <x:v>SRC-CBY-EXCH-LIST-2026-001</x:v>
      </x:c>
      <x:c r="H142" s="24" t="str">
        <x:v>Arithmetic sum only; not a deduplicated unique-provider count.</x:v>
      </x:c>
    </x:row>
  </x:sheetData>
  <x:mergeCells>
    <x:mergeCell ref="A1:O1"/>
    <x:mergeCell ref="A2:O2"/>
    <x:mergeCell ref="A63:K63"/>
    <x:mergeCell ref="A71:L71"/>
    <x:mergeCell ref="A89:K89"/>
    <x:mergeCell ref="A105:K105"/>
    <x:mergeCell ref="A113:K113"/>
    <x:mergeCell ref="A122:I122"/>
    <x:mergeCell ref="A137:H137"/>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مؤشَّرًا بأساس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مؤشَّرًا بأساس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مؤشَّرًا بأساس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18.35</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6.98</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19.53</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5.01</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142" t="str">
        <x:v>WB-FINDEX-CURRENTNESS-2025-001</x:v>
      </x:c>
      <x:c r="B14" s="142" t="str">
        <x:v>FINDEX_EDITION</x:v>
      </x:c>
      <x:c r="C14" s="142" t="str">
        <x:v>Current Global Findex edition and Yemen observation coverage</x:v>
      </x:c>
      <x:c r="D14" s="142" t="str">
        <x:v>Yemen</x:v>
      </x:c>
      <x:c r="E14" s="142" t="str">
        <x:v>2025 publication / latest Yemen observation 2022</x:v>
      </x:c>
      <x:c r="F14" s="142"/>
      <x:c r="G14" s="142" t="str">
        <x:v>coverage / currentness</x:v>
      </x:c>
      <x:c r="H14" s="142" t="str">
        <x:v>World Bank Global Findex</x:v>
      </x:c>
      <x:c r="I14" s="142" t="str">
        <x:v>https://www.worldbank.org/en/publication/globalfindex/download-data</x:v>
      </x:c>
      <x:c r="J14" s="142" t="str">
        <x:v>METHOD_CURRENTNESS</x:v>
      </x:c>
      <x:c r="K14"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not yet held in the controlled evidence library.</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NO</x:v>
      </x:c>
      <x:c r="C23" s="24" t="str">
        <x:v>Evidence custody</x:v>
      </x:c>
      <x:c r="D23" s="24" t="str">
        <x:v>Do not claim weighted microdata calculations have been completed.</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Login required for Yemen Findex microdata retrieval at the current catalog page</x:v>
      </x:c>
      <x:c r="C29" s="24" t="str">
        <x:v>World Bank Microdata Library — YEM_2022_FINDEX_v01_M / Get Microdata</x:v>
      </x:c>
      <x:c r="D29" s="24" t="str">
        <x:v>The catalog exposes metadata publicly but requires login to retrieve the respondent-level file. The Production Master records respondent_microdata_controlled=NO; public indicators in this system are therefore not described as re-estimated from controlled respondent microdata.</x:v>
      </x:c>
      <x:c r="E29" s="24" t="str">
        <x:v>If microdata are later acquired, verify the item-specific access category and terms before storage, analysis or redistribution.</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NOT_VERIFIED_AGAINST_OECD_TEXT</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NOT_VERIFIED_AGAINST_OECD_TEXT</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NOT_VERIFIED_AGAINST_OECD_TEXT</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NOT_VERIFIED_AGAINST_OECD_TEXT</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NOT_VERIFIED_AGAINST_OECD_TEXT</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NOT_VERIFIED_AGAINST_OECD_TEXT</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2025-07</x:v>
      </x:c>
      <x:c r="C7" s="24" t="str">
        <x:v>World Bank / UNDP project</x:v>
      </x:c>
      <x:c r="D7" s="24" t="str">
        <x:v>FMIIP starts</x:v>
      </x:c>
      <x:c r="E7" s="24" t="str">
        <x:v>Five-year Yemen Financial Market Infrastructure and Inclusion Project starts, funded by the World Bank and implemented by UNDP, with CBY-Aden as primary beneficiary.</x:v>
      </x:c>
      <x:c r="F7" s="24" t="str">
        <x:v>PROJECT_START</x:v>
      </x:c>
      <x:c r="G7" s="24" t="str">
        <x:v>/reforms/projects</x:v>
      </x:c>
      <x:c r="H7" s="24" t="str">
        <x:v>https://www.undp.org/yemen/projects/yemen-financial-market-infrastructure-and-inclusion-project</x:v>
      </x:c>
    </x:row>
    <x:row r="8">
      <x:c r="A8" s="24" t="str">
        <x:v>REF-PAY-003</x:v>
      </x:c>
      <x:c r="B8" s="24" t="str">
        <x:v>2025-07</x:v>
      </x:c>
      <x:c r="C8" s="24" t="str">
        <x:v>FMIIP component</x:v>
      </x:c>
      <x:c r="D8" s="24" t="str">
        <x:v>Fast Payment System</x:v>
      </x:c>
      <x:c r="E8" s="24" t="str">
        <x:v>Project component supports development of a Fast Payment System (FPS) in IRG-controlled areas as a distinct payment-infrastructure component.</x:v>
      </x:c>
      <x:c r="F8" s="24" t="str">
        <x:v>PAYMENT_RAIL_COMPONENT</x:v>
      </x:c>
      <x:c r="G8" s="24" t="str">
        <x:v>/reforms/projects</x:v>
      </x:c>
      <x:c r="H8" s="24" t="str">
        <x:v>https://www.undp.org/yemen/projects/yemen-financial-market-infrastructure-and-inclusion-project</x:v>
      </x:c>
    </x:row>
    <x:row r="9">
      <x:c r="A9" s="24" t="str">
        <x:v>REF-PAY-004</x:v>
      </x:c>
      <x:c r="B9" s="24" t="str">
        <x:v>2025-07</x:v>
      </x:c>
      <x:c r="C9" s="24" t="str">
        <x:v>FMIIP component</x:v>
      </x:c>
      <x:c r="D9" s="24" t="str">
        <x:v>RTGS + CBY core banking</x:v>
      </x:c>
      <x:c r="E9" s="24" t="str">
        <x:v>Project component supports establishment of a Real-Time Gross Settlement system (RTGS) managed by CBY-Aden, alongside upgrading CBY-Aden core banking; the project describes RTGS as foundational payment infrastructure.</x:v>
      </x:c>
      <x:c r="F9" s="24" t="str">
        <x:v>PAYMENT_RAIL_COMPONENT</x:v>
      </x:c>
      <x:c r="G9" s="24" t="str">
        <x:v>/reforms/projects</x:v>
      </x:c>
      <x:c r="H9" s="24" t="str">
        <x:v>https://www.undp.org/yemen/projects/yemen-financial-market-infrastructure-and-inclusion-project</x:v>
      </x:c>
    </x:row>
    <x:row r="10">
      <x:c r="A10" s="24" t="str">
        <x:v>REF-PAY-005</x:v>
      </x:c>
      <x:c r="B10" s="24" t="str">
        <x:v>2025-07</x:v>
      </x:c>
      <x:c r="C10" s="24" t="str">
        <x:v>FMIIP component</x:v>
      </x:c>
      <x:c r="D10" s="24" t="str">
        <x:v>Access-point database and usage support</x:v>
      </x:c>
      <x:c r="E10" s="24" t="str">
        <x:v>Project includes geographically distributed access-point database, FI/PSP capacity building, merchant onboarding support in underserved areas and outreach.</x:v>
      </x:c>
      <x:c r="F10" s="24" t="str">
        <x:v>ACCESS_USAGE_COMPONENT</x:v>
      </x:c>
      <x:c r="G10" s="24" t="str">
        <x:v>/access + /reforms/projects</x:v>
      </x:c>
      <x:c r="H10" s="24" t="str">
        <x:v>https://www.undp.org/yemen/projects/yemen-financial-market-infrastructure-and-inclusion-project</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REF-PAY-007</x:v>
      </x:c>
      <x:c r="B12" s="24" t="str">
        <x:v>2026-08-04</x:v>
      </x:c>
      <x:c r="C12" s="24" t="str">
        <x:v>Institutional infrastructure</x:v>
      </x:c>
      <x:c r="D12" s="24" t="str">
        <x:v>Yemeni Payments and Clearing Company board begins work</x:v>
      </x:c>
      <x:c r="E12" s="24" t="str">
        <x:v>The board of the Yemeni Payments and Clearing Company held its first meeting; CBY describes the company as a strategic step in modernizing national payments infrastructure and supporting financial inclusion/digital transformation.</x:v>
      </x:c>
      <x:c r="F12" s="24" t="str">
        <x:v>PAYMENTS_GOVERNANCE</x:v>
      </x:c>
      <x:c r="G12" s="24" t="str">
        <x:v>/reforms/projects</x:v>
      </x:c>
      <x:c r="H12" s="24" t="str">
        <x:v>https://cby-ye.com/news/962</x:v>
      </x:c>
    </x:row>
    <x:row r="13">
      <x:c r="A13" s="24" t="str">
        <x:v>REF-FCP-001</x:v>
      </x:c>
      <x:c r="B13" s="24" t="str">
        <x:v>2023-08-28</x:v>
      </x:c>
      <x:c r="C13" s="24" t="str">
        <x:v>CBY regulatory issuance</x:v>
      </x:c>
      <x:c r="D13" s="24" t="str">
        <x:v>Financial Consumer Protection Instructions</x:v>
      </x:c>
      <x:c r="E13" s="24" t="str">
        <x:v>CBY records issuance/listing of regulatory instructions for financial consumer protection; issuance notice states a one-year maximum adjustment period for banks and other non-bank financial institutions.</x:v>
      </x:c>
      <x:c r="F13" s="24" t="str">
        <x:v>CONSUMER_PROTECTION_RULE</x:v>
      </x:c>
      <x:c r="G13" s="24" t="str">
        <x:v>/reforms/regulation + /evidence</x:v>
      </x:c>
      <x:c r="H13" s="24" t="str">
        <x:v>https://cby-ye.com/news/567</x:v>
      </x:c>
    </x:row>
    <x:row r="14">
      <x:c r="A14" s="24" t="str">
        <x:v>REF-PAY-008</x:v>
      </x:c>
      <x:c r="B14" s="24" t="str">
        <x:v>2026-03-29</x:v>
      </x:c>
      <x:c r="C14" s="24" t="str">
        <x:v>CBY board decision</x:v>
      </x:c>
      <x:c r="D14" s="24" t="str">
        <x:v>National QR + e-wallet interconnection + FPS operator participation</x:v>
      </x:c>
      <x:c r="E14" s="24" t="str">
        <x:v>CBY board approves a mandatory national QR standard, linking electronic wallets, and CBY participation as a main shareholder in the FPS operator company, with execution steps assigned.</x:v>
      </x:c>
      <x:c r="F14" s="24" t="str">
        <x:v>PAYMENTS_ARCHITECTURE_DECISION</x:v>
      </x:c>
      <x:c r="G14" s="24" t="str">
        <x:v>/reforms/projects + /payments</x:v>
      </x:c>
      <x:c r="H14" s="24" t="str">
        <x:v>https://cby-ye.com/news/922</x:v>
      </x:c>
    </x:row>
    <x:row r="15">
      <x:c r="A15" s="24" t="str">
        <x:v>REF-EMONEY-001</x:v>
      </x:c>
      <x:c r="B15" s="24" t="str">
        <x:v>2023-08-09</x:v>
      </x:c>
      <x:c r="C15" s="24" t="str">
        <x:v>CBY regulatory issuance</x:v>
      </x:c>
      <x:c r="D15" s="24" t="str">
        <x:v>Mobile e-money instructions for non-bank financial institutions</x:v>
      </x:c>
      <x:c r="E15" s="24" t="str">
        <x:v>CBY issued instructions governing mobile e-money services by non-bank financial institutions under its supervision, including consumer-protection/complaint controls.</x:v>
      </x:c>
      <x:c r="F15" s="24" t="str">
        <x:v>MOBILE_E_MONEY_RULE</x:v>
      </x:c>
      <x:c r="G15" s="24" t="str">
        <x:v>/reforms/regulation + /payments</x:v>
      </x:c>
      <x:c r="H15" s="24" t="str">
        <x:v>https://cby-ye.com/files/64dde85e0a84f.pdf</x:v>
      </x:c>
    </x:row>
    <x:row r="16">
      <x:c r="A16" s="24" t="str">
        <x:v>REF-EMONEY-002</x:v>
      </x:c>
      <x:c r="B16" s="24" t="str">
        <x:v>2025-07-09</x:v>
      </x:c>
      <x:c r="C16" s="24" t="str">
        <x:v>CBY Governor decision</x:v>
      </x:c>
      <x:c r="D16" s="24" t="str">
        <x:v>Decision No. 4 — mobile e-money amendment</x:v>
      </x:c>
      <x:c r="E16" s="24" t="str">
        <x:v>Signed amendment permits USD/SAR/AED e-money in addition to YER, restricts local-to-foreign conversion within scope, updates individual transaction/balance ceilings and takes effect from issuance.</x:v>
      </x:c>
      <x:c r="F16" s="24" t="str">
        <x:v>MOBILE_E_MONEY_AMENDMENT</x:v>
      </x:c>
      <x:c r="G16" s="24" t="str">
        <x:v>/reforms/regulation + /payments</x:v>
      </x:c>
      <x:c r="H16" s="24" t="str">
        <x:v>https://cby-ye.com/files/6875fc55a253e.pdf</x:v>
      </x:c>
    </x:row>
    <x:row r="17">
      <x:c r="A17" s="24" t="str">
        <x:v>REF-PAY-009</x:v>
      </x:c>
      <x:c r="B17" s="24" t="str">
        <x:v>2026-01-22</x:v>
      </x:c>
      <x:c r="C17" s="24" t="str">
        <x:v>CBY-supported official event / attributed operational statement</x:v>
      </x:c>
      <x:c r="D17" s="24" t="str">
        <x:v>Digital-payment exhibition and unified-network activity signal</x:v>
      </x:c>
      <x:c r="E17" s="24" t="str">
        <x:v>CBY news reports &gt;9 e-wallets at the exhibition and attributes to the Director General of Payment Systems that 22 transfer networks were unified, &gt;YER 251bn passed through the unified network in 2024 and all banks/e-wallets joined it.</x:v>
      </x:c>
      <x:c r="F17" s="24" t="str">
        <x:v>NETWORK_ACTIVITY_SIGNAL</x:v>
      </x:c>
      <x:c r="G17" s="24" t="str">
        <x:v>/payments + /reforms/projects</x:v>
      </x:c>
      <x:c r="H17" s="24" t="str">
        <x:v>https://cby-ye.com/news/915</x:v>
      </x:c>
    </x:row>
    <x:row r="18">
      <x:c r="A18" s="24" t="str">
        <x:v>REF-PAY-010</x:v>
      </x:c>
      <x:c r="B18" s="24" t="str">
        <x:v>2026-06-17</x:v>
      </x:c>
      <x:c r="C18" s="24" t="str">
        <x:v>CBY banking/payment integration meeting</x:v>
      </x:c>
      <x:c r="D18" s="24" t="str">
        <x:v>Unified network integration with banks and financial-service providers</x:v>
      </x:c>
      <x:c r="E18" s="24" t="str">
        <x:v>CBY discusses unified network as main domestic-transfer channel and completion of integration/linking among banks and different financial-service providers.</x:v>
      </x:c>
      <x:c r="F18" s="24" t="str">
        <x:v>UNIFIED_NETWORK</x:v>
      </x:c>
      <x:c r="G18" s="24" t="str">
        <x:v>/payments + /reforms/projects</x:v>
      </x:c>
      <x:c r="H18" s="24" t="str">
        <x:v>https://cby-ye.com/news/946</x:v>
      </x:c>
    </x:row>
    <x:row r="19">
      <x:c r="A19" s="24" t="str">
        <x:v>REF-PAY-011</x:v>
      </x:c>
      <x:c r="B19" s="24" t="str">
        <x:v>2026-07-27</x:v>
      </x:c>
      <x:c r="C19" s="24" t="str">
        <x:v>Unified Money Network corporate-governance event</x:v>
      </x:c>
      <x:c r="D19" s="24" t="str">
        <x:v>Restructuring, capital increase and broader bank shareholder base</x:v>
      </x:c>
      <x:c r="E19" s="24" t="str">
        <x:v>CBY reports a new phase for the Unified Money Network company after restructuring, capital increase and expansion of shareholders with banks joining.</x:v>
      </x:c>
      <x:c r="F19" s="24" t="str">
        <x:v>UNIFIED_NETWORK_COMPANY</x:v>
      </x:c>
      <x:c r="G19" s="24" t="str">
        <x:v>/payments + /reforms/projects</x:v>
      </x:c>
      <x:c r="H19" s="24" t="str">
        <x:v>https://cby-ye.com/news/957</x:v>
      </x:c>
    </x:row>
    <x:row r="20">
      <x:c r="A20" s="24" t="str">
        <x:v>REF-PAY-012</x:v>
      </x:c>
      <x:c r="B20" s="24" t="str">
        <x:v>2026-08-03</x:v>
      </x:c>
      <x:c r="C20" s="24" t="str">
        <x:v>Payment infrastructure institution establishment</x:v>
      </x:c>
      <x:c r="D20" s="24" t="str">
        <x:v>Founding assembly of Yemen Payments and Clearing Company</x:v>
      </x:c>
      <x:c r="E20" s="24" t="str">
        <x:v>CBY opens the founding assembly of YPCC with banks, financial institutions and development partners represented.</x:v>
      </x:c>
      <x:c r="F20" s="24" t="str">
        <x:v>YPCC</x:v>
      </x:c>
      <x:c r="G20" s="24" t="str">
        <x:v>/payments + /reforms/projects</x:v>
      </x:c>
      <x:c r="H20" s="24" t="str">
        <x:v>https://cby-ye.com/news/961</x:v>
      </x:c>
    </x:row>
    <x:row r="21">
      <x:c r="A21" s="24" t="str">
        <x:v>REF-PAY-013</x:v>
      </x:c>
      <x:c r="B21" s="24" t="str">
        <x:v>2026-08-04</x:v>
      </x:c>
      <x:c r="C21" s="24" t="str">
        <x:v>Payment infrastructure institution governance</x:v>
      </x:c>
      <x:c r="D21" s="24" t="str">
        <x:v>First YPCC board meeting</x:v>
      </x:c>
      <x:c r="E21" s="24" t="str">
        <x:v>The newly elected YPCC board holds its first meeting and elects its chair/vice-chair.</x:v>
      </x:c>
      <x:c r="F21" s="24" t="str">
        <x:v>YPCC</x:v>
      </x:c>
      <x:c r="G21" s="24" t="str">
        <x:v>/payments + /reforms/projects</x:v>
      </x:c>
      <x:c r="H21" s="24" t="str">
        <x:v>https://cby-ye.com/news/962</x:v>
      </x:c>
    </x:row>
    <x:row r="22">
      <x:c r="A22" s="24" t="str">
        <x:v>REF-DATA-001</x:v>
      </x:c>
      <x:c r="B22" s="24" t="str">
        <x:v>2025-07-20</x:v>
      </x:c>
      <x:c r="C22" s="24" t="str">
        <x:v>IMF STA / D4D-II with CBY-Aden</x:v>
      </x:c>
      <x:c r="D22" s="24" t="str">
        <x:v>Historical ESS reconstruction production</x:v>
      </x:c>
      <x:c r="E22" s="24" t="str">
        <x:v>July-2025 mission produced BOP/IIP statistics for 2014–2024 and strengthened source/compilation practice.</x:v>
      </x:c>
      <x:c r="F22" s="24" t="str">
        <x:v>EXTERNAL_SECTOR_DATA</x:v>
      </x:c>
      <x:c r="G22" s="24" t="str">
        <x:v>/external-sector + /methodology</x:v>
      </x:c>
      <x:c r="H22" s="24" t="str">
        <x:v>IMF D4D-II FY26 midyear implementation report</x:v>
      </x:c>
    </x:row>
    <x:row r="23">
      <x:c r="A23" s="24" t="str">
        <x:v>REF-IMF-001</x:v>
      </x:c>
      <x:c r="B23" s="24" t="str">
        <x:v>2026-07-16</x:v>
      </x:c>
      <x:c r="C23" s="24" t="str">
        <x:v>IMF staff / Yemeni authorities</x:v>
      </x:c>
      <x:c r="D23" s="24" t="str">
        <x:v>Staff-level agreement on 18-month Staff-Monitored Program</x:v>
      </x:c>
      <x:c r="E23" s="24" t="str">
        <x:v>IMF reports staff-level agreement on a proposed 18-month SMP focused on stabilization, implementation and reform track record.</x:v>
      </x:c>
      <x:c r="F23" s="24" t="str">
        <x:v>IMF_ENGAGEMENT</x:v>
      </x:c>
      <x:c r="G23" s="24" t="str">
        <x:v>/reforms + /evidence-clock</x:v>
      </x:c>
      <x:c r="H23" s="24" t="str">
        <x:v>https://www.imf.org/en/news/articles/2026/07/16/pr26249-yemen-imf-reaches-sla-on-new-staff-monitored-program</x:v>
      </x:c>
    </x:row>
    <x:row r="24">
      <x:c r="A24" s="24" t="str">
        <x:v>REF-STAT-001</x:v>
      </x:c>
      <x:c r="B24" s="24" t="str">
        <x:v>2025 onward</x:v>
      </x:c>
      <x:c r="C24" s="24" t="str">
        <x:v>IMF / future Yemen compilers</x:v>
      </x:c>
      <x:c r="D24" s="24" t="str">
        <x:v>BPM7 migration watch</x:v>
      </x:c>
      <x:c r="E24" s="24" t="str">
        <x:v>BPM7 released in 2025; country implementation is a multi-year process with broad target around 2029–2030.</x:v>
      </x:c>
      <x:c r="F24" s="24" t="str">
        <x:v>EXTERNAL_STATISTICS_STANDARD</x:v>
      </x:c>
      <x:c r="G24" s="24" t="str">
        <x:v>/methodology + /external-sector</x:v>
      </x:c>
      <x:c r="H24" s="24" t="str">
        <x:v>IMF BPM7 implementation strategy</x:v>
      </x:c>
    </x:row>
    <x:row r="25">
      <x:c r="A25" s="142" t="str">
        <x:v>REF-FMIIP-APPROVAL-2025</x:v>
      </x:c>
      <x:c r="B25" s="142" t="str">
        <x:v>2025-06-17</x:v>
      </x:c>
      <x:c r="C25" s="142" t="str">
        <x:v>World Bank Board / IDA</x:v>
      </x:c>
      <x:c r="D25" s="142" t="str">
        <x:v>FMIIP approved</x:v>
      </x:c>
      <x:c r="E25" s="142" t="str">
        <x:v>World Bank approved a US$20 million IDA grant for P180708. The project is active, implemented by UNDP, and has a closing date of 30 June 2030.</x:v>
      </x:c>
      <x:c r="F25" s="142" t="str">
        <x:v>PROJECT_APPROVAL</x:v>
      </x:c>
      <x:c r="G25" s="142" t="str">
        <x:v>/reforms/projects + /payments</x:v>
      </x:c>
      <x:c r="H25" s="142" t="str">
        <x:v>https://maps.worldbank.org/projects/wb/pid/P180708?status=active</x:v>
      </x:c>
    </x:row>
    <x:row r="26">
      <x:c r="A26" s="142" t="str">
        <x:v>REF-FMIIP-ISR2-2026</x:v>
      </x:c>
      <x:c r="B26" s="142" t="str">
        <x:v>2026-04-08</x:v>
      </x:c>
      <x:c r="C26" s="142" t="str">
        <x:v>World Bank implementation reporting</x:v>
      </x:c>
      <x:c r="D26" s="142" t="str">
        <x:v>FMIIP ISR sequence 2 disclosed</x:v>
      </x:c>
      <x:c r="E26" s="142" t="str">
        <x:v>World Bank disclosed Implementation Status and Results Report sequence 2 (ISR07344), providing the latest project-reporting checkpoint identified in this review. The existence of the report does not by itself establish target achievement.</x:v>
      </x:c>
      <x:c r="F26" s="142" t="str">
        <x:v>PROJECT_IMPLEMENTATION_REPORT</x:v>
      </x:c>
      <x:c r="G26" s="142" t="str">
        <x:v>/reforms/projects + /evidence</x:v>
      </x:c>
      <x:c r="H26" s="142" t="str">
        <x:v>https://documents.worldbank.org/en/publication/documents-reports/documentdetail/099040826144025755</x:v>
      </x:c>
    </x:row>
    <x:row r="27">
      <x:c r="A27" s="63" t="str">
        <x:v>OECD policy</x:v>
      </x:c>
      <x:c r="B27" s="63"/>
      <x:c r="C27" s="63"/>
      <x:c r="D27" s="63"/>
      <x:c r="E27" s="63"/>
      <x:c r="F27" s="63"/>
      <x:c r="G27" s="63"/>
    </x:row>
    <x:row r="28">
      <x:c r="A28" s="61" t="str">
        <x:v>policy_id</x:v>
      </x:c>
      <x:c r="B28" s="61" t="str">
        <x:v>theme</x:v>
      </x:c>
      <x:c r="C28" s="61" t="str">
        <x:v>recommendation</x:v>
      </x:c>
      <x:c r="D28" s="61" t="str">
        <x:v>side</x:v>
      </x:c>
      <x:c r="E28" s="61" t="str">
        <x:v>evidence_type</x:v>
      </x:c>
      <x:c r="F28" s="61" t="str">
        <x:v>route</x:v>
      </x:c>
      <x:c r="G28" s="61" t="str">
        <x:v>control_rule</x:v>
      </x:c>
    </x:row>
    <x:row r="29">
      <x:c r="A29" s="24" t="str">
        <x:v>OECD-POL-01</x:v>
      </x:c>
      <x:c r="B29" s="24" t="str">
        <x:v>AML/CFT</x:v>
      </x:c>
      <x:c r="C29" s="24" t="str">
        <x:v>Risk-based and thematic AML/CFT supervision</x:v>
      </x:c>
      <x:c r="D29" s="24" t="str">
        <x:v>SUPPLY</x:v>
      </x:c>
      <x:c r="E29" s="24" t="str">
        <x:v>recommendation</x:v>
      </x:c>
      <x:c r="F29" s="24" t="str">
        <x:v>/reforms/regulation</x:v>
      </x:c>
      <x:c r="G29" s="24" t="str">
        <x:v>Track legal/institutional action, not score</x:v>
      </x:c>
    </x:row>
    <x:row r="30">
      <x:c r="A30" s="24" t="str">
        <x:v>OECD-POL-02</x:v>
      </x:c>
      <x:c r="B30" s="24" t="str">
        <x:v>Correspondent banking</x:v>
      </x:c>
      <x:c r="C30" s="24" t="str">
        <x:v>Restore correspondent-banking capacity</x:v>
      </x:c>
      <x:c r="D30" s="24" t="str">
        <x:v>SUPPLY</x:v>
      </x:c>
      <x:c r="E30" s="24" t="str">
        <x:v>recommendation</x:v>
      </x:c>
      <x:c r="F30" s="24" t="str">
        <x:v>/reforms/projects</x:v>
      </x:c>
      <x:c r="G30" s="24" t="str">
        <x:v>State-machine object if a concrete reform/project exists</x:v>
      </x:c>
    </x:row>
    <x:row r="31">
      <x:c r="A31" s="24" t="str">
        <x:v>OECD-POL-03</x:v>
      </x:c>
      <x:c r="B31" s="24" t="str">
        <x:v>Liquidity</x:v>
      </x:c>
      <x:c r="C31" s="24" t="str">
        <x:v>Address frozen accounts and liquidity constraints</x:v>
      </x:c>
      <x:c r="D31" s="24" t="str">
        <x:v>SUPPLY</x:v>
      </x:c>
      <x:c r="E31" s="24" t="str">
        <x:v>recommendation</x:v>
      </x:c>
      <x:c r="F31" s="24" t="str">
        <x:v>/reforms/projects</x:v>
      </x:c>
      <x:c r="G31" s="24" t="str">
        <x:v>Do not conflate with observed liquidity outcome</x:v>
      </x:c>
    </x:row>
    <x:row r="32">
      <x:c r="A32" s="24" t="str">
        <x:v>OECD-POL-04</x:v>
      </x:c>
      <x:c r="B32" s="24" t="str">
        <x:v>Deposit protection</x:v>
      </x:c>
      <x:c r="C32" s="24" t="str">
        <x:v>Improve deposit safety / DGS</x:v>
      </x:c>
      <x:c r="D32" s="24" t="str">
        <x:v>SUPPLY</x:v>
      </x:c>
      <x:c r="E32" s="24" t="str">
        <x:v>recommendation</x:v>
      </x:c>
      <x:c r="F32" s="24" t="str">
        <x:v>/reforms/regulation</x:v>
      </x:c>
      <x:c r="G32" s="24" t="str">
        <x:v>Verify current DGS legal status</x:v>
      </x:c>
    </x:row>
    <x:row r="33">
      <x:c r="A33" s="24" t="str">
        <x:v>OECD-POL-05</x:v>
      </x:c>
      <x:c r="B33" s="24" t="str">
        <x:v>Supervision</x:v>
      </x:c>
      <x:c r="C33" s="24" t="str">
        <x:v>Deepen financial-stability analysis and supervisory capacity</x:v>
      </x:c>
      <x:c r="D33" s="24" t="str">
        <x:v>SUPPLY</x:v>
      </x:c>
      <x:c r="E33" s="24" t="str">
        <x:v>recommendation</x:v>
      </x:c>
      <x:c r="F33" s="24" t="str">
        <x:v>/reforms/regulation</x:v>
      </x:c>
      <x:c r="G33" s="24" t="str">
        <x:v>Possible capability/evidence-gap object</x:v>
      </x:c>
    </x:row>
    <x:row r="34">
      <x:c r="A34" s="24" t="str">
        <x:v>OECD-POL-06</x:v>
      </x:c>
      <x:c r="B34" s="24" t="str">
        <x:v>Resolution</x:v>
      </x:c>
      <x:c r="C34" s="24" t="str">
        <x:v>Develop banking resolution strategy</x:v>
      </x:c>
      <x:c r="D34" s="24" t="str">
        <x:v>SUPPLY</x:v>
      </x:c>
      <x:c r="E34" s="24" t="str">
        <x:v>recommendation</x:v>
      </x:c>
      <x:c r="F34" s="24" t="str">
        <x:v>/reforms/regulation</x:v>
      </x:c>
      <x:c r="G34" s="24" t="str">
        <x:v>Track instrument/status if later evidenced</x:v>
      </x:c>
    </x:row>
    <x:row r="35">
      <x:c r="A35" s="24" t="str">
        <x:v>OECD-POL-07</x:v>
      </x:c>
      <x:c r="B35" s="24" t="str">
        <x:v>Intermediation</x:v>
      </x:c>
      <x:c r="C35" s="24" t="str">
        <x:v>Restructure banking/intermediation and formalise appropriate exchanger transitions</x:v>
      </x:c>
      <x:c r="D35" s="24" t="str">
        <x:v>SUPPLY</x:v>
      </x:c>
      <x:c r="E35" s="24" t="str">
        <x:v>recommendation</x:v>
      </x:c>
      <x:c r="F35" s="24" t="str">
        <x:v>/finance + /reforms</x:v>
      </x:c>
      <x:c r="G35" s="24" t="str">
        <x:v>Provider state changes require CBY primary events</x:v>
      </x:c>
    </x:row>
    <x:row r="36">
      <x:c r="A36" s="24" t="str">
        <x:v>OECD-POL-08</x:v>
      </x:c>
      <x:c r="B36" s="24" t="str">
        <x:v>MSME finance</x:v>
      </x:c>
      <x:c r="C36" s="24" t="str">
        <x:v>Target MSME credit strategy</x:v>
      </x:c>
      <x:c r="D36" s="24" t="str">
        <x:v>SUPPLY</x:v>
      </x:c>
      <x:c r="E36" s="24" t="str">
        <x:v>recommendation</x:v>
      </x:c>
      <x:c r="F36" s="24" t="str">
        <x:v>/firms</x:v>
      </x:c>
      <x:c r="G36" s="24" t="str">
        <x:v>Separate policy from observed lending</x:v>
      </x:c>
    </x:row>
    <x:row r="37">
      <x:c r="A37" s="24" t="str">
        <x:v>OECD-POL-09</x:v>
      </x:c>
      <x:c r="B37" s="24" t="str">
        <x:v>Governance</x:v>
      </x:c>
      <x:c r="C37" s="24" t="str">
        <x:v>Strengthen corporate governance and business conduct</x:v>
      </x:c>
      <x:c r="D37" s="24" t="str">
        <x:v>SUPPLY</x:v>
      </x:c>
      <x:c r="E37" s="24" t="str">
        <x:v>recommendation</x:v>
      </x:c>
      <x:c r="F37" s="24" t="str">
        <x:v>/reforms/regulation</x:v>
      </x:c>
      <x:c r="G37" s="24" t="str">
        <x:v>No institution scoring without primary evidence</x:v>
      </x:c>
    </x:row>
    <x:row r="38">
      <x:c r="A38" s="24" t="str">
        <x:v>OECD-POL-10</x:v>
      </x:c>
      <x:c r="B38" s="24" t="str">
        <x:v>Credit support</x:v>
      </x:c>
      <x:c r="C38" s="24" t="str">
        <x:v>Credit facilities + government-backed guarantees</x:v>
      </x:c>
      <x:c r="D38" s="24" t="str">
        <x:v>SUPPLY</x:v>
      </x:c>
      <x:c r="E38" s="24" t="str">
        <x:v>recommendation</x:v>
      </x:c>
      <x:c r="F38" s="24" t="str">
        <x:v>/reforms/projects</x:v>
      </x:c>
      <x:c r="G38" s="24" t="str">
        <x:v>Finance-event taxonomy required</x:v>
      </x:c>
    </x:row>
    <x:row r="39">
      <x:c r="A39" s="24" t="str">
        <x:v>OECD-POL-11</x:v>
      </x:c>
      <x:c r="B39" s="24" t="str">
        <x:v>Digital finance</x:v>
      </x:c>
      <x:c r="C39" s="24" t="str">
        <x:v>FinTech / digitalisation / possible sandbox + client protection</x:v>
      </x:c>
      <x:c r="D39" s="24" t="str">
        <x:v>SUPPLY</x:v>
      </x:c>
      <x:c r="E39" s="24" t="str">
        <x:v>recommendation</x:v>
      </x:c>
      <x:c r="F39" s="24" t="str">
        <x:v>/payments/digital</x:v>
      </x:c>
      <x:c r="G39" s="24" t="str">
        <x:v>Verify concrete instruments before status claim</x:v>
      </x:c>
    </x:row>
    <x:row r="40">
      <x:c r="A40" s="24" t="str">
        <x:v>OECD-POL-12</x:v>
      </x:c>
      <x:c r="B40" s="24" t="str">
        <x:v>Transaction accounts</x:v>
      </x:c>
      <x:c r="C40" s="24" t="str">
        <x:v>Increase access to transaction accounts</x:v>
      </x:c>
      <x:c r="D40" s="24" t="str">
        <x:v>DEMAND</x:v>
      </x:c>
      <x:c r="E40" s="24" t="str">
        <x:v>recommendation</x:v>
      </x:c>
      <x:c r="F40" s="24" t="str">
        <x:v>/people/access-use</x:v>
      </x:c>
      <x:c r="G40" s="24" t="str">
        <x:v>Measure via Findex/admin data, not policy text</x:v>
      </x:c>
    </x:row>
    <x:row r="41">
      <x:c r="A41" s="24" t="str">
        <x:v>OECD-POL-13</x:v>
      </x:c>
      <x:c r="B41" s="24" t="str">
        <x:v>Financial education</x:v>
      </x:c>
      <x:c r="C41" s="24" t="str">
        <x:v>Targeted financial education</x:v>
      </x:c>
      <x:c r="D41" s="24" t="str">
        <x:v>DEMAND</x:v>
      </x:c>
      <x:c r="E41" s="24" t="str">
        <x:v>recommendation</x:v>
      </x:c>
      <x:c r="F41" s="24" t="str">
        <x:v>/people</x:v>
      </x:c>
      <x:c r="G41" s="24" t="str">
        <x:v>Measure literacy separately</x:v>
      </x:c>
    </x:row>
    <x:row r="42">
      <x:c r="A42" s="24" t="str">
        <x:v>OECD-POL-14</x:v>
      </x:c>
      <x:c r="B42" s="24" t="str">
        <x:v>Vulnerable groups</x:v>
      </x:c>
      <x:c r="C42" s="24" t="str">
        <x:v>Tailor interventions to women, low-income, low-education and out-of-work groups</x:v>
      </x:c>
      <x:c r="D42" s="24" t="str">
        <x:v>DEMAND</x:v>
      </x:c>
      <x:c r="E42" s="24" t="str">
        <x:v>recommendation</x:v>
      </x:c>
      <x:c r="F42" s="24" t="str">
        <x:v>/people</x:v>
      </x:c>
      <x:c r="G42" s="24" t="str">
        <x:v>Use disaggregated evidence; avoid deficit framing</x:v>
      </x:c>
    </x:row>
    <x:row r="43">
      <x:c r="A43" s="24" t="str">
        <x:v>OECD-POL-15</x:v>
      </x:c>
      <x:c r="B43" s="24" t="str">
        <x:v>Consumer protection</x:v>
      </x:c>
      <x:c r="C43" s="24" t="str">
        <x:v>Enforce FCP instructions, strengthen FCP capacity, complaint/redress and credit reporting</x:v>
      </x:c>
      <x:c r="D43" s="24" t="str">
        <x:v>DEMAND/PROTECTION</x:v>
      </x:c>
      <x:c r="E43" s="24" t="str">
        <x:v>recommendation</x:v>
      </x:c>
      <x:c r="F43" s="24" t="str">
        <x:v>/reforms/regulation</x:v>
      </x:c>
      <x:c r="G43" s="24" t="str">
        <x:v>Official CBY instruments govern implemented state</x:v>
      </x:c>
    </x:row>
    <x:row r="46">
      <x:c r="A46" s="63" t="str">
        <x:v>Consumer protection architecture</x:v>
      </x:c>
      <x:c r="B46" s="63"/>
      <x:c r="C46" s="63"/>
      <x:c r="D46" s="63"/>
      <x:c r="E46" s="63"/>
      <x:c r="F46" s="63"/>
      <x:c r="G46" s="63"/>
      <x:c r="H46" s="63"/>
      <x:c r="I46" s="63"/>
    </x:row>
    <x:row r="47">
      <x:c r="A47" s="61" t="str">
        <x:v>fcp_object_id</x:v>
      </x:c>
      <x:c r="B47" s="61" t="str">
        <x:v>source_id</x:v>
      </x:c>
      <x:c r="C47" s="61" t="str">
        <x:v>layer</x:v>
      </x:c>
      <x:c r="D47" s="61" t="str">
        <x:v>actor</x:v>
      </x:c>
      <x:c r="E47" s="61" t="str">
        <x:v>requirement_or_step</x:v>
      </x:c>
      <x:c r="F47" s="61" t="str">
        <x:v>timing_or_trigger</x:v>
      </x:c>
      <x:c r="G47" s="61" t="str">
        <x:v>what_it_supports</x:v>
      </x:c>
      <x:c r="H47" s="61" t="str">
        <x:v>remaining_gap</x:v>
      </x:c>
      <x:c r="I47" s="61" t="str">
        <x:v>source_url</x:v>
      </x:c>
    </x:row>
    <x:row r="48">
      <x:c r="A48" s="24" t="str">
        <x:v>FCP-ARCH-001</x:v>
      </x:c>
      <x:c r="B48" s="24" t="str">
        <x:v>SRC-CBY-FCP-INSTR-2023-001</x:v>
      </x:c>
      <x:c r="C48" s="24" t="str">
        <x:v>Regulatory foundation</x:v>
      </x:c>
      <x:c r="D48" s="24" t="str">
        <x:v>Central Bank of Yemen — Aden</x:v>
      </x:c>
      <x:c r="E48" s="24" t="str">
        <x:v>Regulatory Instructions for Financial Consumer Protection were issued as the formal framework; the issuance notice states a one-year maximum adjustment period for banks and other non-bank financial institutions.</x:v>
      </x:c>
      <x:c r="F48" s="24" t="str">
        <x:v>2023-08-28 issuance notice</x:v>
      </x:c>
      <x:c r="G48" s="24" t="str">
        <x:v>Instrument existence, official date/title, stated purpose and announced adjustment period.</x:v>
      </x:c>
      <x:c r="H48" s="24" t="str">
        <x:v>Full controlled legal-text extraction, current applicability/amendments/supersession and clause-level legal interpretation.</x:v>
      </x:c>
      <x:c r="I48" s="24" t="str">
        <x:v>https://cby-ye.com/news/567</x:v>
      </x:c>
    </x:row>
    <x:row r="49">
      <x:c r="A49" s="24" t="str">
        <x:v>FCP-ARCH-002</x:v>
      </x:c>
      <x:c r="B49" s="24" t="str">
        <x:v>SRC-CBY-FCP-BROCHURE-2024-001</x:v>
      </x:c>
      <x:c r="C49" s="24" t="str">
        <x:v>Supervisory architecture</x:v>
      </x:c>
      <x:c r="D49" s="24" t="str">
        <x:v>Central Bank of Yemen — Aden</x:v>
      </x:c>
      <x:c r="E49" s="24" t="str">
        <x:v>Official brochure states that a dedicated customer-protection department was created within Banking Supervision and that compliance with consumer-protection requirements is followed up.</x:v>
      </x:c>
      <x:c r="F49" s="24" t="str">
        <x:v>Brochure issued 2024-03-23</x:v>
      </x:c>
      <x:c r="G49" s="24" t="str">
        <x:v>Source-reported supervisory architecture and institutional responsibility.</x:v>
      </x:c>
      <x:c r="H49" s="24" t="str">
        <x:v>Staffing, supervisory intensity, inspection frequency, sanctions and effectiveness are not measured.</x:v>
      </x:c>
      <x:c r="I49" s="24" t="str">
        <x:v>https://cby-ye.com/files/65fe1e8d2ec08.pdf</x:v>
      </x:c>
    </x:row>
    <x:row r="50">
      <x:c r="A50" s="24" t="str">
        <x:v>FCP-ARCH-003</x:v>
      </x:c>
      <x:c r="B50" s="24" t="str">
        <x:v>SRC-CBY-FCP-BROCHURE-2024-001</x:v>
      </x:c>
      <x:c r="C50" s="24" t="str">
        <x:v>Scope</x:v>
      </x:c>
      <x:c r="D50" s="24" t="str">
        <x:v>Regulated financial institutions</x:v>
      </x:c>
      <x:c r="E50" s="24" t="str">
        <x:v>The brochure identifies banking financial institutions and non-bank financial institutions as institutions subject to the financial-consumer-protection instructions.</x:v>
      </x:c>
      <x:c r="F50" s="24" t="str">
        <x:v>Current brochure framing at 2024-03-23</x:v>
      </x:c>
      <x:c r="G50" s="24" t="str">
        <x:v>Source-attributed coverage classes can be displayed.</x:v>
      </x:c>
      <x:c r="H50" s="24" t="str">
        <x:v>Exact clause-level scope, exemptions and current legal applicability still require the controlled instruction text.</x:v>
      </x:c>
      <x:c r="I50" s="24" t="str">
        <x:v>https://cby-ye.com/files/65fe1e8d2ec08.pdf</x:v>
      </x:c>
    </x:row>
    <x:row r="51">
      <x:c r="A51" s="24" t="str">
        <x:v>FCP-ARCH-004</x:v>
      </x:c>
      <x:c r="B51" s="24" t="str">
        <x:v>SRC-CBY-FCP-BROCHURE-2024-001</x:v>
      </x:c>
      <x:c r="C51" s="24" t="str">
        <x:v>Provider complaint governance</x:v>
      </x:c>
      <x:c r="D51" s="24" t="str">
        <x:v>Financial service providers</x:v>
      </x:c>
      <x:c r="E51"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51" s="24" t="str">
        <x:v>When a customer complaint is received</x:v>
      </x:c>
      <x:c r="G51" s="24" t="str">
        <x:v>A source-attributed provider-responsibility architecture.</x:v>
      </x:c>
      <x:c r="H51" s="24" t="str">
        <x:v>No administrative evidence that every provider has implemented these controls or that compensation/redress occurs consistently.</x:v>
      </x:c>
      <x:c r="I51" s="24" t="str">
        <x:v>https://cby-ye.com/files/65fe1e8d2ec08.pdf</x:v>
      </x:c>
    </x:row>
    <x:row r="52">
      <x:c r="A52" s="24" t="str">
        <x:v>FCP-ARCH-005</x:v>
      </x:c>
      <x:c r="B52" s="24" t="str">
        <x:v>SRC-CBY-FCP-BROCHURE-2024-001</x:v>
      </x:c>
      <x:c r="C52" s="24" t="str">
        <x:v>Provider-stage timing</x:v>
      </x:c>
      <x:c r="D52" s="24" t="str">
        <x:v>Financial service provider</x:v>
      </x:c>
      <x:c r="E52" s="24" t="str">
        <x:v>The source states a maximum of 10 business days to settle a consumer complaint from the date of complaint submission with the necessary attachments.</x:v>
      </x:c>
      <x:c r="F52" s="24" t="str">
        <x:v>Complaint submitted with required attachments</x:v>
      </x:c>
      <x:c r="G52" s="24" t="str">
        <x:v>The source-reported provider-stage time window can be shown in a redress-path visual.</x:v>
      </x:c>
      <x:c r="H52" s="24" t="str">
        <x:v>Observed resolution time, compliance rate and complaint outcome remain unknown.</x:v>
      </x:c>
      <x:c r="I52" s="24" t="str">
        <x:v>https://cby-ye.com/files/65fe1e8d2ec08.pdf</x:v>
      </x:c>
    </x:row>
    <x:row r="53">
      <x:c r="A53" s="24" t="str">
        <x:v>FCP-ARCH-006</x:v>
      </x:c>
      <x:c r="B53" s="24" t="str">
        <x:v>SRC-CBY-FCP-BROCHURE-2024-001</x:v>
      </x:c>
      <x:c r="C53" s="24" t="str">
        <x:v>Provider-stage extension</x:v>
      </x:c>
      <x:c r="D53" s="24" t="str">
        <x:v>Financial service provider</x:v>
      </x:c>
      <x:c r="E53" s="24" t="str">
        <x:v>For complaints requiring it, the settlement period may be extended for a similar period, with the consumer informed of the justification for the extension.</x:v>
      </x:c>
      <x:c r="F53" s="24" t="str">
        <x:v>Case requires extension</x:v>
      </x:c>
      <x:c r="G53" s="24" t="str">
        <x:v>The source-reported extension rule and notification requirement.</x:v>
      </x:c>
      <x:c r="H53" s="24" t="str">
        <x:v>No evidence on how often extensions are used or whether reasons are adequate.</x:v>
      </x:c>
      <x:c r="I53" s="24" t="str">
        <x:v>https://cby-ye.com/files/65fe1e8d2ec08.pdf</x:v>
      </x:c>
    </x:row>
    <x:row r="54">
      <x:c r="A54" s="24" t="str">
        <x:v>FCP-ARCH-007</x:v>
      </x:c>
      <x:c r="B54" s="24" t="str">
        <x:v>SRC-CBY-FCP-BROCHURE-2024-001</x:v>
      </x:c>
      <x:c r="C54" s="24" t="str">
        <x:v>Escalation trigger</x:v>
      </x:c>
      <x:c r="D54" s="24" t="str">
        <x:v>Consumer</x:v>
      </x:c>
      <x:c r="E54" s="24" t="str">
        <x:v>A complaint may be escalated to CBY when no response is received from the financial service provider within the specified time or when the complainant is not satisfied with the provider's decision.</x:v>
      </x:c>
      <x:c r="F54" s="24" t="str">
        <x:v>After provider-stage failure or dissatisfaction</x:v>
      </x:c>
      <x:c r="G54" s="24" t="str">
        <x:v>The source-attributed escalation triggers can be shown.</x:v>
      </x:c>
      <x:c r="H54" s="24" t="str">
        <x:v>Actual accessibility, usage and success of escalation are not established.</x:v>
      </x:c>
      <x:c r="I54" s="24" t="str">
        <x:v>https://cby-ye.com/files/65fe1e8d2ec08.pdf</x:v>
      </x:c>
    </x:row>
    <x:row r="55">
      <x:c r="A55" s="24" t="str">
        <x:v>FCP-ARCH-008</x:v>
      </x:c>
      <x:c r="B55" s="24" t="str">
        <x:v>SRC-CBY-FCP-BROCHURE-2024-001</x:v>
      </x:c>
      <x:c r="C55" s="24" t="str">
        <x:v>Escalation timing</x:v>
      </x:c>
      <x:c r="D55" s="24" t="str">
        <x:v>Consumer → Central Bank of Yemen</x:v>
      </x:c>
      <x:c r="E55" s="24" t="str">
        <x:v>The brochure states that escalation to CBY should be submitted within 14 business days from the end of the time framework specified for complaint settlement in the applicable instructions, using the prescribed form.</x:v>
      </x:c>
      <x:c r="F55" s="24" t="str">
        <x:v>After provider-stage timeframe ends</x:v>
      </x:c>
      <x:c r="G55" s="24" t="str">
        <x:v>The source-reported escalation window can be displayed.</x:v>
      </x:c>
      <x:c r="H55" s="24" t="str">
        <x:v>No controlled complaint volumes, rejection reasons, processing time or resolution outcomes at CBY stage.</x:v>
      </x:c>
      <x:c r="I55" s="24" t="str">
        <x:v>https://cby-ye.com/files/65fe1e8d2ec08.pdf</x:v>
      </x:c>
    </x:row>
    <x:row r="56">
      <x:c r="A56" s="24" t="str">
        <x:v>FCP-ARCH-009</x:v>
      </x:c>
      <x:c r="B56" s="24" t="str">
        <x:v>SRC-CBY-FCP-BROCHURE-2024-001</x:v>
      </x:c>
      <x:c r="C56" s="24" t="str">
        <x:v>Protection principles</x:v>
      </x:c>
      <x:c r="D56" s="24" t="str">
        <x:v>System / providers / supervisor</x:v>
      </x:c>
      <x:c r="E56"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6" s="24" t="str">
        <x:v>Current brochure framing at 2024-03-23</x:v>
      </x:c>
      <x:c r="G56" s="24" t="str">
        <x:v>A source-attributed principle map for the consumer-protection framework.</x:v>
      </x:c>
      <x:c r="H56" s="24" t="str">
        <x:v>No principle-level compliance scoring or outcome evidence is controlled.</x:v>
      </x:c>
      <x:c r="I56" s="24" t="str">
        <x:v>https://cby-ye.com/files/65fe1e8d2ec08.pdf</x:v>
      </x:c>
    </x:row>
    <x:row r="57">
      <x:c r="A57" s="24" t="str">
        <x:v>FCP-ARCH-010</x:v>
      </x:c>
      <x:c r="B57" s="24" t="str">
        <x:v>MULTI_SOURCE</x:v>
      </x:c>
      <x:c r="C57" s="24" t="str">
        <x:v>Performance evidence frontier</x:v>
      </x:c>
      <x:c r="D57" s="24" t="str">
        <x:v>Evidence-system status</x:v>
      </x:c>
      <x:c r="E57" s="24" t="str">
        <x:v>No controlled administrative series currently establishes complaint volumes, issue mix, resolution rates, actual resolution times, compensation, enforcement actions tied to complaints, user satisfaction or consumer outcomes.</x:v>
      </x:c>
      <x:c r="F57" s="24" t="str">
        <x:v>Current publication state</x:v>
      </x:c>
      <x:c r="G57" s="24" t="str">
        <x:v>The gap itself is a publishable evidence-state object.</x:v>
      </x:c>
      <x:c r="H57" s="24" t="str">
        <x:v>Primary administrative complaint/enforcement/outcome evidence.</x:v>
      </x:c>
      <x:c r="I57" s="24" t="str">
        <x:v>Internal synthesis governed by source register</x:v>
      </x:c>
    </x:row>
    <x:row r="60">
      <x:c r="A60" s="63" t="str">
        <x:v>E-money regulation</x:v>
      </x:c>
      <x:c r="B60" s="63"/>
      <x:c r="C60" s="63"/>
      <x:c r="D60" s="63"/>
      <x:c r="E60" s="63"/>
      <x:c r="F60" s="63"/>
      <x:c r="G60" s="63"/>
      <x:c r="H60" s="63"/>
      <x:c r="I60" s="63"/>
      <x:c r="J60" s="63"/>
    </x:row>
    <x:row r="61">
      <x:c r="A61" s="61" t="str">
        <x:v>emoney_object_id</x:v>
      </x:c>
      <x:c r="B61" s="61" t="str">
        <x:v>source_id</x:v>
      </x:c>
      <x:c r="C61" s="61" t="str">
        <x:v>date</x:v>
      </x:c>
      <x:c r="D61" s="61" t="str">
        <x:v>regulatory_layer</x:v>
      </x:c>
      <x:c r="E61" s="61" t="str">
        <x:v>rule_or_feature</x:v>
      </x:c>
      <x:c r="F61" s="61" t="str">
        <x:v>value_or_limit</x:v>
      </x:c>
      <x:c r="G61" s="61" t="str">
        <x:v>currency_or_unit</x:v>
      </x:c>
      <x:c r="H61" s="61" t="str">
        <x:v>what_it_supports</x:v>
      </x:c>
      <x:c r="I61" s="61" t="str">
        <x:v>remaining_gap</x:v>
      </x:c>
      <x:c r="J61" s="61" t="str">
        <x:v>source_url</x:v>
      </x:c>
    </x:row>
    <x:row r="62">
      <x:c r="A62" s="24" t="str">
        <x:v>EMR-001</x:v>
      </x:c>
      <x:c r="B62" s="24" t="str">
        <x:v>SRC-CBY-EMONEY-2023-001</x:v>
      </x:c>
      <x:c r="C62" s="24" t="str">
        <x:v>2023-08-09</x:v>
      </x:c>
      <x:c r="D62" s="24" t="str">
        <x:v>Base regulatory instrument</x:v>
      </x:c>
      <x:c r="E62" s="24" t="str">
        <x:v>CBY issued instructions governing mobile e-money services provided by non-bank financial institutions subject to CBY supervision.</x:v>
      </x:c>
      <x:c r="F62" s="24" t="str">
        <x:v>Base instrument</x:v>
      </x:c>
      <x:c r="G62" s="24" t="str">
        <x:v>N/A</x:v>
      </x:c>
      <x:c r="H62" s="24" t="str">
        <x:v>A dated regulated non-bank mobile-e-money class and base rule can be described.</x:v>
      </x:c>
      <x:c r="I62" s="24" t="str">
        <x:v>Full local custody and consolidated amendment/supersession register remain incomplete.</x:v>
      </x:c>
      <x:c r="J62" s="24" t="str">
        <x:v>https://cby-ye.com/files/64dde85e0a84f.pdf</x:v>
      </x:c>
    </x:row>
    <x:row r="63">
      <x:c r="A63" s="24" t="str">
        <x:v>EMR-002</x:v>
      </x:c>
      <x:c r="B63" s="24" t="str">
        <x:v>SRC-CBY-EMONEY-AMD-2025-001</x:v>
      </x:c>
      <x:c r="C63" s="24" t="str">
        <x:v>2025-07-09</x:v>
      </x:c>
      <x:c r="D63" s="24" t="str">
        <x:v>Definition amendment</x:v>
      </x:c>
      <x:c r="E63" s="24" t="str">
        <x:v>E-money is defined as electronically stored value issued against receipt of equivalent value, accepted as a means of payment, transferable among users and redeemable to cash at the same value.</x:v>
      </x:c>
      <x:c r="F63" s="24" t="str">
        <x:v>Definition</x:v>
      </x:c>
      <x:c r="G63" s="24" t="str">
        <x:v>N/A</x:v>
      </x:c>
      <x:c r="H63" s="24" t="str">
        <x:v>A source-controlled definition of the regulated e-money object.</x:v>
      </x:c>
      <x:c r="I63" s="24" t="str">
        <x:v>Does not identify current licensed issuers or active users.</x:v>
      </x:c>
      <x:c r="J63" s="24" t="str">
        <x:v>https://cby-ye.com/files/6875fc55a253e.pdf</x:v>
      </x:c>
    </x:row>
    <x:row r="64">
      <x:c r="A64" s="24" t="str">
        <x:v>EMR-003</x:v>
      </x:c>
      <x:c r="B64" s="24" t="str">
        <x:v>SRC-CBY-EMONEY-2023-001</x:v>
      </x:c>
      <x:c r="C64" s="24" t="str">
        <x:v>2023-08-09</x:v>
      </x:c>
      <x:c r="D64" s="24" t="str">
        <x:v>Consumer protection</x:v>
      </x:c>
      <x:c r="E64" s="24" t="str">
        <x:v>The base instructions require consumer-protection controls including effective contact channels, clear customer agreements, transaction notifications, customer verification of beneficiary/value before completion and prompt complaint handling.</x:v>
      </x:c>
      <x:c r="F64" s="24" t="str">
        <x:v>Provider obligations</x:v>
      </x:c>
      <x:c r="G64" s="24" t="str">
        <x:v>N/A</x:v>
      </x:c>
      <x:c r="H64" s="24" t="str">
        <x:v>Consumer-protection obligations within the mobile e-money regime can be described source-by-source.</x:v>
      </x:c>
      <x:c r="I64" s="24" t="str">
        <x:v>Compliance, complaint performance and enforcement remain unmeasured.</x:v>
      </x:c>
      <x:c r="J64" s="24" t="str">
        <x:v>https://cby-ye.com/files/64dde85e0a84f.pdf</x:v>
      </x:c>
    </x:row>
    <x:row r="65">
      <x:c r="A65" s="24" t="str">
        <x:v>EMR-004</x:v>
      </x:c>
      <x:c r="B65" s="24" t="str">
        <x:v>SRC-CBY-EMONEY-2023-001</x:v>
      </x:c>
      <x:c r="C65" s="24" t="str">
        <x:v>2023-08-09</x:v>
      </x:c>
      <x:c r="D65" s="24" t="str">
        <x:v>Complaint handling</x:v>
      </x:c>
      <x:c r="E65" s="24" t="str">
        <x:v>The base instructions state that complaint processing should not exceed 10 business days from notification and require a dedicated complaint register recording complaints and treatment actions.</x:v>
      </x:c>
      <x:c r="F65" s="24" t="str">
        <x:v>10</x:v>
      </x:c>
      <x:c r="G65" s="24" t="str">
        <x:v>business days maximum</x:v>
      </x:c>
      <x:c r="H65" s="24" t="str">
        <x:v>A rule-specific mobile-e-money complaint requirement.</x:v>
      </x:c>
      <x:c r="I65" s="24" t="str">
        <x:v>Observed complaint count, compliance and resolution quality are open.</x:v>
      </x:c>
      <x:c r="J65" s="24" t="str">
        <x:v>https://cby-ye.com/files/64dde85e0a84f.pdf</x:v>
      </x:c>
    </x:row>
    <x:row r="66">
      <x:c r="A66" s="24" t="str">
        <x:v>EMR-005</x:v>
      </x:c>
      <x:c r="B66" s="24" t="str">
        <x:v>SRC-CBY-EMONEY-AMD-2025-001</x:v>
      </x:c>
      <x:c r="C66" s="24" t="str">
        <x:v>2025-07-09</x:v>
      </x:c>
      <x:c r="D66" s="24" t="str">
        <x:v>Currency permission amendment</x:v>
      </x:c>
      <x:c r="E66" s="24" t="str">
        <x:v>Decision No. 4 of 2025 permits e-money issuers covered by the instructions to deal in major foreign currencies in addition to local currency.</x:v>
      </x:c>
      <x:c r="F66" s="24" t="str">
        <x:v>USD; SAR; AED + YER</x:v>
      </x:c>
      <x:c r="G66" s="24" t="str">
        <x:v>currencies</x:v>
      </x:c>
      <x:c r="H66" s="24" t="str">
        <x:v>The permitted currency set can be described.</x:v>
      </x:c>
      <x:c r="I66" s="24" t="str">
        <x:v>No inference on current products, balances or provider availability.</x:v>
      </x:c>
      <x:c r="J66" s="24" t="str">
        <x:v>https://cby-ye.com/files/6875fc55a253e.pdf</x:v>
      </x:c>
    </x:row>
    <x:row r="67">
      <x:c r="A67" s="24" t="str">
        <x:v>EMR-006</x:v>
      </x:c>
      <x:c r="B67" s="24" t="str">
        <x:v>SRC-CBY-EMONEY-AMD-2025-001</x:v>
      </x:c>
      <x:c r="C67" s="24" t="str">
        <x:v>2025-07-09</x:v>
      </x:c>
      <x:c r="D67" s="24" t="str">
        <x:v>FX restriction</x:v>
      </x:c>
      <x:c r="E67" s="24" t="str">
        <x:v>The same decision does not allow conversion operations from local currency into a foreign currency.</x:v>
      </x:c>
      <x:c r="F67" s="24" t="str">
        <x:v>Prohibited direction</x:v>
      </x:c>
      <x:c r="G67" s="24" t="str">
        <x:v>YER → foreign currency</x:v>
      </x:c>
      <x:c r="H67" s="24" t="str">
        <x:v>A clearly bounded regulatory restriction.</x:v>
      </x:c>
      <x:c r="I67" s="24" t="str">
        <x:v>No inference on other exchange/payment channels outside the instrument scope.</x:v>
      </x:c>
      <x:c r="J67" s="24" t="str">
        <x:v>https://cby-ye.com/files/6875fc55a253e.pdf</x:v>
      </x:c>
    </x:row>
    <x:row r="68">
      <x:c r="A68" s="24" t="str">
        <x:v>EMR-007</x:v>
      </x:c>
      <x:c r="B68" s="24" t="str">
        <x:v>SRC-CBY-EMONEY-AMD-2025-001</x:v>
      </x:c>
      <x:c r="C68" s="24" t="str">
        <x:v>2025-07-09</x:v>
      </x:c>
      <x:c r="D68" s="24" t="str">
        <x:v>Individual local-currency transaction ceilings</x:v>
      </x:c>
      <x:c r="E68" s="24" t="str">
        <x:v>For individual accounts in local currency, the amendment table states ceilings of 1,000,000 per single transaction; 2,000,000 total per day; 5,000,000 per month; and 50,000,000 per year.</x:v>
      </x:c>
      <x:c r="F68" s="24" t="str">
        <x:v>1,000,000 | 2,000,000 | 5,000,000 | 50,000,000</x:v>
      </x:c>
      <x:c r="G68" s="24" t="str">
        <x:v>YER: single | daily | monthly | annual</x:v>
      </x:c>
      <x:c r="H68" s="24" t="str">
        <x:v>Regulatory ceiling cards can be displayed.</x:v>
      </x:c>
      <x:c r="I68" s="24" t="str">
        <x:v>Actual transaction distribution and average/median use are unknown.</x:v>
      </x:c>
      <x:c r="J68" s="24" t="str">
        <x:v>https://cby-ye.com/files/6875fc55a253e.pdf</x:v>
      </x:c>
    </x:row>
    <x:row r="69">
      <x:c r="A69" s="24" t="str">
        <x:v>EMR-008</x:v>
      </x:c>
      <x:c r="B69" s="24" t="str">
        <x:v>SRC-CBY-EMONEY-AMD-2025-001</x:v>
      </x:c>
      <x:c r="C69" s="24" t="str">
        <x:v>2025-07-09</x:v>
      </x:c>
      <x:c r="D69" s="24" t="str">
        <x:v>Individual foreign-currency transaction ceilings</x:v>
      </x:c>
      <x:c r="E69" s="24" t="str">
        <x:v>For individual accounts in major foreign currencies, the amendment table states ceilings of USD 400 or equivalent per single transaction; USD 500 or equivalent per day; USD 1,000 or equivalent per month; and USD 10,000 or equivalent per year.</x:v>
      </x:c>
      <x:c r="F69" s="24" t="str">
        <x:v>400 | 500 | 1,000 | 10,000</x:v>
      </x:c>
      <x:c r="G69" s="24" t="str">
        <x:v>USD or equivalent: single | daily | monthly | annual</x:v>
      </x:c>
      <x:c r="H69" s="24" t="str">
        <x:v>Regulatory ceiling cards can be displayed for the permitted foreign-currency class.</x:v>
      </x:c>
      <x:c r="I69" s="24" t="str">
        <x:v>Actual use and currency mix remain unknown.</x:v>
      </x:c>
      <x:c r="J69" s="24" t="str">
        <x:v>https://cby-ye.com/files/6875fc55a253e.pdf</x:v>
      </x:c>
    </x:row>
    <x:row r="70">
      <x:c r="A70" s="24" t="str">
        <x:v>EMR-009</x:v>
      </x:c>
      <x:c r="B70" s="24" t="str">
        <x:v>SRC-CBY-EMONEY-AMD-2025-001</x:v>
      </x:c>
      <x:c r="C70" s="24" t="str">
        <x:v>2025-07-09</x:v>
      </x:c>
      <x:c r="D70" s="24" t="str">
        <x:v>Maximum individual e-money balance</x:v>
      </x:c>
      <x:c r="E70" s="24" t="str">
        <x:v>The amendment states a maximum individual e-money balance of YER 8,000,000 for local-currency balances and USD 1,500 or equivalent for foreign-currency balances.</x:v>
      </x:c>
      <x:c r="F70" s="24" t="str">
        <x:v>8,000,000 | 1,500</x:v>
      </x:c>
      <x:c r="G70" s="24" t="str">
        <x:v>YER | USD or equivalent</x:v>
      </x:c>
      <x:c r="H70" s="24" t="str">
        <x:v>Regulatory balance ceilings.</x:v>
      </x:c>
      <x:c r="I70" s="24" t="str">
        <x:v>No evidence of actual balances or distribution.</x:v>
      </x:c>
      <x:c r="J70" s="24" t="str">
        <x:v>https://cby-ye.com/files/6875fc55a253e.pdf</x:v>
      </x:c>
    </x:row>
    <x:row r="71">
      <x:c r="A71" s="24" t="str">
        <x:v>EMR-010</x:v>
      </x:c>
      <x:c r="B71" s="24" t="str">
        <x:v>SRC-CBY-EMONEY-AMD-2025-001</x:v>
      </x:c>
      <x:c r="C71" s="24" t="str">
        <x:v>2025-07-09</x:v>
      </x:c>
      <x:c r="D71" s="24" t="str">
        <x:v>Corporate-account ceilings</x:v>
      </x:c>
      <x:c r="E71" s="24" t="str">
        <x:v>The amendment states that limits for corporate accounts are determined by the e-money issuer according to its assessment and require prior written approval from CBY.</x:v>
      </x:c>
      <x:c r="F71" s="24" t="str">
        <x:v>Issuer-assessed + prior CBY written approval</x:v>
      </x:c>
      <x:c r="G71" s="24" t="str">
        <x:v>corporate accounts</x:v>
      </x:c>
      <x:c r="H71" s="24" t="str">
        <x:v>The governance rule for corporate-account limits.</x:v>
      </x:c>
      <x:c r="I71" s="24" t="str">
        <x:v>No firm-level product availability or actual approved limits are controlled.</x:v>
      </x:c>
      <x:c r="J71" s="24" t="str">
        <x:v>https://cby-ye.com/files/6875fc55a253e.pdf</x:v>
      </x:c>
    </x:row>
    <x:row r="72">
      <x:c r="A72" s="24" t="str">
        <x:v>EMR-011</x:v>
      </x:c>
      <x:c r="B72" s="24" t="str">
        <x:v>SRC-CBY-EMONEY-AMD-2025-001</x:v>
      </x:c>
      <x:c r="C72" s="24" t="str">
        <x:v>2025-07-09</x:v>
      </x:c>
      <x:c r="D72" s="24" t="str">
        <x:v>Account opening / currency</x:v>
      </x:c>
      <x:c r="E72" s="24" t="str">
        <x:v>The amendment permits e-money accounts in major foreign currencies (USD, SAR, AED) in addition to local currency.</x:v>
      </x:c>
      <x:c r="F72" s="24" t="str">
        <x:v>Permitted account currencies</x:v>
      </x:c>
      <x:c r="G72" s="24" t="str">
        <x:v>USD; SAR; AED; YER</x:v>
      </x:c>
      <x:c r="H72" s="24" t="str">
        <x:v>A source-controlled account-currency rule.</x:v>
      </x:c>
      <x:c r="I72" s="24" t="str">
        <x:v>No provider/product inventory or user distribution by currency.</x:v>
      </x:c>
      <x:c r="J72" s="24" t="str">
        <x:v>https://cby-ye.com/files/6875fc55a253e.pdf</x:v>
      </x:c>
    </x:row>
    <x:row r="73">
      <x:c r="A73" s="24" t="str">
        <x:v>EMR-012</x:v>
      </x:c>
      <x:c r="B73" s="24" t="str">
        <x:v>SRC-CBY-EMONEY-AMD-2025-001</x:v>
      </x:c>
      <x:c r="C73" s="24" t="str">
        <x:v>2025-07-09</x:v>
      </x:c>
      <x:c r="D73" s="24" t="str">
        <x:v>Effective date</x:v>
      </x:c>
      <x:c r="E73" s="24" t="str">
        <x:v>Decision No. 4 states that it takes effect from the date of issuance and the competent authorities shall act accordingly.</x:v>
      </x:c>
      <x:c r="F73" s="24" t="str">
        <x:v>Effective from issuance</x:v>
      </x:c>
      <x:c r="G73" s="24" t="str">
        <x:v>2025-07-09</x:v>
      </x:c>
      <x:c r="H73" s="24" t="str">
        <x:v>The amendment event can be placed on the regulatory timeline.</x:v>
      </x:c>
      <x:c r="I73" s="24" t="str">
        <x:v>Current consolidated-text status still requires controlled instrument reconciliation.</x:v>
      </x:c>
      <x:c r="J73" s="24" t="str">
        <x:v>https://cby-ye.com/files/6875fc55a253e.pdf</x:v>
      </x:c>
    </x:row>
    <x:row r="74">
      <x:c r="A74" s="24" t="str">
        <x:v>EMR-013</x:v>
      </x:c>
      <x:c r="B74" s="24" t="str">
        <x:v>MULTI_SOURCE</x:v>
      </x:c>
      <x:c r="C74" s="24" t="str">
        <x:v>current release</x:v>
      </x:c>
      <x:c r="D74" s="24" t="str">
        <x:v>Evidence frontier</x:v>
      </x:c>
      <x:c r="E74" s="24" t="str">
        <x:v>The evidence system does not yet hold a current named, QA-passed 2026 universe of licensed wallet/e-money issuers/system operators linked to these regulatory rules.</x:v>
      </x:c>
      <x:c r="F74" s="24" t="str">
        <x:v>Open provider-universe gap</x:v>
      </x:c>
      <x:c r="G74" s="24" t="str">
        <x:v>N/A</x:v>
      </x:c>
      <x:c r="H74" s="24" t="str">
        <x:v>The observability gap itself can be shown.</x:v>
      </x:c>
      <x:c r="I74" s="24" t="str">
        <x:v>Current named roster and operational status.</x:v>
      </x:c>
      <x:c r="J74" s="24" t="str">
        <x:v>Internal synthesis governed by primary-source queue</x:v>
      </x:c>
    </x:row>
    <x:row r="78">
      <x:c r="A78" s="145" t="str">
        <x:v>FMIIP official results framework / إطار النتائج الرسمي لمشروع البنية التحتية للأسواق والشمول المالي</x:v>
      </x:c>
      <x:c r="B78" s="145"/>
      <x:c r="C78" s="145"/>
      <x:c r="D78" s="145"/>
      <x:c r="E78" s="145"/>
      <x:c r="F78" s="145"/>
      <x:c r="G78" s="145"/>
      <x:c r="H78" s="145"/>
      <x:c r="I78" s="145"/>
      <x:c r="J78" s="145"/>
      <x:c r="K78" s="145"/>
      <x:c r="L78" s="145"/>
      <x:c r="M78" s="145"/>
    </x:row>
    <x:row r="79">
      <x:c r="A79" s="149" t="str">
        <x:v>metric_id</x:v>
      </x:c>
      <x:c r="B79" s="149" t="str">
        <x:v>indicator_en</x:v>
      </x:c>
      <x:c r="C79" s="149" t="str">
        <x:v>indicator_ar</x:v>
      </x:c>
      <x:c r="D79" s="149" t="str">
        <x:v>baseline_period</x:v>
      </x:c>
      <x:c r="E79" s="149" t="str">
        <x:v>baseline_value</x:v>
      </x:c>
      <x:c r="F79" s="149" t="str">
        <x:v>target_period</x:v>
      </x:c>
      <x:c r="G79" s="149" t="str">
        <x:v>target_value</x:v>
      </x:c>
      <x:c r="H79" s="149" t="str">
        <x:v>unit</x:v>
      </x:c>
      <x:c r="I79" s="149" t="str">
        <x:v>source_id</x:v>
      </x:c>
      <x:c r="J79" s="149" t="str">
        <x:v>state_en</x:v>
      </x:c>
      <x:c r="K79" s="149" t="str">
        <x:v>state_ar</x:v>
      </x:c>
      <x:c r="L79" s="149" t="str">
        <x:v>interpretation_rule_en</x:v>
      </x:c>
      <x:c r="M79" s="149" t="str">
        <x:v>interpretation_rule_ar</x:v>
      </x:c>
    </x:row>
    <x:row r="80">
      <x:c r="A80" s="142" t="str">
        <x:v>FMIIP-RF-001</x:v>
      </x:c>
      <x:c r="B80" s="142" t="str">
        <x:v>Increase in value of RTGS transactions</x:v>
      </x:c>
      <x:c r="C80" s="150" t="str">
        <x:v>الزيادة في قيمة معاملات نظام التسوية الإجمالية الفورية</x:v>
      </x:c>
      <x:c r="D80" s="142" t="str">
        <x:v>Jan-2025</x:v>
      </x:c>
      <x:c r="E80" s="142" t="n">
        <x:v>0</x:v>
      </x:c>
      <x:c r="F80" s="142" t="str">
        <x:v>Jun-2030</x:v>
      </x:c>
      <x:c r="G80" s="142" t="n">
        <x:v>20</x:v>
      </x:c>
      <x:c r="H80" s="142" t="str">
        <x:v>percent</x:v>
      </x:c>
      <x:c r="I80" s="142" t="str">
        <x:v>SRC-WB-FMIIP-P180708</x:v>
      </x:c>
      <x:c r="J80" s="142" t="str">
        <x:v>Project baseline / target</x:v>
      </x:c>
      <x:c r="K80" s="150" t="str">
        <x:v>خط أساس / مستهدف للمشروع</x:v>
      </x:c>
      <x:c r="L80" s="142" t="str">
        <x:v>Target measures a future change in RTGS value; it is not an observed inclusion outcome.</x:v>
      </x:c>
      <x:c r="M80" s="150" t="str">
        <x:v>يقيس المستهدف تغيرًا مستقبليًا في قيمة معاملات RTGS، ولا يمثل نتيجة مرصودة للشمول المالي.</x:v>
      </x:c>
    </x:row>
    <x:row r="81">
      <x:c r="A81" s="142" t="str">
        <x:v>FMIIP-RF-002</x:v>
      </x:c>
      <x:c r="B81" s="142" t="str">
        <x:v>Beneficiaries receiving or making electronic payments/transfers</x:v>
      </x:c>
      <x:c r="C81" s="150" t="str">
        <x:v>المستفيدون الذين يتلقون أو يجرون مدفوعات وتحويلات إلكترونية</x:v>
      </x:c>
      <x:c r="D81" s="142" t="str">
        <x:v>Jan-2025</x:v>
      </x:c>
      <x:c r="E81" s="142" t="n">
        <x:v>10761</x:v>
      </x:c>
      <x:c r="F81" s="142" t="str">
        <x:v>Jun-2030</x:v>
      </x:c>
      <x:c r="G81" s="142" t="n">
        <x:v>1000000</x:v>
      </x:c>
      <x:c r="H81" s="142" t="str">
        <x:v>beneficiaries</x:v>
      </x:c>
      <x:c r="I81" s="142" t="str">
        <x:v>SRC-WB-FMIIP-P180708</x:v>
      </x:c>
      <x:c r="J81" s="142" t="str">
        <x:v>Project baseline / target</x:v>
      </x:c>
      <x:c r="K81" s="150" t="str">
        <x:v>خط أساس / مستهدف للمشروع</x:v>
      </x:c>
      <x:c r="L81" s="142" t="str">
        <x:v>Beneficiaries are project-defined people/entities and must not be substituted with transactions or accounts.</x:v>
      </x:c>
      <x:c r="M81" s="150" t="str">
        <x:v>المستفيدون وحدة يعرّفها المشروع، ولا يجوز استبدالهم بعدد المعاملات أو الحسابات.</x:v>
      </x:c>
    </x:row>
    <x:row r="82">
      <x:c r="A82" s="142" t="str">
        <x:v>FMIIP-RF-003</x:v>
      </x:c>
      <x:c r="B82" s="142" t="str">
        <x:v>Female beneficiaries receiving or making electronic payments/transfers</x:v>
      </x:c>
      <x:c r="C82" s="150" t="str">
        <x:v>المستفيدات من المدفوعات والتحويلات الإلكترونية</x:v>
      </x:c>
      <x:c r="D82" s="142"/>
      <x:c r="E82" s="142"/>
      <x:c r="F82" s="142" t="str">
        <x:v>Jun-2030</x:v>
      </x:c>
      <x:c r="G82" s="142" t="n">
        <x:v>480000</x:v>
      </x:c>
      <x:c r="H82" s="142" t="str">
        <x:v>female beneficiaries</x:v>
      </x:c>
      <x:c r="I82" s="142" t="str">
        <x:v>SRC-WB-FMIIP-P180708</x:v>
      </x:c>
      <x:c r="J82" s="142" t="str">
        <x:v>Target only; baseline not stated</x:v>
      </x:c>
      <x:c r="K82" s="150" t="str">
        <x:v>مستهدف فقط؛ لا يورد المصدر خط أساس</x:v>
      </x:c>
      <x:c r="L82" s="142" t="str">
        <x:v>48% of the total closing target; do not infer a current female beneficiary count.</x:v>
      </x:c>
      <x:c r="M82" s="150" t="str">
        <x:v>يمثل 48% من المستهدف الكلي النهائي؛ ولا يجوز استنتاج عدد راهن للمستفيدات.</x:v>
      </x:c>
    </x:row>
    <x:row r="83">
      <x:c r="A83" s="142" t="str">
        <x:v>FMIIP-RF-004</x:v>
      </x:c>
      <x:c r="B83" s="142" t="str">
        <x:v>Financial access points</x:v>
      </x:c>
      <x:c r="C83" s="150" t="str">
        <x:v>نقاط الوصول المالي</x:v>
      </x:c>
      <x:c r="D83" s="142" t="str">
        <x:v>Jan-2025</x:v>
      </x:c>
      <x:c r="E83" s="142" t="n">
        <x:v>817</x:v>
      </x:c>
      <x:c r="F83" s="142" t="str">
        <x:v>Jun-2030</x:v>
      </x:c>
      <x:c r="G83" s="142" t="n">
        <x:v>1021</x:v>
      </x:c>
      <x:c r="H83" s="142" t="str">
        <x:v>project-defined access points</x:v>
      </x:c>
      <x:c r="I83" s="142" t="str">
        <x:v>SRC-WB-FMIIP-P180708</x:v>
      </x:c>
      <x:c r="J83" s="142" t="str">
        <x:v>Project baseline / target</x:v>
      </x:c>
      <x:c r="K83" s="150" t="str">
        <x:v>خط أساس / مستهدف للمشروع</x:v>
      </x:c>
      <x:c r="L83" s="142" t="str">
        <x:v>The project-defined access-point taxonomy must be used; do not add ATMs, POS and agents unless definitions and deduplication rules permit it.</x:v>
      </x:c>
      <x:c r="M83" s="150" t="str">
        <x:v>يجب استخدام تعريف المشروع لنقطة الوصول؛ ولا تُجمع أجهزة الصراف ونقاط البيع والوكلاء ما لم تسمح التعريفات وقواعد إزالة الازدواج بذلك.</x:v>
      </x:c>
    </x:row>
    <x:row r="84">
      <x:c r="A84" s="142" t="str">
        <x:v>FMIIP-RF-005</x:v>
      </x:c>
      <x:c r="B84" s="142" t="str">
        <x:v>Decrease in transaction cost to customers</x:v>
      </x:c>
      <x:c r="C84" s="150" t="str">
        <x:v>خفض تكلفة المعاملات على العملاء</x:v>
      </x:c>
      <x:c r="D84" s="142" t="str">
        <x:v>Jan-2025</x:v>
      </x:c>
      <x:c r="E84" s="142" t="n">
        <x:v>0</x:v>
      </x:c>
      <x:c r="F84" s="142" t="str">
        <x:v>Jun-2030</x:v>
      </x:c>
      <x:c r="G84" s="142" t="n">
        <x:v>50</x:v>
      </x:c>
      <x:c r="H84" s="142" t="str">
        <x:v>percent decrease</x:v>
      </x:c>
      <x:c r="I84" s="142" t="str">
        <x:v>SRC-WB-FMIIP-P180708</x:v>
      </x:c>
      <x:c r="J84" s="142" t="str">
        <x:v>Project baseline / target</x:v>
      </x:c>
      <x:c r="K84" s="150" t="str">
        <x:v>خط أساس / مستهدف للمشروع</x:v>
      </x:c>
      <x:c r="L84" s="142" t="str">
        <x:v>A target reduction is not evidence that costs have already fallen.</x:v>
      </x:c>
      <x:c r="M84" s="150" t="str">
        <x:v>مستهدف خفض التكلفة لا يثبت أن التكلفة انخفضت بالفعل.</x:v>
      </x:c>
    </x:row>
    <x:row r="85">
      <x:c r="A85" s="142" t="str">
        <x:v>FMIIP-RF-006</x:v>
      </x:c>
      <x:c r="B85" s="142" t="str">
        <x:v>Fast Payment System developed and operational</x:v>
      </x:c>
      <x:c r="C85" s="150" t="str">
        <x:v>تطوير وتشغيل نظام الدفع السريع</x:v>
      </x:c>
      <x:c r="D85" s="142" t="str">
        <x:v>Jan-2025</x:v>
      </x:c>
      <x:c r="E85" s="142" t="str">
        <x:v>No</x:v>
      </x:c>
      <x:c r="F85" s="142" t="str">
        <x:v>Jun-2030</x:v>
      </x:c>
      <x:c r="G85" s="142" t="str">
        <x:v>Yes</x:v>
      </x:c>
      <x:c r="H85" s="142" t="str">
        <x:v>yes/no</x:v>
      </x:c>
      <x:c r="I85" s="142" t="str">
        <x:v>SRC-WB-FMIIP-P180708</x:v>
      </x:c>
      <x:c r="J85" s="142" t="str">
        <x:v>Infrastructure milestone</x:v>
      </x:c>
      <x:c r="K85" s="150" t="str">
        <x:v>معلم للبنية التحتية</x:v>
      </x:c>
      <x:c r="L85" s="142" t="str">
        <x:v>Operational go-live is distinct from adoption, repeat use and inclusion outcomes.</x:v>
      </x:c>
      <x:c r="M85" s="150" t="str">
        <x:v>التشغيل الفعلي حالة مختلفة عن التبني والاستخدام المتكرر ونتائج الشمول.</x:v>
      </x:c>
    </x:row>
    <x:row r="86">
      <x:c r="A86" s="142" t="str">
        <x:v>FMIIP-RF-007</x:v>
      </x:c>
      <x:c r="B86" s="142" t="str">
        <x:v>Annual cleared FPS transactions</x:v>
      </x:c>
      <x:c r="C86" s="150" t="str">
        <x:v>المعاملات السنوية المسوّاة عبر نظام الدفع السريع</x:v>
      </x:c>
      <x:c r="D86" s="142" t="str">
        <x:v>Jan-2025</x:v>
      </x:c>
      <x:c r="E86" s="142" t="n">
        <x:v>0</x:v>
      </x:c>
      <x:c r="F86" s="142" t="str">
        <x:v>Jun-2030</x:v>
      </x:c>
      <x:c r="G86" s="142" t="n">
        <x:v>600000</x:v>
      </x:c>
      <x:c r="H86" s="142" t="str">
        <x:v>transactions / source wording</x:v>
      </x:c>
      <x:c r="I86" s="142" t="str">
        <x:v>SRC-WB-FMIIP-P180708</x:v>
      </x:c>
      <x:c r="J86" s="142" t="str">
        <x:v>Project baseline / target</x:v>
      </x:c>
      <x:c r="K86" s="150" t="str">
        <x:v>خط أساس / مستهدف للمشروع</x:v>
      </x:c>
      <x:c r="L86" s="142" t="str">
        <x:v>Preserve the source's indicator wording; confirm volume/value semantics before any derived rate.</x:v>
      </x:c>
      <x:c r="M86" s="150" t="str">
        <x:v>تُحفظ صياغة المؤشر كما في المصدر، ويجب التحقق من دلالة الحجم والقيمة قبل اشتقاق أي معدل.</x:v>
      </x:c>
    </x:row>
    <x:row r="87">
      <x:c r="A87" s="142" t="str">
        <x:v>FMIIP-RF-008</x:v>
      </x:c>
      <x:c r="B87" s="142" t="str">
        <x:v>Participating financial institutions in FPS</x:v>
      </x:c>
      <x:c r="C87" s="150" t="str">
        <x:v>المؤسسات المالية المشاركة في نظام الدفع السريع</x:v>
      </x:c>
      <x:c r="D87" s="142" t="str">
        <x:v>Jan-2025</x:v>
      </x:c>
      <x:c r="E87" s="142" t="n">
        <x:v>0</x:v>
      </x:c>
      <x:c r="F87" s="142" t="str">
        <x:v>Jun-2030</x:v>
      </x:c>
      <x:c r="G87" s="142" t="n">
        <x:v>10</x:v>
      </x:c>
      <x:c r="H87" s="142" t="str">
        <x:v>institutions</x:v>
      </x:c>
      <x:c r="I87" s="142" t="str">
        <x:v>SRC-WB-FMIIP-P180708</x:v>
      </x:c>
      <x:c r="J87" s="142" t="str">
        <x:v>Project baseline / target</x:v>
      </x:c>
      <x:c r="K87" s="150" t="str">
        <x:v>خط أساس / مستهدف للمشروع</x:v>
      </x:c>
      <x:c r="L87" s="142" t="str">
        <x:v>Institutional participation does not establish end-user activity.</x:v>
      </x:c>
      <x:c r="M87" s="150" t="str">
        <x:v>مشاركة المؤسسات لا تثبت نشاط المستخدمين النهائيين.</x:v>
      </x:c>
    </x:row>
    <x:row r="88">
      <x:c r="A88" s="142" t="str">
        <x:v>FMIIP-RF-009</x:v>
      </x:c>
      <x:c r="B88" s="142" t="str">
        <x:v>FPS use cases</x:v>
      </x:c>
      <x:c r="C88" s="150" t="str">
        <x:v>حالات استخدام نظام الدفع السريع</x:v>
      </x:c>
      <x:c r="D88" s="142" t="str">
        <x:v>Jan-2025</x:v>
      </x:c>
      <x:c r="E88" s="142" t="n">
        <x:v>1</x:v>
      </x:c>
      <x:c r="F88" s="142" t="str">
        <x:v>Jun-2030</x:v>
      </x:c>
      <x:c r="G88" s="142" t="n">
        <x:v>3</x:v>
      </x:c>
      <x:c r="H88" s="142" t="str">
        <x:v>use cases</x:v>
      </x:c>
      <x:c r="I88" s="142" t="str">
        <x:v>SRC-WB-FMIIP-P180708</x:v>
      </x:c>
      <x:c r="J88" s="142" t="str">
        <x:v>Project baseline / target</x:v>
      </x:c>
      <x:c r="K88" s="150" t="str">
        <x:v>خط أساس / مستهدف للمشروع</x:v>
      </x:c>
      <x:c r="L88" s="142" t="str">
        <x:v>Use-case count does not measure transaction scale or people reached.</x:v>
      </x:c>
      <x:c r="M88" s="150" t="str">
        <x:v>عدد حالات الاستخدام لا يقيس حجم المعاملات أو عدد الأشخاص الذين وصلتهم الخدمة.</x:v>
      </x:c>
    </x:row>
    <x:row r="89">
      <x:c r="A89" s="142" t="str">
        <x:v>FMIIP-RF-010</x:v>
      </x:c>
      <x:c r="B89" s="142" t="str">
        <x:v>RTGS developed and operational</x:v>
      </x:c>
      <x:c r="C89" s="150" t="str">
        <x:v>تطوير وتشغيل نظام التسوية الإجمالية الفورية</x:v>
      </x:c>
      <x:c r="D89" s="142" t="str">
        <x:v>Jan-2025</x:v>
      </x:c>
      <x:c r="E89" s="142" t="str">
        <x:v>No</x:v>
      </x:c>
      <x:c r="F89" s="142" t="str">
        <x:v>Jun-2030</x:v>
      </x:c>
      <x:c r="G89" s="142" t="str">
        <x:v>Yes</x:v>
      </x:c>
      <x:c r="H89" s="142" t="str">
        <x:v>yes/no</x:v>
      </x:c>
      <x:c r="I89" s="142" t="str">
        <x:v>SRC-WB-FMIIP-P180708</x:v>
      </x:c>
      <x:c r="J89" s="142" t="str">
        <x:v>Infrastructure milestone</x:v>
      </x:c>
      <x:c r="K89" s="150" t="str">
        <x:v>معلم للبنية التحتية</x:v>
      </x:c>
      <x:c r="L89" s="142" t="str">
        <x:v>A functioning RTGS is system capacity, not a people-side inclusion outcome.</x:v>
      </x:c>
      <x:c r="M89" s="150" t="str">
        <x:v>تشغيل RTGS قدرة للنظام، وليس نتيجة للشمول على مستوى الأفراد.</x:v>
      </x:c>
    </x:row>
    <x:row r="90">
      <x:c r="A90" s="142" t="str">
        <x:v>FMIIP-RF-011</x:v>
      </x:c>
      <x:c r="B90" s="142" t="str">
        <x:v>Participating payment service providers in RTGS</x:v>
      </x:c>
      <x:c r="C90" s="150" t="str">
        <x:v>مقدمو خدمات الدفع المشاركون في RTGS</x:v>
      </x:c>
      <x:c r="D90" s="142" t="str">
        <x:v>Jan-2025</x:v>
      </x:c>
      <x:c r="E90" s="142" t="n">
        <x:v>0</x:v>
      </x:c>
      <x:c r="F90" s="142" t="str">
        <x:v>Jun-2030</x:v>
      </x:c>
      <x:c r="G90" s="142" t="n">
        <x:v>10</x:v>
      </x:c>
      <x:c r="H90" s="142" t="str">
        <x:v>PSPs</x:v>
      </x:c>
      <x:c r="I90" s="142" t="str">
        <x:v>SRC-WB-FMIIP-P180708</x:v>
      </x:c>
      <x:c r="J90" s="142" t="str">
        <x:v>Project baseline / target</x:v>
      </x:c>
      <x:c r="K90" s="150" t="str">
        <x:v>خط أساس / مستهدف للمشروع</x:v>
      </x:c>
      <x:c r="L90" s="142" t="str">
        <x:v>Participation does not prove transaction activity or user reach.</x:v>
      </x:c>
      <x:c r="M90" s="150" t="str">
        <x:v>المشاركة لا تثبت نشاط المعاملات أو وصول المستخدمين.</x:v>
      </x:c>
    </x:row>
    <x:row r="91">
      <x:c r="A91" s="142" t="str">
        <x:v>FMIIP-RF-012</x:v>
      </x:c>
      <x:c r="B91" s="142" t="str">
        <x:v>Merchants accepting electronic payments</x:v>
      </x:c>
      <x:c r="C91" s="150" t="str">
        <x:v>التجار الذين يقبلون المدفوعات الإلكترونية</x:v>
      </x:c>
      <x:c r="D91" s="142" t="str">
        <x:v>Jan-2025</x:v>
      </x:c>
      <x:c r="E91" s="142" t="n">
        <x:v>170</x:v>
      </x:c>
      <x:c r="F91" s="142" t="str">
        <x:v>Jun-2030</x:v>
      </x:c>
      <x:c r="G91" s="142" t="n">
        <x:v>500</x:v>
      </x:c>
      <x:c r="H91" s="142" t="str">
        <x:v>merchants</x:v>
      </x:c>
      <x:c r="I91" s="142" t="str">
        <x:v>SRC-WB-FMIIP-P180708</x:v>
      </x:c>
      <x:c r="J91" s="142" t="str">
        <x:v>Project baseline / target</x:v>
      </x:c>
      <x:c r="K91" s="150" t="str">
        <x:v>خط أساس / مستهدف للمشروع</x:v>
      </x:c>
      <x:c r="L91" s="142" t="str">
        <x:v>Merchants are not POS terminals and should not be cross-counted as devices.</x:v>
      </x:c>
      <x:c r="M91" s="150" t="str">
        <x:v>التجار ليسوا أجهزة نقاط بيع ولا يجوز تحويل أحد المقياسين إلى الآخر.</x:v>
      </x:c>
    </x:row>
    <x:row r="92">
      <x:c r="A92" s="142" t="str">
        <x:v>FMIIP-RF-013</x:v>
      </x:c>
      <x:c r="B92" s="142" t="str">
        <x:v>Active bank accounts</x:v>
      </x:c>
      <x:c r="C92" s="150" t="str">
        <x:v>الحسابات البنكية النشطة</x:v>
      </x:c>
      <x:c r="D92" s="142" t="str">
        <x:v>Jan-2025</x:v>
      </x:c>
      <x:c r="E92" s="142" t="n">
        <x:v>1062441</x:v>
      </x:c>
      <x:c r="F92" s="142" t="str">
        <x:v>Jun-2030</x:v>
      </x:c>
      <x:c r="G92" s="142" t="n">
        <x:v>1381171</x:v>
      </x:c>
      <x:c r="H92" s="142" t="str">
        <x:v>active accounts</x:v>
      </x:c>
      <x:c r="I92" s="142" t="str">
        <x:v>SRC-WB-FMIIP-P180708</x:v>
      </x:c>
      <x:c r="J92" s="142" t="str">
        <x:v>Project baseline / target</x:v>
      </x:c>
      <x:c r="K92" s="150" t="str">
        <x:v>خط أساس / مستهدف للمشروع</x:v>
      </x:c>
      <x:c r="L92" s="142" t="str">
        <x:v>Accounts are not unique people; definition must be reconciled before comparison with other CBY account totals.</x:v>
      </x:c>
      <x:c r="M92" s="150" t="str">
        <x:v>الحسابات ليست أشخاصًا فريدين، ويجب مطابقة التعريف قبل مقارنتها بإجماليات حسابات أخرى لدى البنك المركزي.</x:v>
      </x:c>
    </x:row>
    <x:row r="93">
      <x:c r="A93" s="142" t="str">
        <x:v>FMIIP-RF-014</x:v>
      </x:c>
      <x:c r="B93" s="142" t="str">
        <x:v>Female-owned active bank accounts</x:v>
      </x:c>
      <x:c r="C93" s="150" t="str">
        <x:v>الحسابات البنكية النشطة المملوكة لنساء</x:v>
      </x:c>
      <x:c r="D93" s="142" t="str">
        <x:v>Jan-2025</x:v>
      </x:c>
      <x:c r="E93" s="142" t="n">
        <x:v>200898</x:v>
      </x:c>
      <x:c r="F93" s="142" t="str">
        <x:v>Jun-2030</x:v>
      </x:c>
      <x:c r="G93" s="142" t="n">
        <x:v>261167</x:v>
      </x:c>
      <x:c r="H93" s="142" t="str">
        <x:v>active accounts</x:v>
      </x:c>
      <x:c r="I93" s="142" t="str">
        <x:v>SRC-WB-FMIIP-P180708</x:v>
      </x:c>
      <x:c r="J93" s="142" t="str">
        <x:v>Project baseline / target</x:v>
      </x:c>
      <x:c r="K93" s="150" t="str">
        <x:v>خط أساس / مستهدف للمشروع</x:v>
      </x:c>
      <x:c r="L93" s="142" t="str">
        <x:v>This is an account count by ownership classification, not a count of unique women.</x:v>
      </x:c>
      <x:c r="M93" s="150" t="str">
        <x:v>هذا عدد حسابات مصنفة بحسب الملكية، وليس عددًا للنساء الفريدات.</x:v>
      </x:c>
    </x:row>
    <x:row r="94">
      <x:c r="A94" s="142" t="str">
        <x:v>FMIIP-RF-015</x:v>
      </x:c>
      <x:c r="B94" s="142" t="str">
        <x:v>Active e-wallet accounts</x:v>
      </x:c>
      <x:c r="C94" s="150" t="str">
        <x:v>حسابات المحافظ الإلكترونية النشطة</x:v>
      </x:c>
      <x:c r="D94" s="142" t="str">
        <x:v>Jan-2025</x:v>
      </x:c>
      <x:c r="E94" s="142" t="n">
        <x:v>375252</x:v>
      </x:c>
      <x:c r="F94" s="142" t="str">
        <x:v>Jun-2030</x:v>
      </x:c>
      <x:c r="G94" s="142" t="n">
        <x:v>487828</x:v>
      </x:c>
      <x:c r="H94" s="142" t="str">
        <x:v>active e-wallet accounts</x:v>
      </x:c>
      <x:c r="I94" s="142" t="str">
        <x:v>SRC-WB-FMIIP-P180708</x:v>
      </x:c>
      <x:c r="J94" s="142" t="str">
        <x:v>Project baseline / target</x:v>
      </x:c>
      <x:c r="K94" s="150" t="str">
        <x:v>خط أساس / مستهدف للمشروع</x:v>
      </x:c>
      <x:c r="L94" s="142" t="str">
        <x:v>Active e-wallet accounts are not subscribers unless a definition bridge proves equivalence.</x:v>
      </x:c>
      <x:c r="M94" s="150" t="str">
        <x:v>الحسابات النشطة للمحافظ ليست مرادفة لعدد المشتركين ما لم تثبت مطابقة التعريفات.</x:v>
      </x:c>
    </x:row>
    <x:row r="95">
      <x:c r="A95" s="142" t="str">
        <x:v>FMIIP-RF-016</x:v>
      </x:c>
      <x:c r="B95" s="142" t="str">
        <x:v>Female-owned active e-wallet accounts</x:v>
      </x:c>
      <x:c r="C95" s="150" t="str">
        <x:v>حسابات المحافظ الإلكترونية النشطة المملوكة لنساء</x:v>
      </x:c>
      <x:c r="D95" s="142"/>
      <x:c r="E95" s="142"/>
      <x:c r="F95" s="142" t="str">
        <x:v>May-2030</x:v>
      </x:c>
      <x:c r="G95" s="142" t="n">
        <x:v>73174</x:v>
      </x:c>
      <x:c r="H95" s="142" t="str">
        <x:v>active e-wallet accounts</x:v>
      </x:c>
      <x:c r="I95" s="142" t="str">
        <x:v>SRC-WB-FMIIP-P180708</x:v>
      </x:c>
      <x:c r="J95" s="142" t="str">
        <x:v>Target only; baseline not stated</x:v>
      </x:c>
      <x:c r="K95" s="150" t="str">
        <x:v>مستهدف فقط؛ لا يورد المصدر خط أساس</x:v>
      </x:c>
      <x:c r="L95" s="142" t="str">
        <x:v>The cited table does not state a female baseline; do not back-calculate one.</x:v>
      </x:c>
      <x:c r="M95" s="150" t="str">
        <x:v>لا يورد الجدول المشار إليه خط أساس للنساء؛ ولا يجوز اشتقاقه حسابيًا من دون مصدر.</x:v>
      </x:c>
    </x:row>
    <x:row r="96">
      <x:c r="A96" s="142" t="str">
        <x:v>FMIIP-RF-017</x:v>
      </x:c>
      <x:c r="B96" s="142" t="str">
        <x:v>Agents of licensed financial institutions</x:v>
      </x:c>
      <x:c r="C96" s="150" t="str">
        <x:v>وكلاء المؤسسات المالية المرخصة</x:v>
      </x:c>
      <x:c r="D96" s="142" t="str">
        <x:v>Jan-2025</x:v>
      </x:c>
      <x:c r="E96" s="142" t="n">
        <x:v>65</x:v>
      </x:c>
      <x:c r="F96" s="142" t="str">
        <x:v>Jun-2030</x:v>
      </x:c>
      <x:c r="G96" s="142" t="n">
        <x:v>71</x:v>
      </x:c>
      <x:c r="H96" s="142" t="str">
        <x:v>agents</x:v>
      </x:c>
      <x:c r="I96" s="142" t="str">
        <x:v>SRC-WB-FMIIP-P180708</x:v>
      </x:c>
      <x:c r="J96" s="142" t="str">
        <x:v>Project baseline / target</x:v>
      </x:c>
      <x:c r="K96" s="150" t="str">
        <x:v>خط أساس / مستهدف للمشروع</x:v>
      </x:c>
      <x:c r="L96" s="142" t="str">
        <x:v>Agent count is not unique customers and does not by itself establish geographic access.</x:v>
      </x:c>
      <x:c r="M96" s="150" t="str">
        <x:v>عدد الوكلاء لا يساوي عدد العملاء الفريدين ولا يثبت وحده الوصول الجغرافي.</x:v>
      </x:c>
    </x:row>
    <x:row r="97">
      <x:c r="A97" s="142" t="str">
        <x:v>FMIIP-RF-018</x:v>
      </x:c>
      <x:c r="B97" s="142" t="str">
        <x:v>Female agents</x:v>
      </x:c>
      <x:c r="C97" s="150" t="str">
        <x:v>الوكيلات</x:v>
      </x:c>
      <x:c r="D97" s="142" t="str">
        <x:v>Jan-2025</x:v>
      </x:c>
      <x:c r="E97" s="142" t="n">
        <x:v>1</x:v>
      </x:c>
      <x:c r="F97" s="142" t="str">
        <x:v>Jun-2030</x:v>
      </x:c>
      <x:c r="G97" s="142" t="n">
        <x:v>20</x:v>
      </x:c>
      <x:c r="H97" s="142" t="str">
        <x:v>agents</x:v>
      </x:c>
      <x:c r="I97" s="142" t="str">
        <x:v>SRC-WB-FMIIP-P180708</x:v>
      </x:c>
      <x:c r="J97" s="142" t="str">
        <x:v>Project baseline / target</x:v>
      </x:c>
      <x:c r="K97" s="150" t="str">
        <x:v>خط أساس / مستهدف للمشروع</x:v>
      </x:c>
      <x:c r="L97" s="142" t="str">
        <x:v>Agent composition is not a population inclusion rate.</x:v>
      </x:c>
      <x:c r="M97" s="150" t="str">
        <x:v>تركيبة شبكة الوكلاء ليست معدل شمول للسكان.</x:v>
      </x:c>
    </x:row>
    <x:row r="98">
      <x:c r="A98" s="142" t="str">
        <x:v>FMIIP-RF-019</x:v>
      </x:c>
      <x:c r="B98" s="142" t="str">
        <x:v>Financial literacy campaigns</x:v>
      </x:c>
      <x:c r="C98" s="150" t="str">
        <x:v>حملات الثقافة المالية</x:v>
      </x:c>
      <x:c r="D98" s="142" t="str">
        <x:v>Jan-2025</x:v>
      </x:c>
      <x:c r="E98" s="142" t="n">
        <x:v>0</x:v>
      </x:c>
      <x:c r="F98" s="142" t="str">
        <x:v>Jun-2030</x:v>
      </x:c>
      <x:c r="G98" s="142" t="n">
        <x:v>10</x:v>
      </x:c>
      <x:c r="H98" s="142" t="str">
        <x:v>campaigns</x:v>
      </x:c>
      <x:c r="I98" s="142" t="str">
        <x:v>SRC-WB-FMIIP-P180708</x:v>
      </x:c>
      <x:c r="J98" s="142" t="str">
        <x:v>Project output target</x:v>
      </x:c>
      <x:c r="K98" s="150" t="str">
        <x:v>مستهدف لمخرج برامجي</x:v>
      </x:c>
      <x:c r="L98" s="142" t="str">
        <x:v>Campaign delivery does not establish improved financial literacy.</x:v>
      </x:c>
      <x:c r="M98" s="150" t="str">
        <x:v>تنفيذ الحملات لا يثبت تحسن الثقافة المالية.</x:v>
      </x:c>
    </x:row>
    <x:row r="99">
      <x:c r="A99" s="142" t="str">
        <x:v>FMIIP-RF-020</x:v>
      </x:c>
      <x:c r="B99" s="142" t="str">
        <x:v>Female-focused financial literacy campaigns</x:v>
      </x:c>
      <x:c r="C99" s="150" t="str">
        <x:v>حملات ثقافة مالية موجهة للنساء</x:v>
      </x:c>
      <x:c r="D99" s="142" t="str">
        <x:v>Jan-2025</x:v>
      </x:c>
      <x:c r="E99" s="142" t="n">
        <x:v>0</x:v>
      </x:c>
      <x:c r="F99" s="142" t="str">
        <x:v>Jun-2030</x:v>
      </x:c>
      <x:c r="G99" s="142" t="n">
        <x:v>5</x:v>
      </x:c>
      <x:c r="H99" s="142" t="str">
        <x:v>campaigns</x:v>
      </x:c>
      <x:c r="I99" s="142" t="str">
        <x:v>SRC-WB-FMIIP-P180708</x:v>
      </x:c>
      <x:c r="J99" s="142" t="str">
        <x:v>Project output target</x:v>
      </x:c>
      <x:c r="K99" s="150" t="str">
        <x:v>مستهدف لمخرج برامجي</x:v>
      </x:c>
      <x:c r="L99" s="142" t="str">
        <x:v>Activity targeting women does not itself establish measured capability change.</x:v>
      </x:c>
      <x:c r="M99" s="150" t="str">
        <x:v>توجيه النشاط للنساء لا يثبت بحد ذاته تغيرًا مقاسًا في القدرات المالية.</x:v>
      </x:c>
    </x:row>
    <x:row r="100">
      <x:c r="A100" s="142" t="str">
        <x:v>FMIIP-RF-021</x:v>
      </x:c>
      <x:c r="B100" s="142" t="str">
        <x:v>Beneficiaries satisfied with level of service</x:v>
      </x:c>
      <x:c r="C100" s="150" t="str">
        <x:v>رضا المستفيدين عن مستوى الخدمة</x:v>
      </x:c>
      <x:c r="D100" s="142" t="str">
        <x:v>Jan-2025</x:v>
      </x:c>
      <x:c r="E100" s="142" t="n">
        <x:v>0</x:v>
      </x:c>
      <x:c r="F100" s="142" t="str">
        <x:v>Jun-2030</x:v>
      </x:c>
      <x:c r="G100" s="142" t="n">
        <x:v>80</x:v>
      </x:c>
      <x:c r="H100" s="142" t="str">
        <x:v>percent</x:v>
      </x:c>
      <x:c r="I100" s="142" t="str">
        <x:v>SRC-WB-FMIIP-P180708</x:v>
      </x:c>
      <x:c r="J100" s="142" t="str">
        <x:v>Project outcome target</x:v>
      </x:c>
      <x:c r="K100" s="150" t="str">
        <x:v>مستهدف نتيجة للمشروع</x:v>
      </x:c>
      <x:c r="L100" s="142" t="str">
        <x:v>Interpret only within the project's beneficiary survey universe and method.</x:v>
      </x:c>
      <x:c r="M100" s="150" t="str">
        <x:v>يفسر فقط داخل مجتمع المستفيدين ومنهج القياس الخاص بالمشروع.</x:v>
      </x:c>
    </x:row>
    <x:row r="101">
      <x:c r="A101" s="142" t="str">
        <x:v>FMIIP-RF-022</x:v>
      </x:c>
      <x:c r="B101" s="142" t="str">
        <x:v>Female beneficiaries satisfied with level of service</x:v>
      </x:c>
      <x:c r="C101" s="150" t="str">
        <x:v>رضا المستفيدات عن مستوى الخدمة</x:v>
      </x:c>
      <x:c r="D101" s="142" t="str">
        <x:v>Jan-2025</x:v>
      </x:c>
      <x:c r="E101" s="142" t="n">
        <x:v>0</x:v>
      </x:c>
      <x:c r="F101" s="142" t="str">
        <x:v>Jun-2030</x:v>
      </x:c>
      <x:c r="G101" s="142" t="n">
        <x:v>80</x:v>
      </x:c>
      <x:c r="H101" s="142" t="str">
        <x:v>percent</x:v>
      </x:c>
      <x:c r="I101" s="142" t="str">
        <x:v>SRC-WB-FMIIP-P180708</x:v>
      </x:c>
      <x:c r="J101" s="142" t="str">
        <x:v>Project outcome target</x:v>
      </x:c>
      <x:c r="K101" s="150" t="str">
        <x:v>مستهدف نتيجة للمشروع</x:v>
      </x:c>
      <x:c r="L101" s="142" t="str">
        <x:v>Do not generalize to women nationally.</x:v>
      </x:c>
      <x:c r="M101" s="150" t="str">
        <x:v>لا يعمم على النساء في اليمن ككل.</x:v>
      </x:c>
    </x:row>
    <x:row r="102">
      <x:c r="A102" s="142" t="str">
        <x:v>FMIIP-RF-023</x:v>
      </x:c>
      <x:c r="B102" s="142" t="str">
        <x:v>Grievances addressed within stipulated time</x:v>
      </x:c>
      <x:c r="C102" s="150" t="str">
        <x:v>الشكاوى التي عولجت ضمن المدة المحددة</x:v>
      </x:c>
      <x:c r="D102" s="142" t="str">
        <x:v>Jan-2025</x:v>
      </x:c>
      <x:c r="E102" s="142" t="n">
        <x:v>0</x:v>
      </x:c>
      <x:c r="F102" s="142" t="str">
        <x:v>Jun-2030</x:v>
      </x:c>
      <x:c r="G102" s="142" t="n">
        <x:v>90</x:v>
      </x:c>
      <x:c r="H102" s="142" t="str">
        <x:v>percent</x:v>
      </x:c>
      <x:c r="I102" s="142" t="str">
        <x:v>SRC-WB-FMIIP-P180708</x:v>
      </x:c>
      <x:c r="J102" s="142" t="str">
        <x:v>Project grievance target</x:v>
      </x:c>
      <x:c r="K102" s="150" t="str">
        <x:v>مستهدف لشكاوى المشروع</x:v>
      </x:c>
      <x:c r="L102" s="142" t="str">
        <x:v>Project grievance performance is distinct from sector-wide consumer-redress performance.</x:v>
      </x:c>
      <x:c r="M102" s="150" t="str">
        <x:v>أداء آلية شكاوى المشروع مختلف عن أداء التظلم وحماية المستهلك على مستوى القطاع.</x:v>
      </x:c>
    </x:row>
    <x:row r="103">
      <x:c r="A103" s="142" t="str">
        <x:v>FMIIP-RF-024</x:v>
      </x:c>
      <x:c r="B103" s="142" t="str">
        <x:v>Female grievances addressed within stipulated time</x:v>
      </x:c>
      <x:c r="C103" s="150" t="str">
        <x:v>شكاوى النساء التي عولجت ضمن المدة المحددة</x:v>
      </x:c>
      <x:c r="D103" s="142" t="str">
        <x:v>Jan-2025</x:v>
      </x:c>
      <x:c r="E103" s="142" t="n">
        <x:v>0</x:v>
      </x:c>
      <x:c r="F103" s="142" t="str">
        <x:v>Jun-2030</x:v>
      </x:c>
      <x:c r="G103" s="142" t="n">
        <x:v>90</x:v>
      </x:c>
      <x:c r="H103" s="142" t="str">
        <x:v>percent</x:v>
      </x:c>
      <x:c r="I103" s="142" t="str">
        <x:v>SRC-WB-FMIIP-P180708</x:v>
      </x:c>
      <x:c r="J103" s="142" t="str">
        <x:v>Project grievance target</x:v>
      </x:c>
      <x:c r="K103" s="150" t="str">
        <x:v>مستهدف لشكاوى المشروع</x:v>
      </x:c>
      <x:c r="L103" s="142" t="str">
        <x:v>Project-specific metric; do not read it as sector-wide evidence.</x:v>
      </x:c>
      <x:c r="M103" s="150" t="str">
        <x:v>مقياس خاص بالمشروع؛ ولا يقرأ باعتباره دليلًا على أداء القطاع ككل.</x:v>
      </x:c>
    </x:row>
  </x:sheetData>
  <x:mergeCells>
    <x:mergeCell ref="A1:J1"/>
    <x:mergeCell ref="A2:J2"/>
    <x:mergeCell ref="A4:H4"/>
    <x:mergeCell ref="A27:G27"/>
    <x:mergeCell ref="A46:I46"/>
    <x:mergeCell ref="A60:J60"/>
    <x:mergeCell ref="A78:M78"/>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Jan-2026</x:v>
      </x:c>
      <x:c r="E8" s="24" t="n">
        <x:v>1.6256684491978608</x:v>
      </x:c>
      <x:c r="F8" s="24" t="str">
        <x:v>percent change</x:v>
      </x:c>
      <x:c r="G8" s="24" t="str">
        <x:v>VIS-POS-TERMINALS</x:v>
      </x:c>
      <x:c r="H8" s="24" t="str">
        <x:v>Change in source-reported POS terminals from March 2025 to January 2026.</x:v>
      </x:c>
      <x:c r="I8" s="24" t="str">
        <x:v>تغير عدد أجهزة نقاط البيع المبلّغ عنها من مارس 2025 إلى يناير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Jan-2026</x:v>
      </x:c>
      <x:c r="E9" s="24" t="n">
        <x:v>1.9976294447910168</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source-displayed growth rate conflicts with raw totals; raw totals and contradiction both remain visible.</x:v>
      </x:c>
    </x:row>
    <x:row r="10">
      <x:c r="A10" s="24" t="str">
        <x:v>DA-005</x:v>
      </x:c>
      <x:c r="B10" s="24" t="str">
        <x:v>Payments</x:v>
      </x:c>
      <x:c r="C10" s="24" t="str">
        <x:v>POS transaction-value change</x:v>
      </x:c>
      <x:c r="D10" s="24" t="str">
        <x:v>Mar-2025 to Jan-2026</x:v>
      </x:c>
      <x:c r="E10" s="24" t="n">
        <x:v>2.94375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التحويلات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custom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custom enterprise survey</x:v>
      </x:c>
      <x:c r="K22" s="24" t="str">
        <x:v>Seven selected governorates; custom sample; not national prevalence.</x:v>
      </x:c>
    </x:row>
    <x:row r="23">
      <x:c r="A23" s="24" t="str">
        <x:v>DA-018</x:v>
      </x:c>
      <x:c r="B23" s="24" t="str">
        <x:v>Firms</x:v>
      </x:c>
      <x:c r="C23" s="24" t="str">
        <x:v>Private commercial bank share of valid loan-source responses</x:v>
      </x:c>
      <x:c r="D23" s="24" t="str">
        <x:v>2022 custom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custom enterprise survey</x:v>
      </x:c>
      <x:c r="K23" s="24" t="str">
        <x:v>Small conditional denominator (n=18).</x:v>
      </x:c>
    </x:row>
    <x:row r="24">
      <x:c r="A24" s="24" t="str">
        <x:v>DA-019</x:v>
      </x:c>
      <x:c r="B24" s="24" t="str">
        <x:v>Firms</x:v>
      </x:c>
      <x:c r="C24" s="24" t="str">
        <x:v>NBFI/microfinance share of valid loan-source responses</x:v>
      </x:c>
      <x:c r="D24" s="24" t="str">
        <x:v>2022 custom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custom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custom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observed-wave change</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observed-wave change</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1,473 in Jan-2026, while monthly POS transactions rose from 8,015 to 24,026.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custom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counts—98 companies, 225 individual establishments and 106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98 companies, 225 establishments and 106 remittance agents (429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382→429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CON-032</x:v>
      </x:c>
      <x:c r="B120" s="24" t="str">
        <x:v>CBY foreign-currency deposit ratio denominator</x:v>
      </x:c>
      <x:c r="C120" s="24" t="str">
        <x:v>2024→2025</x:v>
      </x:c>
      <x:c r="D120" s="24" t="str">
        <x:v>Consolidated-bank deposit section reports 77.6%→68.2%; monetary-survey table reports 78.4%→71.0% under a similarly labelled ratio.</x:v>
      </x:c>
      <x:c r="E120" s="24" t="str">
        <x:v>DENOMINATOR_OR_INSTITUTIONAL_CONCEPT_DIFFERENCE</x:v>
      </x:c>
      <x:c r="F120" s="24" t="str">
        <x:v>PRESERVE_BOTH__MAP_DENOMINATORS_BEFORE_MERGE</x:v>
      </x:c>
      <x:c r="G120" s="24" t="str">
        <x:v>Show each ratio only with its source table/universe and denominator note.</x:v>
      </x:c>
      <x:c r="H120" s="24" t="str">
        <x:v>/system + /evidence/compare</x:v>
      </x:c>
      <x:c r="I120"/>
      <x:c r="J120"/>
      <x:c r="K120"/>
    </x:row>
    <x:row r="121">
      <x:c r="A121" s="24" t="str">
        <x:v>CON-033</x:v>
      </x:c>
      <x:c r="B121" s="24" t="str">
        <x:v>CBY publication streams / direct accessibility</x:v>
      </x:c>
      <x:c r="C121" s="24" t="str">
        <x:v>historical + 2024 + review 2026-09-10</x:v>
      </x:c>
      <x:c r="D121" s="24" t="str">
        <x:v>CBY-Aden indexed corpus is directly accessible; other historical/Sana'a-issued evidence is locatable through attested primary locators, institutional reproductions or mirrors while direct centralbank.gov.ye access is unresolved.</x:v>
      </x:c>
      <x:c r="E121" s="24" t="str">
        <x:v>SOURCE_STREAM_ACCESS_NOT_EVIDENCE_ABSENCE</x:v>
      </x:c>
      <x:c r="F121" s="24" t="str">
        <x:v>KEEP_ISSUER_STREAM_CUSTODY_SCOPE_SEPARATE</x:v>
      </x:c>
      <x:c r="G121" s="24" t="str">
        <x:v>Access failure may be shown as access/custody state; never as proof that evidence does not exist.</x:v>
      </x:c>
      <x:c r="H121" s="24" t="str">
        <x:v>/evidence + /methodology</x:v>
      </x:c>
      <x:c r="I121"/>
      <x:c r="J121"/>
      <x:c r="K121"/>
    </x:row>
    <x:row r="122">
      <x:c r="A122" s="24" t="str">
        <x:v>CON-034</x:v>
      </x:c>
      <x:c r="B122" s="24" t="str">
        <x:v>CBY long-run statistical methodology vintages</x:v>
      </x:c>
      <x:c r="C122" s="24" t="str">
        <x:v>from 2008-08 / 2014-11 / later revisions</x:v>
      </x:c>
      <x:c r="D122" s="24" t="str">
        <x:v>Historical bulletin methodology/presentation changes coexist with newer methodology revisions in later reporting.</x:v>
      </x:c>
      <x:c r="E122" s="24" t="str">
        <x:v>METHODOLOGY_VINTAGE_BREAKS</x:v>
      </x:c>
      <x:c r="F122" s="24" t="str">
        <x:v>VERSION_SERIES_SEGMENTS__NO_SMOOTH_JOIN</x:v>
      </x:c>
      <x:c r="G122" s="24" t="str">
        <x:v>Long-run charts require method-vintage markers and indicator-level comparability checks.</x:v>
      </x:c>
      <x:c r="H122" s="24" t="str">
        <x:v>/system + /methodology</x:v>
      </x:c>
      <x:c r="I122"/>
      <x:c r="J122"/>
      <x:c r="K122"/>
    </x:row>
    <x:row r="123">
      <x:c r="A123" s="24" t="str">
        <x:v>CON-035</x:v>
      </x:c>
      <x:c r="B123" s="24" t="str">
        <x:v>CBY bilingual/mixed-layout PDF extraction order</x:v>
      </x:c>
      <x:c r="C123" s="24" t="str">
        <x:v>corpus-wide</x:v>
      </x:c>
      <x:c r="D123" s="24" t="str">
        <x:v>Text extraction order in some Arabic/English tables can differ from visual column order, creating year/value inversion risk.</x:v>
      </x:c>
      <x:c r="E123" s="24" t="str">
        <x:v>EXTRACTION_ORDER_RISK</x:v>
      </x:c>
      <x:c r="F123" s="24" t="str">
        <x:v>VERIFY_TABLE_HEADER_NARRATIVE_AND_VISUAL_CONTEXT</x:v>
      </x:c>
      <x:c r="G123" s="24" t="str">
        <x:v>Ambiguous parsed tables remain HOLD until visual/context verification resolves value assignment.</x:v>
      </x:c>
      <x:c r="H123" s="24" t="str">
        <x:v>internal evidence QA + /methodology</x:v>
      </x:c>
      <x:c r="I123"/>
      <x:c r="J123"/>
      <x:c r="K123"/>
    </x:row>
    <x:row r="124">
      <x:c r="A124" s="24" t="str">
        <x:v>CON-036</x:v>
      </x:c>
      <x:c r="B124" s="24" t="str">
        <x:v>CBY series-specific freshness</x:v>
      </x:c>
      <x:c r="C124" s="24" t="str">
        <x:v>reviewed 2026-09-10</x:v>
      </x:c>
      <x:c r="D124" s="24" t="str">
        <x:v>Monthly monetary/financial index reaches May-2026 while monthly POS reaches Jan-2026; annual/snapshot products have other vintages.</x:v>
      </x:c>
      <x:c r="E124" s="24" t="str">
        <x:v>TEMPORAL_CURRENTNESS_NOT_ERROR</x:v>
      </x:c>
      <x:c r="F124" s="24" t="str">
        <x:v>STORE_CURRENTNESS_PER_SERIES_OBJECT</x:v>
      </x:c>
      <x:c r="G124" s="24" t="str">
        <x:v>Use exact observation/publication/review dates; never inherit freshness from publisher-level labels.</x:v>
      </x:c>
      <x:c r="H124" s="24" t="str">
        <x:v>/evidence + /methodology</x:v>
      </x:c>
      <x:c r="I124"/>
      <x:c r="J124"/>
      <x:c r="K124"/>
    </x:row>
    <x:row r="125">
      <x:c r="A125" s="24" t="str">
        <x:v>CON-037</x:v>
      </x:c>
      <x:c r="B125" s="24" t="str">
        <x:v>Exchange Law number / source identity</x:v>
      </x:c>
      <x:c r="C125" s="24" t="str">
        <x:v>1995 law; current CBY hosting and 2026 enforcement citations</x:v>
      </x:c>
      <x:c r="D125" s="24" t="str">
        <x:v>CBY-hosted law PDF title identifies Decree-Law No. 20/1995, while current 2026 CBY decisions cite Law No. 19/1995 amended by Decree No. 15/1996; government legal index corroborates 19/1995.</x:v>
      </x:c>
      <x:c r="E125" s="24" t="str">
        <x:v>LEGAL_SOURCE_IDENTITY_CONFLICT</x:v>
      </x:c>
      <x:c r="F125" s="24" t="str">
        <x:v>PRESERVE_HOSTED_IDENTITY_AND_CURRENT_CITATION__GAZETTE_RESOLUTION_REQUIRED</x:v>
      </x:c>
      <x:c r="G125" s="24" t="str">
        <x:v>Show the discrepancy if the legal citation matters; do not silently rewrite the hosted source.</x:v>
      </x:c>
      <x:c r="H125" s="24" t="str">
        <x:v>/providers + /payments/remittances + /reforms/regulation + /evidence/compare</x:v>
      </x:c>
      <x:c r="I125"/>
      <x:c r="J125"/>
      <x:c r="K125"/>
    </x:row>
    <x:row r="126">
      <x:c r="A126" s="24" t="str">
        <x:v>CON-038</x:v>
      </x:c>
      <x:c r="B126" s="24" t="str">
        <x:v>Deposit Insurance Corporation Law number</x:v>
      </x:c>
      <x:c r="C126" s="24" t="str">
        <x:v>2008</x:v>
      </x:c>
      <x:c r="D126" s="24" t="str">
        <x:v>CBY lists/hosts the law; Ministry of Justice public registry identifies Law No. 21/2008 while another government legal library identifies Law No. 40/2008.</x:v>
      </x:c>
      <x:c r="E126" s="24" t="str">
        <x:v>CROSS_GOVERNMENT_LEGAL_IDENTITY_CONFLICT</x:v>
      </x:c>
      <x:c r="F126" s="24" t="str">
        <x:v>HOLD_DEFINITIVE_LAW_NUMBER__VERIFY_GAZETTE_OR_AUTHORITATIVE_SCAN</x:v>
      </x:c>
      <x:c r="G126" s="24" t="str">
        <x:v>Existence may be stated; definitive number and operative clauses remain held until source identity is resolved.</x:v>
      </x:c>
      <x:c r="H126" s="24" t="str">
        <x:v>/reforms/regulation + /system + /evidence/compare</x:v>
      </x:c>
      <x:c r="I126"/>
      <x:c r="J126"/>
      <x:c r="K126"/>
    </x:row>
    <x:row r="127">
      <x:c r="A127" s="24" t="str">
        <x:v>CON-039</x:v>
      </x:c>
      <x:c r="B127" s="24" t="str">
        <x:v>CBY static web-page availability versus content vintage</x:v>
      </x:c>
      <x:c r="C127" s="24" t="str">
        <x:v>review 2026-09-10</x:v>
      </x:c>
      <x:c r="D127" s="24" t="str">
        <x:v>Official static pages are accessible at review time but several do not display a publication/effective date; some use current-tense language.</x:v>
      </x:c>
      <x:c r="E127" s="24" t="str">
        <x:v>TEMPORAL_METADATA_AMBIGUITY</x:v>
      </x:c>
      <x:c r="F127" s="24" t="str">
        <x:v>SEPARATE_RETRIEVAL_REVIEW_DATE_FROM_CONTENT_EFFECTIVE_DATE</x:v>
      </x:c>
      <x:c r="G127" s="24" t="str">
        <x:v>Attribute page-described state and show review date; do not present as a dated 2026 operating observation without corroboration.</x:v>
      </x:c>
      <x:c r="H127" s="24" t="str">
        <x:v>/methodology + affected domain routes</x:v>
      </x:c>
      <x:c r="I127"/>
      <x:c r="J127"/>
      <x:c r="K127"/>
    </x:row>
    <x:row r="128">
      <x:c r="A128" s="24" t="str">
        <x:v>CON-040</x:v>
      </x:c>
      <x:c r="B128" s="24" t="str">
        <x:v>CBY annual-report same-year value revisions</x:v>
      </x:c>
      <x:c r="C128" s="24" t="str">
        <x:v>2022–2025 annual-report vintages</x:v>
      </x:c>
      <x:c r="D128" s="24" t="str">
        <x:v>Successive CBY annual reports can publish materially different values for the same reference year across remittances and selected banking stocks.</x:v>
      </x:c>
      <x:c r="E128" s="24" t="str">
        <x:v>PUBLICATION_VINTAGE_REVISION</x:v>
      </x:c>
      <x:c r="F128" s="24" t="str">
        <x:v>PRESERVE_REFERENCE_YEAR_PLUS_REPORT_VINTAGE_PLUS_METHOD_BASIS</x:v>
      </x:c>
      <x:c r="G128" s="24" t="str">
        <x:v>Show revision history and latest controlled vintage; do not overwrite or convert revision into time change.</x:v>
      </x:c>
      <x:c r="H128" s="24" t="str">
        <x:v>/system + /payments/remittances + /evidence/compare</x:v>
      </x:c>
      <x:c r="I128"/>
      <x:c r="J128"/>
      <x:c r="K128"/>
    </x:row>
    <x:row r="129">
      <x:c r="A129" s="24" t="str">
        <x:v>CON-041</x:v>
      </x:c>
      <x:c r="B129" s="24" t="str">
        <x:v>CBY workers' remittance annual-report vintages</x:v>
      </x:c>
      <x:c r="C129" s="24" t="str">
        <x:v>2021–2025 reference years</x:v>
      </x:c>
      <x:c r="D129" s="24" t="str">
        <x:v>AR2025 materially restates 2021–2024 remittance levels below AR2024 and produces a much smoother published growth path; exact compilation driver is unresolved.</x:v>
      </x:c>
      <x:c r="E129" s="24" t="str">
        <x:v>SERIES_REVISION__METHOD_DRIVER_OPEN</x:v>
      </x:c>
      <x:c r="F129" s="24" t="str">
        <x:v>PRESERVE_VINTAGES__PUBLISH_PATTERN_NOT_CAUSE</x:v>
      </x:c>
      <x:c r="G129" s="24" t="str">
        <x:v>Both vintage histories may be shown; causal/method explanation remains explicitly open.</x:v>
      </x:c>
      <x:c r="H129" s="24" t="str">
        <x:v>/payments/remittances + /evidence/compare</x:v>
      </x:c>
      <x:c r="I129"/>
      <x:c r="J129"/>
      <x:c r="K129"/>
    </x:row>
    <x:row r="130">
      <x:c r="A130" s="24" t="str">
        <x:v>CON-042</x:v>
      </x:c>
      <x:c r="B130" s="24" t="str">
        <x:v>CBY 2022 consolidated banking values across valuation bases</x:v>
      </x:c>
      <x:c r="C130" s="24" t="str">
        <x:v>2022 reference year / AR2022 vs AR2023+</x:v>
      </x:c>
      <x:c r="D130" s="24" t="str">
        <x:v>AR2023+ restates 2022 banking assets, private loans, deposits and FX deposits above AR2022; AR2023 documents market-exchange-rate valuation of foreign positions from Jan-2023.</x:v>
      </x:c>
      <x:c r="E130" s="24" t="str">
        <x:v>VALUATION_BASIS_BREAK</x:v>
      </x:c>
      <x:c r="F130" s="24" t="str">
        <x:v>SEGMENT_METHOD_VINTAGE__NO_TEMPORAL_GROWTH_FROM_RESTATEMENT</x:v>
      </x:c>
      <x:c r="G130" s="24" t="str">
        <x:v>Same-year restatement may display with method note; economic growth uses method-compatible periods only.</x:v>
      </x:c>
      <x:c r="H130" s="24" t="str">
        <x:v>/system + /firms + /evidence/compare</x:v>
      </x:c>
      <x:c r="I130"/>
      <x:c r="J130"/>
      <x:c r="K130"/>
    </x:row>
    <x:row r="131">
      <x:c r="A131" s="24" t="str">
        <x:v>CON-043</x:v>
      </x:c>
      <x:c r="B131" s="24" t="str">
        <x:v>CBY AR2025 remittance reconstruction versus IMF methodological reconstruction</x:v>
      </x:c>
      <x:c r="C131" s="24" t="str">
        <x:v>2021–2025 / TA 2024–2025</x:v>
      </x:c>
      <x:c r="D131" s="24" t="str">
        <x:v>IMF documents a CBY-linked external-sector statistical rebuild and demographic-behavioral transfer model; CBY AR2025 then materially revises the remittance history. Their normalized 2021–2024 paths are nearly identical while reported levels/scopes differ.</x:v>
      </x:c>
      <x:c r="E131" s="24" t="str">
        <x:v>DOCUMENTED_METHOD_LINK_PLUS_CROSS_SOURCE_TRAJECTORY_CONCORDANCE</x:v>
      </x:c>
      <x:c r="F131" s="24" t="str">
        <x:v>TREAT_METHOD_REBUILD_AS_HIGH_CONFIDENCE_LINK__KEEP_EXACT_CONCEPT_GEOGRAPHY_LEVEL_MAPPING_OPEN</x:v>
      </x:c>
      <x:c r="G131" s="24" t="str">
        <x:v>Publish the method linkage and normalized trajectory diagnostic; do not merge raw levels or reverse-engineer the scaling factor.</x:v>
      </x:c>
      <x:c r="H131" s="24" t="str">
        <x:v>/payments/remittances + /evidence/compare + /methodology</x:v>
      </x:c>
    </x:row>
    <x:row r="132">
      <x:c r="A132" s="24" t="str">
        <x:v>CON-044</x:v>
      </x:c>
      <x:c r="B132" s="24" t="str">
        <x:v>Historical foreign-currency market-rate valuation versus Jan-2023 CBY-Aden change</x:v>
      </x:c>
      <x:c r="C132" s="24" t="str">
        <x:v>1996 historical metadata / 2023 contemporary reporting</x:v>
      </x:c>
      <x:c r="D132" s="24" t="str">
        <x:v>IMF metadata records market-rate valuation of foreign-currency-denominated accounts from Jul-1996, while CBY-Aden AR2023/MFD document a Jan-2023 valuation/reporting change and circular basis.</x:v>
      </x:c>
      <x:c r="E132" s="24" t="str">
        <x:v>METHOD_LINEAGE_NOT_FIRST_USE_CONFLICT</x:v>
      </x:c>
      <x:c r="F132" s="24" t="str">
        <x:v>NARROW_2023_CLAIM__PRESERVE_HISTORICAL_PRECEDENT__VERIFY_LINEAGE</x:v>
      </x:c>
      <x:c r="G132" s="24" t="str">
        <x:v>Use 'contemporary Jan-2023 CBY-Aden change', not 'first use of market rates in Yemen'.</x:v>
      </x:c>
      <x:c r="H132" s="24" t="str">
        <x:v>/system + /firms + /methodology + /evidence/compare</x:v>
      </x:c>
    </x:row>
    <x:row r="133">
      <x:c r="A133" s="24" t="str">
        <x:v>CON-045</x:v>
      </x:c>
      <x:c r="B133" s="24" t="str">
        <x:v>World Bank/WDI Yemen remittance public-interface &amp; access-vintage state</x:v>
      </x:c>
      <x:c r="C133" s="24" t="str">
        <x:v>Different interface/access states reviewed across 2025–2026</x:v>
      </x:c>
      <x:c r="D133"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3" s="24" t="str">
        <x:v>PUBLIC_INTERFACE_AND_ACCESS_VINTAGE_DIVERGENCE</x:v>
      </x:c>
      <x:c r="F133" s="24" t="str">
        <x:v>PRESERVE_EXACT_INTERFACE_URL_INDICATOR_RETRIEVAL_DATE__NO_DATA_ABSENCE_OR_REVISION_CAUSE_INFERENCE</x:v>
      </x:c>
      <x:c r="G133" s="24" t="str">
        <x:v>Each public surface/prior publication may be used as evidence of what it exposed at its access date; underlying dataset history remains a separate question.</x:v>
      </x:c>
      <x:c r="H133" s="24" t="str">
        <x:v>/payments/remittances + /evidence + /methodology</x:v>
      </x:c>
    </x:row>
    <x:row r="134">
      <x:c r="A134" s="24" t="str">
        <x:v>CON-046</x:v>
      </x:c>
      <x:c r="B134" s="24" t="str">
        <x:v>Single CBY↔IMF BOP scalar hypothesis</x:v>
      </x:c>
      <x:c r="C134" s="24" t="str">
        <x:v>2021–2024 overlap</x:v>
      </x:c>
      <x:c r="D134" s="24" t="str">
        <x:v>Remittance ratios are almost constant, but ratios for imports, grants, current account and E&amp;O vary materially; IMF Annex IV documents component-specific reconstruction methods.</x:v>
      </x:c>
      <x:c r="E134" s="24" t="str">
        <x:v>CROSSWALK_HYPOTHESIS_CONTRADICTED_BY_COMPONENTS</x:v>
      </x:c>
      <x:c r="F134" s="24" t="str">
        <x:v>REJECT_GLOBAL_SCALAR__USE_COMPONENT_CROSSWALKS</x:v>
      </x:c>
      <x:c r="G134" s="24" t="str">
        <x:v>A single conversion factor is not supported for the BOP. The remittance fingerprint remains separately open.</x:v>
      </x:c>
      <x:c r="H134" s="24" t="str">
        <x:v>/system;/remittances;/methodology</x:v>
      </x:c>
    </x:row>
    <x:row r="135">
      <x:c r="A135" s="24" t="str">
        <x:v>CON-047</x:v>
      </x:c>
      <x:c r="B135" s="24" t="str">
        <x:v>BOP residual versus hidden-flow interpretation</x:v>
      </x:c>
      <x:c r="C135" s="24" t="str">
        <x:v>2021–2025</x:v>
      </x:c>
      <x:c r="D135" s="24" t="str">
        <x:v>CBY and IMF publish material E&amp;O; BPM accounting treats it as a balancing residual while CCY uses an explicit residual model to estimate remittances.</x:v>
      </x:c>
      <x:c r="E135" s="24" t="str">
        <x:v>RESIDUAL_SEMANTICS_VS_MODEL_IDENTIFICATION</x:v>
      </x:c>
      <x:c r="F135" s="24" t="str">
        <x:v>KEEP_EO_AS_RESIDUAL__TYPE_ANY_ALLOCATION_AS_MODEL</x:v>
      </x:c>
      <x:c r="G135" s="24" t="str">
        <x:v>Show E&amp;O scale and alternative model assumptions separately.</x:v>
      </x:c>
      <x:c r="H135" s="24" t="str">
        <x:v>/system;/remittances;/evidence</x:v>
      </x:c>
    </x:row>
    <x:row r="136">
      <x:c r="A136" s="24" t="str">
        <x:v>CON-048</x:v>
      </x:c>
      <x:c r="B136" s="24" t="str">
        <x:v>CBY capital/financial inflows vs IMF financial account</x:v>
      </x:c>
      <x:c r="C136" s="24" t="str">
        <x:v>2021–2025</x:v>
      </x:c>
      <x:c r="D136" s="24" t="str">
        <x:v>CBY presentation uses inflow language while IMF Table 4 follows a BPM financial-account sign convention and instrument classification.</x:v>
      </x:c>
      <x:c r="E136" s="24" t="str">
        <x:v>SIGN_AND_CLASSIFICATION_NONCOMPARABILITY</x:v>
      </x:c>
      <x:c r="F136" s="24" t="str">
        <x:v>NO_RAW_RATIO_OR_ADDITION_UNTIL_INSTRUMENT_CROSSWALK</x:v>
      </x:c>
      <x:c r="G136" s="24" t="str">
        <x:v>Require XR-012 and the BOP/IIP reconciliation contract.</x:v>
      </x:c>
      <x:c r="H136" s="24" t="str">
        <x:v>/system;/external-sector;/methodology</x:v>
      </x:c>
    </x:row>
    <x:row r="137">
      <x:c r="A137" s="24" t="str">
        <x:v>CON-049</x:v>
      </x:c>
      <x:c r="B137" s="24" t="str">
        <x:v>Current whole-Yemen and IRG external-sector lenses</x:v>
      </x:c>
      <x:c r="C137" s="24" t="str">
        <x:v>2025/2026 publications</x:v>
      </x:c>
      <x:c r="D137" s="24" t="str">
        <x:v>Credible institutions use different geographic/statistical universes for current Yemen external-sector analysis.</x:v>
      </x:c>
      <x:c r="E137" s="24" t="str">
        <x:v>GEOGRAPHIC_SCOPE_DIVERGENCE</x:v>
      </x:c>
      <x:c r="F137" s="24" t="str">
        <x:v>SCOPE_TRAVELS_WITH_EVERY_DATUM</x:v>
      </x:c>
      <x:c r="G137" s="24" t="str">
        <x:v>Parallel lenses can both be valid; do not choose a winner or silently merge.</x:v>
      </x:c>
      <x:c r="H137" s="24" t="str">
        <x:v>/system;/remittances;/methodology</x:v>
      </x:c>
    </x:row>
    <x:row r="138">
      <x:c r="A138" s="24" t="str">
        <x:v>CON-050</x:v>
      </x:c>
      <x:c r="B138" s="24" t="str">
        <x:v>Saudi support parent packages versus child tranches/states</x:v>
      </x:c>
      <x:c r="C138" s="24" t="str">
        <x:v>2010–2026</x:v>
      </x:c>
      <x:c r="D138" s="24" t="str">
        <x:v>Pledges, commitments, deposits, amounts made available, budget disbursements, FX-auction use, in-kind support and project totals can overlap.</x:v>
      </x:c>
      <x:c r="E138" s="24" t="str">
        <x:v>FLOW_STATE_DOUBLE_COUNT_RISK</x:v>
      </x:c>
      <x:c r="F138" s="24" t="str">
        <x:v>PARENT_CHILD_AND_STATE_MUST_BE_EXPLICIT</x:v>
      </x:c>
      <x:c r="G138" s="24" t="str">
        <x:v>Use 190 flow-state ledger; no synthetic additive headline.</x:v>
      </x:c>
      <x:c r="H138" s="24" t="str">
        <x:v>/external-support;/system</x:v>
      </x:c>
    </x:row>
    <x:row r="139">
      <x:c r="A139" s="24" t="str">
        <x:v>CON-051</x:v>
      </x:c>
      <x:c r="B139" s="24" t="str">
        <x:v>Cash programme activity versus durable financial inclusion</x:v>
      </x:c>
      <x:c r="C139" s="24" t="str">
        <x:v>2023–2026 evidence</x:v>
      </x:c>
      <x:c r="D139" s="24" t="str">
        <x:v>Programme delivery, VSLAs/identity targets, local multipliers and payment rails are observed/planned at different stages, but durable post-transfer account/wallet use is not yet established.</x:v>
      </x:c>
      <x:c r="E139" s="24" t="str">
        <x:v>ACTIVITY_ACCESS_USE_OUTCOME_CONFLATION_RISK</x:v>
      </x:c>
      <x:c r="F139" s="24" t="str">
        <x:v>STOP_CLAIM_AT_LAST_EVIDENCED_STAGE</x:v>
      </x:c>
      <x:c r="G139" s="24" t="str">
        <x:v>Use the seven-stage cash→finance proof ladder.</x:v>
      </x:c>
      <x:c r="H139" s="24" t="str">
        <x:v>/cash;/people;/payments</x:v>
      </x:c>
    </x:row>
    <x:row r="140">
      <x:c r="A140" s="24" t="str">
        <x:v>CON-052</x:v>
      </x:c>
      <x:c r="B140" s="24" t="str">
        <x:v>Statistical standard migration</x:v>
      </x:c>
      <x:c r="C140" s="24" t="str">
        <x:v>BPM6-era Yemen evidence vs BPM7 released 2025</x:v>
      </x:c>
      <x:c r="D140" s="24" t="str">
        <x:v>BPM7 is the updated global standard, but country implementation is a multi-year transition; historical Yemen series retain their source-native standard until an explicit bridge/revision exists.</x:v>
      </x:c>
      <x:c r="E140" s="24" t="str">
        <x:v>STANDARD_VERSION_RISK</x:v>
      </x:c>
      <x:c r="F140" s="24" t="str">
        <x:v>VERSION_STANDARD_WITH_SERIES__NO_SILENT_RELABEL</x:v>
      </x:c>
      <x:c r="G140" s="24" t="str">
        <x:v>Create BPM7 migration watch; preserve historical semantics.</x:v>
      </x:c>
      <x:c r="H140" s="24" t="str">
        <x:v>/methodology;/external-sector</x:v>
      </x:c>
    </x:row>
    <x:row r="141">
      <x:c r="A141" s="24" t="str">
        <x:v>CON-053</x:v>
      </x:c>
      <x:c r="B141" s="24" t="str">
        <x:v>IBS electronic-money accounts vs active/unique users</x:v>
      </x:c>
      <x:c r="C141" s="24" t="str">
        <x:v>2016–2019</x:v>
      </x:c>
      <x:c r="D141" s="24" t="str">
        <x:v>IBS Table 3 reports account objects while the same source reports average 23% dormant/inactive in 2019; later literature sometimes relabels counts as active users.</x:v>
      </x:c>
      <x:c r="E141" s="24" t="str">
        <x:v>ACCOUNT_ACTIVITY_PERSON_SEMANTIC_CONFLICT</x:v>
      </x:c>
      <x:c r="F141" s="24" t="str">
        <x:v>ACCOUNT_COUNT_GOVERNS__ACTIVE_AND_PERSON_REQUIRE_SEPARATE_EVIDENCE</x:v>
      </x:c>
      <x:c r="G141" s="24" t="str">
        <x:v>Publish account count only with Evidence Passport and source activity qualifier.</x:v>
      </x:c>
      <x:c r="H141" s="24" t="str">
        <x:v>/payments;/people;/methodology</x:v>
      </x:c>
    </x:row>
    <x:row r="142">
      <x:c r="A142" s="24" t="str">
        <x:v>CON-054</x:v>
      </x:c>
      <x:c r="B142" s="24" t="str">
        <x:v>IBS Table 8 vs secondary 2018 subshares</x:v>
      </x:c>
      <x:c r="C142" s="24" t="n">
        <x:v>2018</x:v>
      </x:c>
      <x:c r="D142" s="24" t="str">
        <x:v>A rounded 95% broad grouping is reproducible, but secondary 9% cash-out and 1% bill/purchase subshares do not reproduce from the evident Table 8 denominator.</x:v>
      </x:c>
      <x:c r="E142" s="24" t="str">
        <x:v>SECONDARY_GROUPING_DENOMINATOR_OPEN</x:v>
      </x:c>
      <x:c r="F142" s="24" t="str">
        <x:v>PRIMARY_TABLE_PLUS_EXPLICIT_DERIVATION_GOVERNS</x:v>
      </x:c>
      <x:c r="G142" s="24" t="str">
        <x:v>Withhold unreproduced subshares; expose calculation if any derived percentage is shown.</x:v>
      </x:c>
      <x:c r="H142" s="24" t="str">
        <x:v>/payments;/evidence/compare</x:v>
      </x:c>
    </x:row>
    <x:row r="143">
      <x:c r="A143" s="24" t="str">
        <x:v>CON-055</x:v>
      </x:c>
      <x:c r="B143" s="24" t="str">
        <x:v>IBS 2017 transaction-value total vs Arabic secondary transcription</x:v>
      </x:c>
      <x:c r="C143" s="24" t="n">
        <x:v>2017</x:v>
      </x:c>
      <x:c r="D143" s="24" t="str">
        <x:v>Original category arithmetic supports YER 11,393,123,266 while a later Arabic footnote shows 113,393,123,266.</x:v>
      </x:c>
      <x:c r="E143" s="24" t="str">
        <x:v>SECONDARY_TRANSCRIPTION_ERROR</x:v>
      </x:c>
      <x:c r="F143" s="24" t="str">
        <x:v>PRIMARY_TABLE_ARITHMETIC_GOVERNS</x:v>
      </x:c>
      <x:c r="G143" s="24" t="str">
        <x:v>Use 11.393bn; retain extra-digit form only as discrepancy evidence.</x:v>
      </x:c>
      <x:c r="H143" s="24" t="str">
        <x:v>/payments;/evidence/compare</x:v>
      </x:c>
    </x:row>
    <x:row r="144">
      <x:c r="A144" s="24" t="str">
        <x:v>CON-056</x:v>
      </x:c>
      <x:c r="B144" s="24" t="str">
        <x:v>IBS provider gender distribution vs 611-user survey composition</x:v>
      </x:c>
      <x:c r="C144" s="24" t="str">
        <x:v>2016–2019</x:v>
      </x:c>
      <x:c r="D144" s="24" t="str">
        <x:v>Provider/account-user average is 87% male/13% female, whereas the study's 611-user sample is 73.5% male/26.5% female.</x:v>
      </x:c>
      <x:c r="E144" s="24" t="str">
        <x:v>DIFFERENT_UNIVERSE_METHOD_NOT_CONTRADICTION</x:v>
      </x:c>
      <x:c r="F144" s="24" t="str">
        <x:v>TYPE_AND_DISPLAY_SEPARATELY</x:v>
      </x:c>
      <x:c r="G144" s="24" t="str">
        <x:v>Never blend or use either as national adult gender prevalence.</x:v>
      </x:c>
      <x:c r="H144" s="24" t="str">
        <x:v>/people;/payments;/methodology</x:v>
      </x:c>
    </x:row>
    <x:row r="145">
      <x:c r="A145" s="24" t="str">
        <x:v>CON-057</x:v>
      </x:c>
      <x:c r="B145" s="24" t="str">
        <x:v>Al-Kuraimi 91% concentration metric</x:v>
      </x:c>
      <x:c r="C145" s="24" t="str">
        <x:v>2023 state / 2024 vs 2025 publications</x:v>
      </x:c>
      <x:c r="D145"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5" s="24" t="str">
        <x:v>SEMANTIC_HIERARCHY_RESOLVED__2023_CALCULATION_OPEN</x:v>
      </x:c>
      <x:c r="F145" s="24" t="str">
        <x:v>ALLOW_SOURCE_ATTRIBUTED_GROWTH_SHARE_WITH_CALCULATION_OPEN__WITHHOLD_2023_STOCK_SHARE</x:v>
      </x:c>
      <x:c r="G145" s="24" t="str">
        <x:v>Show 91% only as source-attributed saver-growth share with calculation-open badge; show the 2025 stock-share wording only as an unsupported later restatement until primary 2023 numerator/denominator or correction is recovered.</x:v>
      </x:c>
      <x:c r="H145" s="24" t="str">
        <x:v>/finance/microfinance;/evidence/compare</x:v>
      </x:c>
    </x:row>
    <x:row r="146">
      <x:c r="A146" s="24" t="str">
        <x:v>CON-058</x:v>
      </x:c>
      <x:c r="B146" s="24" t="str">
        <x:v>Active borrowers June vs end-2023</x:v>
      </x:c>
      <x:c r="C146" s="24" t="str">
        <x:v>2023-06 vs 2023 end</x:v>
      </x:c>
      <x:c r="D146" s="24" t="str">
        <x:v>A 2024 social-protection paper reports ~80,800 active borrowers by June 2023 citing MoPIC Issue 80; a separate 2024 MFB paper reports 78,686 by end-2023 citing the SFD/SMED archive.</x:v>
      </x:c>
      <x:c r="E146" s="24" t="str">
        <x:v>DIFFERENT_PERIOD_AND_SOURCE_CHAIN_NOT_CONTRADICTION</x:v>
      </x:c>
      <x:c r="F146" s="24" t="str">
        <x:v>TYPE_AS_SEPARATE_OBSERVATIONS__NO_WITHIN_YEAR_CHANGE_WITHOUT_UNIVERSE_BRIDGE</x:v>
      </x:c>
      <x:c r="G146" s="24" t="str">
        <x:v>Both may be shown as bounded period-specific observations, but not connected as a trend line until source universes are reconciled.</x:v>
      </x:c>
      <x:c r="H146" s="24" t="str">
        <x:v>/finance/microfinance;/evidence-clock</x:v>
      </x:c>
    </x:row>
    <x:row r="147">
      <x:c r="A147" s="24" t="str">
        <x:v>CON-059</x:v>
      </x:c>
      <x:c r="B147" s="24" t="str">
        <x:v>2023 saver concentration semantics</x:v>
      </x:c>
      <x:c r="C147" s="24" t="str">
        <x:v>2016–2023 wording / 2023 endpoint</x:v>
      </x:c>
      <x:c r="D147" s="24" t="str">
        <x:v>The 2024 paper reports 3.3m active MFB savers in 2023 and 96% vs 4% shares 'between 2016 and 2023', but the accessible prose does not establish whether 96/4 is a 2023 stock split, a period-average, or another aggregation.</x:v>
      </x:c>
      <x:c r="E147" s="24" t="str">
        <x:v>PERIOD_DENOMINATOR_AMBIGUITY</x:v>
      </x:c>
      <x:c r="F147" s="24" t="str">
        <x:v>ALLOW_3.3M_AS_BOUNDED_SOURCE_OBJECT__WITHHOLD_EXACT_96_4_PUBLIC_SPLIT</x:v>
      </x:c>
      <x:c r="G147" s="24" t="str">
        <x:v>Use saver scale only with object-definition warning; precise 96/4 concentration chart remains held.</x:v>
      </x:c>
      <x:c r="H147" s="24" t="str">
        <x:v>/finance/microfinance;/people;/evidence/compare</x:v>
      </x:c>
    </x:row>
    <x:row r="150">
      <x:c r="A150" s="70" t="str">
        <x:v>Metric crosswalk</x:v>
      </x:c>
      <x:c r="B150" s="70"/>
      <x:c r="C150" s="70"/>
      <x:c r="D150" s="70"/>
      <x:c r="E150" s="70"/>
      <x:c r="F150" s="70"/>
      <x:c r="G150" s="70"/>
      <x:c r="H150" s="70"/>
      <x:c r="I150" s="70"/>
      <x:c r="J150" s="70"/>
      <x:c r="K150" s="70"/>
      <x:c r="L150" s="70"/>
      <x:c r="M150" s="70"/>
      <x:c r="N150" s="70"/>
    </x:row>
    <x:row r="151">
      <x:c r="A151" s="73" t="str">
        <x:v>crosswalk_id</x:v>
      </x:c>
      <x:c r="B151" s="73" t="str">
        <x:v>concept</x:v>
      </x:c>
      <x:c r="C151" s="73" t="str">
        <x:v>project_state</x:v>
      </x:c>
      <x:c r="D151" s="73" t="str">
        <x:v>project_year</x:v>
      </x:c>
      <x:c r="E151" s="73" t="str">
        <x:v>project_value</x:v>
      </x:c>
      <x:c r="F151" s="73" t="str">
        <x:v>project_unit</x:v>
      </x:c>
      <x:c r="G151" s="73" t="str">
        <x:v>related_admin_metric</x:v>
      </x:c>
      <x:c r="H151" s="73" t="str">
        <x:v>admin_year</x:v>
      </x:c>
      <x:c r="I151" s="73" t="str">
        <x:v>admin_value</x:v>
      </x:c>
      <x:c r="J151" s="73" t="str">
        <x:v>admin_unit</x:v>
      </x:c>
      <x:c r="K151" s="73" t="str">
        <x:v>compatibility_state</x:v>
      </x:c>
      <x:c r="L151" s="73" t="str">
        <x:v>use_rule</x:v>
      </x:c>
      <x:c r="M151" s="73" t="str">
        <x:v>project_source</x:v>
      </x:c>
      <x:c r="N151" s="73" t="str">
        <x:v>admin_source</x:v>
      </x:c>
    </x:row>
    <x:row r="152">
      <x:c r="A152" s="24" t="str">
        <x:v>XW-FMIIP-001</x:v>
      </x:c>
      <x:c r="B152" s="24" t="str">
        <x:v>Active bank accounts</x:v>
      </x:c>
      <x:c r="C152" s="24" t="str">
        <x:v>FMIIP baseline</x:v>
      </x:c>
      <x:c r="D152" s="24" t="n">
        <x:v>2025</x:v>
      </x:c>
      <x:c r="E152" s="24" t="n">
        <x:v>1062441</x:v>
      </x:c>
      <x:c r="F152" s="24" t="str">
        <x:v>accounts</x:v>
      </x:c>
      <x:c r="G152" s="24" t="str">
        <x:v>CBY H1 2025 reported accounts</x:v>
      </x:c>
      <x:c r="H152" s="24" t="n">
        <x:v>2025</x:v>
      </x:c>
      <x:c r="I152" s="24" t="n">
        <x:v>5202019</x:v>
      </x:c>
      <x:c r="J152" s="24" t="str">
        <x:v>accounts</x:v>
      </x:c>
      <x:c r="K152" s="24" t="str">
        <x:v>NOT_DIRECTLY_COMPARABLE__ACTIVE_DEFINITION_AND_UNIVERSE_UNRESOLVED</x:v>
      </x:c>
      <x:c r="L152" s="24" t="str">
        <x:v>Do not reconcile or ratio. Treat as a definitions problem requiring metadata/source-owner clarification.</x:v>
      </x:c>
      <x:c r="M152" s="24" t="str">
        <x:v>https://www.undp.org/yemen/projects/yemen-financial-market-infrastructure-and-inclusion-project</x:v>
      </x:c>
      <x:c r="N152" s="24" t="str">
        <x:v>https://www.cby-ye.com/files/693a7845e7f26.pdf</x:v>
      </x:c>
    </x:row>
    <x:row r="153">
      <x:c r="A153" s="24" t="str">
        <x:v>XW-FMIIP-002</x:v>
      </x:c>
      <x:c r="B153" s="24" t="str">
        <x:v>Active e-wallet accounts</x:v>
      </x:c>
      <x:c r="C153" s="24" t="str">
        <x:v>FMIIP baseline</x:v>
      </x:c>
      <x:c r="D153" s="24" t="n">
        <x:v>2025</x:v>
      </x:c>
      <x:c r="E153" s="24" t="n">
        <x:v>375252</x:v>
      </x:c>
      <x:c r="F153" s="24" t="str">
        <x:v>active e-wallet accounts</x:v>
      </x:c>
      <x:c r="G153" s="24" t="str">
        <x:v>CBY H1 2025 e-wallet subscribers</x:v>
      </x:c>
      <x:c r="H153" s="24" t="n">
        <x:v>2025</x:v>
      </x:c>
      <x:c r="I153" s="24" t="n">
        <x:v>2102484</x:v>
      </x:c>
      <x:c r="J153" s="24" t="str">
        <x:v>subscribers</x:v>
      </x:c>
      <x:c r="K153" s="24" t="str">
        <x:v>NOT_SAME_METRIC</x:v>
      </x:c>
      <x:c r="L153" s="24" t="str">
        <x:v>Subscribers are not active e-wallet accounts. Never use one as the denominator/numerator of the other.</x:v>
      </x:c>
      <x:c r="M153" s="24" t="str">
        <x:v>https://www.undp.org/yemen/projects/yemen-financial-market-infrastructure-and-inclusion-project</x:v>
      </x:c>
      <x:c r="N153" s="24" t="str">
        <x:v>https://www.cby-ye.com/files/693a7845e7f26.pdf</x:v>
      </x:c>
    </x:row>
    <x:row r="154">
      <x:c r="A154" s="24" t="str">
        <x:v>XW-FMIIP-003</x:v>
      </x:c>
      <x:c r="B154" s="24" t="str">
        <x:v>Merchants accepting electronic payments</x:v>
      </x:c>
      <x:c r="C154" s="24" t="str">
        <x:v>FMIIP baseline</x:v>
      </x:c>
      <x:c r="D154" s="24" t="n">
        <x:v>2025</x:v>
      </x:c>
      <x:c r="E154" s="24" t="n">
        <x:v>170</x:v>
      </x:c>
      <x:c r="F154" s="24" t="str">
        <x:v>merchants</x:v>
      </x:c>
      <x:c r="G154" s="24" t="str">
        <x:v>CBY June 2025 POS terminals</x:v>
      </x:c>
      <x:c r="H154" s="24" t="n">
        <x:v>2025</x:v>
      </x:c>
      <x:c r="I154" s="24" t="n">
        <x:v>791</x:v>
      </x:c>
      <x:c r="J154" s="24" t="str">
        <x:v>POS terminals</x:v>
      </x:c>
      <x:c r="K154" s="24" t="str">
        <x:v>NOT_SAME_UNIT</x:v>
      </x:c>
      <x:c r="L154" s="24" t="str">
        <x:v>A merchant can have zero/one/multiple terminals; POS count does not equal merchant count.</x:v>
      </x:c>
      <x:c r="M154" s="24" t="str">
        <x:v>https://www.undp.org/yemen/projects/yemen-financial-market-infrastructure-and-inclusion-project</x:v>
      </x:c>
      <x:c r="N154" s="24" t="str">
        <x:v>https://www.cby-ye.com/files/693a7845e7f26.pdf</x:v>
      </x:c>
    </x:row>
    <x:row r="155">
      <x:c r="A155" s="24" t="str">
        <x:v>XW-FMIIP-004</x:v>
      </x:c>
      <x:c r="B155" s="24" t="str">
        <x:v>Beneficiaries receiving/making electronic payments</x:v>
      </x:c>
      <x:c r="C155" s="24" t="str">
        <x:v>FMIIP baseline</x:v>
      </x:c>
      <x:c r="D155" s="24" t="n">
        <x:v>2025</x:v>
      </x:c>
      <x:c r="E155" s="24" t="n">
        <x:v>10761</x:v>
      </x:c>
      <x:c r="F155" s="24" t="str">
        <x:v>beneficiaries</x:v>
      </x:c>
      <x:c r="G155" s="24" t="str">
        <x:v>CBY H1 2025 POS transactions</x:v>
      </x:c>
      <x:c r="H155" s="24" t="n">
        <x:v>2025</x:v>
      </x:c>
      <x:c r="I155" s="24" t="n">
        <x:v>58512</x:v>
      </x:c>
      <x:c r="J155" s="24" t="str">
        <x:v>transactions</x:v>
      </x:c>
      <x:c r="K155" s="24" t="str">
        <x:v>NOT_SAME_UNIT</x:v>
      </x:c>
      <x:c r="L155" s="24" t="str">
        <x:v>Transactions are events; beneficiaries are people/entities. Never convert without unique-ID methodology.</x:v>
      </x:c>
      <x:c r="M155" s="24" t="str">
        <x:v>https://www.undp.org/yemen/projects/yemen-financial-market-infrastructure-and-inclusion-project</x:v>
      </x:c>
      <x:c r="N155" s="24" t="str">
        <x:v>https://www.cby-ye.com/files/693a7845e7f26.pdf</x:v>
      </x:c>
    </x:row>
    <x:row r="156">
      <x:c r="A156" s="24" t="str">
        <x:v>XW-FMIIP-005</x:v>
      </x:c>
      <x:c r="B156" s="24" t="str">
        <x:v>Financial access points</x:v>
      </x:c>
      <x:c r="C156" s="24" t="str">
        <x:v>FMIIP target</x:v>
      </x:c>
      <x:c r="D156" s="24" t="n">
        <x:v>2030</x:v>
      </x:c>
      <x:c r="E156" s="24" t="n">
        <x:v>1021</x:v>
      </x:c>
      <x:c r="F156" s="24" t="str">
        <x:v>access points</x:v>
      </x:c>
      <x:c r="G156" s="24" t="str">
        <x:v>CBY H1 2025 ATMs and POS</x:v>
      </x:c>
      <x:c r="H156" s="24" t="n">
        <x:v>2025</x:v>
      </x:c>
      <x:c r="I156" s="24"/>
      <x:c r="J156" s="24" t="str">
        <x:v>multiple infrastructure objects</x:v>
      </x:c>
      <x:c r="K156" s="24" t="str">
        <x:v>NO_VALID_ADDITIVE_CROSSWALK</x:v>
      </x:c>
      <x:c r="L156" s="24" t="str">
        <x:v>Do not add ATMs + POS + agents unless FMIIP access-point taxonomy and deduplication rules explicitly permit it.</x:v>
      </x:c>
      <x:c r="M156" s="24" t="str">
        <x:v>https://www.undp.org/yemen/projects/yemen-financial-market-infrastructure-and-inclusion-project</x:v>
      </x:c>
      <x:c r="N156" s="24" t="str">
        <x:v>https://www.cby-ye.com/files/693a7845e7f26.pdf</x:v>
      </x:c>
    </x:row>
    <x:row r="157">
      <x:c r="A157" s="24" t="str">
        <x:v>XW-WALLET-001</x:v>
      </x:c>
      <x:c r="B157" s="24" t="str">
        <x:v>Wallet provider count</x:v>
      </x:c>
      <x:c r="C157" s="24" t="str">
        <x:v>CBY payment report</x:v>
      </x:c>
      <x:c r="D157" s="24" t="n">
        <x:v>2024</x:v>
      </x:c>
      <x:c r="E157" s="24" t="n">
        <x:v>7</x:v>
      </x:c>
      <x:c r="F157" s="24" t="str">
        <x:v>e-wallets</x:v>
      </x:c>
      <x:c r="G157" s="24" t="str">
        <x:v>CBY H1 payment report</x:v>
      </x:c>
      <x:c r="H157" s="24" t="n">
        <x:v>2025</x:v>
      </x:c>
      <x:c r="I157" s="24" t="n">
        <x:v>9</x:v>
      </x:c>
      <x:c r="J157" s="24" t="str">
        <x:v>e-wallets</x:v>
      </x:c>
      <x:c r="K157" s="24" t="str">
        <x:v>NOT_YET_PROVEN_SAME_UNIVERSE</x:v>
      </x:c>
      <x:c r="L157" s="24" t="str">
        <x:v>Keep as separate dated administrative counts; no growth calculation.</x:v>
      </x:c>
      <x:c r="M157" s="24" t="str">
        <x:v>https://www.cby-ye.com/files/677c2e75a4d8c.pdf</x:v>
      </x:c>
      <x:c r="N157" s="24" t="str">
        <x:v>https://www.cby-ye.com/files/693a7845e7f26.pdf</x:v>
      </x:c>
    </x:row>
    <x:row r="158">
      <x:c r="A158" s="24" t="str">
        <x:v>XW-WALLET-002</x:v>
      </x:c>
      <x:c r="B158" s="24" t="str">
        <x:v>Wallet provider count</x:v>
      </x:c>
      <x:c r="C158" s="24" t="str">
        <x:v>CBY H1 payment report</x:v>
      </x:c>
      <x:c r="D158" s="24" t="n">
        <x:v>2025</x:v>
      </x:c>
      <x:c r="E158" s="24" t="n">
        <x:v>9</x:v>
      </x:c>
      <x:c r="F158" s="24" t="str">
        <x:v>e-wallets</x:v>
      </x:c>
      <x:c r="G158" s="24" t="str">
        <x:v>CBY Governor workshop statement</x:v>
      </x:c>
      <x:c r="H158" s="24" t="n">
        <x:v>2025</x:v>
      </x:c>
      <x:c r="I158" s="24" t="n">
        <x:v>8</x:v>
      </x:c>
      <x:c r="J158" s="24" t="str">
        <x:v>licensed e-wallets</x:v>
      </x:c>
      <x:c r="K158" s="24" t="str">
        <x:v>NOT_SAME_WORDING_OR_REFERENCE_DATE</x:v>
      </x:c>
      <x:c r="L158" s="24" t="str">
        <x:v>Administrative 'number of e-wallets' and dated 'licensed e-wallets' statement cannot be reconciled without provider definitions/names.</x:v>
      </x:c>
      <x:c r="M158" s="24" t="str">
        <x:v>https://www.cby-ye.com/files/693a7845e7f26.pdf</x:v>
      </x:c>
      <x:c r="N158" s="24" t="str">
        <x:v>https://cby-ye.com/news/876</x:v>
      </x:c>
    </x:row>
    <x:row r="159">
      <x:c r="A159" s="24" t="str">
        <x:v>XW-WALLET-003</x:v>
      </x:c>
      <x:c r="B159" s="24" t="str">
        <x:v>Wallet provider count</x:v>
      </x:c>
      <x:c r="C159" s="24" t="str">
        <x:v>CBY Governor workshop statement</x:v>
      </x:c>
      <x:c r="D159" s="24" t="n">
        <x:v>2025</x:v>
      </x:c>
      <x:c r="E159" s="24" t="n">
        <x:v>8</x:v>
      </x:c>
      <x:c r="F159" s="24" t="str">
        <x:v>licensed e-wallets</x:v>
      </x:c>
      <x:c r="G159" s="24" t="str">
        <x:v>CBY digital-payment exhibition</x:v>
      </x:c>
      <x:c r="H159" s="24" t="n">
        <x:v>2026</x:v>
      </x:c>
      <x:c r="I159" s="24" t="str">
        <x:v>&gt;9</x:v>
      </x:c>
      <x:c r="J159" s="24" t="str">
        <x:v>e-wallet participants</x:v>
      </x:c>
      <x:c r="K159" s="24" t="str">
        <x:v>NOT_SAME_UNIT__LICENSING_VS_EVENT_PARTICIPATION</x:v>
      </x:c>
      <x:c r="L159" s="24" t="str">
        <x:v>Event participation cannot update the licensed-provider count.</x:v>
      </x:c>
      <x:c r="M159" s="24" t="str">
        <x:v>https://cby-ye.com/news/876</x:v>
      </x:c>
      <x:c r="N159" s="24" t="str">
        <x:v>https://cby-ye.com/news/915</x:v>
      </x:c>
    </x:row>
    <x:row r="162">
      <x:c r="A162" s="70" t="str">
        <x:v>Evidence fusion map</x:v>
      </x:c>
      <x:c r="B162" s="70"/>
      <x:c r="C162" s="70"/>
      <x:c r="D162" s="70"/>
      <x:c r="E162" s="70"/>
      <x:c r="F162" s="70"/>
      <x:c r="G162" s="70"/>
      <x:c r="H162" s="70"/>
      <x:c r="I162" s="70"/>
      <x:c r="J162" s="70"/>
      <x:c r="K162" s="70"/>
    </x:row>
    <x:row r="163">
      <x:c r="A163" s="73" t="str">
        <x:v>question_id</x:v>
      </x:c>
      <x:c r="B163" s="73" t="str">
        <x:v>public_question</x:v>
      </x:c>
      <x:c r="C163" s="73" t="str">
        <x:v>decision_value</x:v>
      </x:c>
      <x:c r="D163" s="73" t="str">
        <x:v>people_demand_evidence</x:v>
      </x:c>
      <x:c r="E163" s="73" t="str">
        <x:v>supply_provider_evidence</x:v>
      </x:c>
      <x:c r="F163" s="73" t="str">
        <x:v>activity_flow_evidence</x:v>
      </x:c>
      <x:c r="G163" s="73" t="str">
        <x:v>regulation_reform_evidence</x:v>
      </x:c>
      <x:c r="H163" s="73" t="str">
        <x:v>context_history_evidence</x:v>
      </x:c>
      <x:c r="I163" s="73" t="str">
        <x:v>synthesis_pattern</x:v>
      </x:c>
      <x:c r="J163" s="73" t="str">
        <x:v>primary_gap</x:v>
      </x:c>
      <x:c r="K163" s="73" t="str">
        <x:v>route</x:v>
      </x:c>
    </x:row>
    <x:row r="164">
      <x:c r="A164" s="24" t="str">
        <x:v>Q-001</x:v>
      </x:c>
      <x:c r="B164" s="24" t="str">
        <x:v>Who is included, who is excluded, and how certain are we?</x:v>
      </x:c>
      <x:c r="C164" s="24" t="str">
        <x:v>Separates people-based inclusion levels from administrative proxies and exposes coverage limits.</x:v>
      </x:c>
      <x:c r="D164" s="24" t="str">
        <x:v>DS-FINDEX-META; DS-FINDEX-VARS; DS-FINDEX-WAVES; DS-FINDEX-WB-OBS; DS-FINDEX-RULES</x:v>
      </x:c>
      <x:c r="E164" s="24" t="str">
        <x:v>DS-PROVIDER-MASTER; DS-PROVIDER-UNIVERSE</x:v>
      </x:c>
      <x:c r="F164" s="24" t="str">
        <x:v>DS-CBY-PAYMENTS</x:v>
      </x:c>
      <x:c r="G164" s="24" t="str">
        <x:v>DS-PRIMARY-AUTHORITY</x:v>
      </x:c>
      <x:c r="H164" s="24" t="str">
        <x:v>DS-OECD-NARRATIVE</x:v>
      </x:c>
      <x:c r="I164" s="24" t="str">
        <x:v>PEOPLE_MEASURES + ACCESS_SYSTEM_CONTEXT + EVIDENCE_PASSPORT</x:v>
      </x:c>
      <x:c r="J164" s="24" t="str">
        <x:v>No current representative 2026 population inclusion wave; Findex geography limits remain material.</x:v>
      </x:c>
      <x:c r="K164" s="24" t="str">
        <x:v>/people + /evidence</x:v>
      </x:c>
    </x:row>
    <x:row r="165">
      <x:c r="A165" s="24" t="str">
        <x:v>Q-002</x:v>
      </x:c>
      <x:c r="B165" s="24" t="str">
        <x:v>Is digital finance expanding inclusion, or only infrastructure and transaction activity?</x:v>
      </x:c>
      <x:c r="C165" s="24" t="str">
        <x:v>Prevents POS/accounts/wallet activity from being mislabeled as unique-person inclusion while still showing genuine system change.</x:v>
      </x:c>
      <x:c r="D165" s="24" t="str">
        <x:v>DS-FINDEX-WB-OBS</x:v>
      </x:c>
      <x:c r="E165" s="24" t="str">
        <x:v>DS-PROVIDER-UNIVERSE; DS-WALLET-COUNT-RECON</x:v>
      </x:c>
      <x:c r="F165" s="24" t="str">
        <x:v>DS-CBY-PAYMENTS; DS-DERIVED-ANALYTICS; DS-PAYMENT-CURRENTNESS</x:v>
      </x:c>
      <x:c r="G165" s="24" t="str">
        <x:v>DS-REFORM-EVENTS; DS-EMONEY-REG; DS-PRIMARY-AUTHORITY</x:v>
      </x:c>
      <x:c r="H165" s="24" t="str">
        <x:v>DS-CBY-MONETARY</x:v>
      </x:c>
      <x:c r="I165" s="24" t="str">
        <x:v>PARALLEL_LAYERS__INFRASTRUCTURE → ACTIVITY → PEOPLE_OUTCOME_GAP</x:v>
      </x:c>
      <x:c r="J165" s="24" t="str">
        <x:v>Unique active-user/unique-person evidence and current wallet-provider universe.</x:v>
      </x:c>
      <x:c r="K165" s="24" t="str">
        <x:v>/payments + /people + /methodology</x:v>
      </x:c>
    </x:row>
    <x:row r="166">
      <x:c r="A166" s="24" t="str">
        <x:v>Q-003</x:v>
      </x:c>
      <x:c r="B166" s="24" t="str">
        <x:v>Which financial providers actually exist, under which authority, and at what date?</x:v>
      </x:c>
      <x:c r="C166" s="24" t="str">
        <x:v>Turns a static directory into a time-aware regulated-provider evidence product.</x:v>
      </x:c>
      <x:c r="D166" s="24"/>
      <x:c r="E166" s="24" t="str">
        <x:v>DS-PROVIDER-MASTER; DS-PROVIDER-UNIVERSE; DS-PROVIDER-OBSERVABILITY; DS-PROVIDER-STATUS-EVENTS; DS-PROVIDER-NEGATIVE-AUTHORITY; DS-PROVIDER-BASELINE-2025; DS-WALLET-COUNT-RECON; DS-MFI-PROVIDER-PANEL; DS-MFI-EVIDENCE</x:v>
      </x:c>
      <x:c r="F166" s="24" t="str">
        <x:v>DS-CBY-PAYMENTS</x:v>
      </x:c>
      <x:c r="G166" s="24" t="str">
        <x:v>DS-PRIMARY-AUTHORITY; DS-EMONEY-REG</x:v>
      </x:c>
      <x:c r="H166" s="24" t="str">
        <x:v>DS-WB2004-CHRON</x:v>
      </x:c>
      <x:c r="I166" s="24" t="str">
        <x:v>PROVIDER_OBSERVABILITY → BITEMPORAL_STATE_MACHINE__AUTHORITY + UNIVERSE + STATUS_EVENTS + OPERATION_GAP</x:v>
      </x:c>
      <x:c r="J166" s="24" t="str">
        <x:v>2026 exchange/remittance row extraction and current named positive wallet/PSP/system-operator universe.</x:v>
      </x:c>
      <x:c r="K166" s="24" t="str">
        <x:v>/providers + /finance</x:v>
      </x:c>
    </x:row>
    <x:row r="167">
      <x:c r="A167" s="24" t="str">
        <x:v>Q-004</x:v>
      </x:c>
      <x:c r="B167" s="24" t="str">
        <x:v>How important are remittances, what does it cost to send them, and what remains invisible?</x:v>
      </x:c>
      <x:c r="C167" s="24" t="str">
        <x:v>Combines macro flow and corridor-price evidence while refusing to invent hawala volume.</x:v>
      </x:c>
      <x:c r="D167" s="24"/>
      <x:c r="E167" s="24" t="str">
        <x:v>DS-PROVIDER-MASTER; DS-PROVIDER-UNIVERSE</x:v>
      </x:c>
      <x:c r="F167" s="24" t="str">
        <x:v>DS-REMITTANCES</x:v>
      </x:c>
      <x:c r="G167" s="24" t="str">
        <x:v>DS-PRIMARY-AUTHORITY</x:v>
      </x:c>
      <x:c r="H167" s="24" t="str">
        <x:v>DS-CBY-MONETARY</x:v>
      </x:c>
      <x:c r="I167" s="24" t="str">
        <x:v>OBSERVED_MACRO_SERIES + CORRIDOR_PRICE_QUOTES + INFORMAL_EVIDENCE_GAP</x:v>
      </x:c>
      <x:c r="J167" s="24" t="str">
        <x:v>No defensible national hawala/informal-transfer volume; current remittance-provider roster not yet extracted.</x:v>
      </x:c>
      <x:c r="K167" s="24" t="str">
        <x:v>/payments/remittances</x:v>
      </x:c>
    </x:row>
    <x:row r="168">
      <x:c r="A168" s="24" t="str">
        <x:v>Q-005</x:v>
      </x:c>
      <x:c r="B168" s="24" t="str">
        <x:v>If a financial consumer is not treated fairly, what is the official path to redress — and do we know if it works?</x:v>
      </x:c>
      <x:c r="C168" s="24" t="str">
        <x:v>Moves FCP from a binary 'rule exists' label to an explicit architecture/performance distinction.</x:v>
      </x:c>
      <x:c r="D168" s="24"/>
      <x:c r="E168" s="24" t="str">
        <x:v>DS-FCP-ARCH</x:v>
      </x:c>
      <x:c r="F168" s="24"/>
      <x:c r="G168" s="24" t="str">
        <x:v>DS-PRIMARY-AUTHORITY; DS-REFORM-EVENTS</x:v>
      </x:c>
      <x:c r="H168" s="24" t="str">
        <x:v>DS-OECD-NARRATIVE; DS-OECD-POLICY</x:v>
      </x:c>
      <x:c r="I168" s="24" t="str">
        <x:v>RULE → PROVIDER_OBLIGATION → 10_DAY_STAGE → ESCALATION → 14_DAY_WINDOW → PERFORMANCE_GAP</x:v>
      </x:c>
      <x:c r="J168" s="24" t="str">
        <x:v>Full controlled legal text/current applicability plus administrative complaint, enforcement and outcome data.</x:v>
      </x:c>
      <x:c r="K168" s="24" t="str">
        <x:v>/reforms/regulation + /evidence</x:v>
      </x:c>
    </x:row>
    <x:row r="169">
      <x:c r="A169" s="24" t="str">
        <x:v>Q-006</x:v>
      </x:c>
      <x:c r="B169" s="24" t="str">
        <x:v>Is financial-literacy activity becoming measurable financial capability?</x:v>
      </x:c>
      <x:c r="C169" s="24" t="str">
        <x:v>Separates programme activity from population capability and evaluated outcomes.</x:v>
      </x:c>
      <x:c r="D169" s="24" t="str">
        <x:v>DS-FINDEX-WB-OBS</x:v>
      </x:c>
      <x:c r="E169" s="24"/>
      <x:c r="F169" s="24"/>
      <x:c r="G169" s="24" t="str">
        <x:v>DS-PRIMARY-AUTHORITY</x:v>
      </x:c>
      <x:c r="H169" s="24" t="str">
        <x:v>DS-OECD-NARRATIVE; DS-LIT-CBY-FI</x:v>
      </x:c>
      <x:c r="I169" s="24" t="str">
        <x:v>ACTIVITY → OUTPUT → POPULATION_CAPABILITY → EVALUATED_OUTCOME</x:v>
      </x:c>
      <x:c r="J169" s="24" t="str">
        <x:v>Programme baseline/endline, participant denominator and evaluated learning/behavioural outcomes.</x:v>
      </x:c>
      <x:c r="K169" s="24" t="str">
        <x:v>/people/capability + /reforms</x:v>
      </x:c>
    </x:row>
    <x:row r="170">
      <x:c r="A170" s="24" t="str">
        <x:v>Q-007</x:v>
      </x:c>
      <x:c r="B170" s="24" t="str">
        <x:v>For firms, is finance the binding constraint — and what competes with it?</x:v>
      </x:c>
      <x:c r="C170" s="24" t="str">
        <x:v>Places finance inside electricity, fuel, transport, tax, political and operating constraints.</x:v>
      </x:c>
      <x:c r="D170" s="24"/>
      <x:c r="E170" s="24"/>
      <x:c r="F170" s="24" t="str">
        <x:v>DS-FIRM-FINANCE; DS-DERIVED-ANALYTICS</x:v>
      </x:c>
      <x:c r="G170" s="24"/>
      <x:c r="H170" s="24" t="str">
        <x:v>DS-CBY-MONETARY</x:v>
      </x:c>
      <x:c r="I170" s="24" t="str">
        <x:v>RANKED_CONSTRAINTS + CONDITIONAL_FINANCE_PATH + DENOMINATOR_DISCLOSURE</x:v>
      </x:c>
      <x:c r="J170" s="24" t="str">
        <x:v>No national extrapolation beyond the seven-governorate custom survey.</x:v>
      </x:c>
      <x:c r="K170" s="24" t="str">
        <x:v>/firms</x:v>
      </x:c>
    </x:row>
    <x:row r="171">
      <x:c r="A171" s="24" t="str">
        <x:v>Q-008</x:v>
      </x:c>
      <x:c r="B171" s="24" t="str">
        <x:v>How is Yemen's payment architecture changing from rule to operational activity?</x:v>
      </x:c>
      <x:c r="C171" s="24" t="str">
        <x:v>Tracks state transitions rather than equating announcements with go-live.</x:v>
      </x:c>
      <x:c r="D171" s="24"/>
      <x:c r="E171" s="24" t="str">
        <x:v>DS-PROVIDER-UNIVERSE</x:v>
      </x:c>
      <x:c r="F171" s="24" t="str">
        <x:v>DS-CBY-PAYMENTS; DS-PAYMENT-CURRENTNESS</x:v>
      </x:c>
      <x:c r="G171" s="24" t="str">
        <x:v>DS-REFORM-EVENTS; DS-EMONEY-REG; DS-PRIMARY-AUTHORITY; DS-PAYMENT-CURRENTNESS</x:v>
      </x:c>
      <x:c r="H171" s="24"/>
      <x:c r="I171" s="24" t="str">
        <x:v>REGULATION → PROJECT → DECISION → INTEGRATION → INSTITUTION → ACTIVITY → USAGE/OUTCOME_GAP</x:v>
      </x:c>
      <x:c r="J171" s="24" t="str">
        <x:v>Independent system go-live/participant/coverage evidence for FPS/RTGS/QR/interconnection and unique-user outcomes; institutional establishment is now better evidenced.</x:v>
      </x:c>
      <x:c r="K171" s="24" t="str">
        <x:v>/payments + /reforms/projects</x:v>
      </x:c>
    </x:row>
    <x:row r="172">
      <x:c r="A172" s="24" t="str">
        <x:v>Q-009</x:v>
      </x:c>
      <x:c r="B172" s="24" t="str">
        <x:v>Where do humanitarian and development capital flows touch the financial system without becoming financial-inclusion outcomes?</x:v>
      </x:c>
      <x:c r="C172" s="24" t="str">
        <x:v>Makes capital pathways visible while preserving funding-class semantics.</x:v>
      </x:c>
      <x:c r="D172" s="24"/>
      <x:c r="E172" s="24"/>
      <x:c r="F172" s="24" t="str">
        <x:v>DS-OCHA-FTS-2026; DS-OCHA-LINKS</x:v>
      </x:c>
      <x:c r="G172" s="24" t="str">
        <x:v>DS-REFORM-EVENTS</x:v>
      </x:c>
      <x:c r="H172" s="24"/>
      <x:c r="I172" s="24" t="str">
        <x:v>RELATIONSHIP_GRAPH__FLOW_CLASS + PROGRAMME_STATE + NO_OUTCOME_CONVERSION</x:v>
      </x:c>
      <x:c r="J172" s="24" t="str">
        <x:v>Programme-owner evidence linking finance to actual financial-service delivery, reach and post-transfer use.</x:v>
      </x:c>
      <x:c r="K172" s="24" t="str">
        <x:v>/reforms/projects + /evidence</x:v>
      </x:c>
    </x:row>
    <x:row r="173">
      <x:c r="A173" s="24" t="str">
        <x:v>Q-010</x:v>
      </x:c>
      <x:c r="B173" s="24" t="str">
        <x:v>What does the microfinance record tell us — and where does the historical series break?</x:v>
      </x:c>
      <x:c r="C173" s="24" t="str">
        <x:v>Combines historical programme narrative with bounded provider-period evidence without pretending continuity.</x:v>
      </x:c>
      <x:c r="D173" s="24"/>
      <x:c r="E173" s="24" t="str">
        <x:v>DS-MFI-EVIDENCE; DS-MFI-PROVIDER-PANEL; DS-MFI-YEAR-COVERAGE; DS-MFI-TEMPORAL-SPINE; DS-MFI-METRIC-COVERAGE</x:v>
      </x:c>
      <x:c r="F173" s="24"/>
      <x:c r="G173" s="24"/>
      <x:c r="H173" s="24" t="str">
        <x:v>DS-WB2004-NARR; DS-WB2004-CASES; DS-WB2004-CHRON; DS-MF-ORIGIN-CHRONOLOGY</x:v>
      </x:c>
      <x:c r="I173" s="24" t="str">
        <x:v>LAYERED_ORIGIN_TIMELINE + SEGMENTED_PRIMARY_TEMPORAL_SPINE + PROVIDER_SMALL_MULTIPLES + METRIC_ELIGIBILITY</x:v>
      </x:c>
      <x:c r="J173" s="24" t="str">
        <x:v>2021 primary source remains missing; 2022/2024 no comparable primary point; 2023 exact archive object inaccessible; rights/passports remain S05.</x:v>
      </x:c>
      <x:c r="K173" s="24" t="str">
        <x:v>/finance/microfinance</x:v>
      </x:c>
    </x:row>
    <x:row r="174">
      <x:c r="A174" s="24" t="str">
        <x:v>Q-011</x:v>
      </x:c>
      <x:c r="B174" s="24" t="str">
        <x:v>When trusted sources disagree, are they actually measuring the same thing?</x:v>
      </x:c>
      <x:c r="C174" s="24" t="str">
        <x:v>Turns semantic mismatch into a user-facing analytical feature.</x:v>
      </x:c>
      <x:c r="D174" s="24" t="str">
        <x:v>DS-FINDEX-RULES</x:v>
      </x:c>
      <x:c r="E174" s="24"/>
      <x:c r="F174" s="24" t="str">
        <x:v>DS-CBY-PAYMENTS</x:v>
      </x:c>
      <x:c r="G174" s="24"/>
      <x:c r="H174" s="24"/>
      <x:c r="I174" s="24" t="str">
        <x:v>SIDE_BY_SIDE_DEFINITION_COMPARE + COMPATIBILITY_STATE</x:v>
      </x:c>
      <x:c r="J174" s="24" t="str">
        <x:v>Some incompatible metrics may remain permanently non-reconcilable; that is an acceptable finding.</x:v>
      </x:c>
      <x:c r="K174" s="24" t="str">
        <x:v>/evidence/compare</x:v>
      </x:c>
    </x:row>
    <x:row r="175">
      <x:c r="A175" s="24" t="str">
        <x:v>Q-012</x:v>
      </x:c>
      <x:c r="B175" s="24" t="str">
        <x:v>Where is the evidence fresh, stale, missing or only partially verified?</x:v>
      </x:c>
      <x:c r="C175" s="24" t="str">
        <x:v>Prevents the newest administrative observation from being mistaken for the newest population truth.</x:v>
      </x:c>
      <x:c r="D175" s="24" t="str">
        <x:v>DS-FINDEX-WAVES</x:v>
      </x:c>
      <x:c r="E175" s="24" t="str">
        <x:v>DS-PROVIDER-UNIVERSE</x:v>
      </x:c>
      <x:c r="F175" s="24" t="str">
        <x:v>DS-CBY-PAYMENTS</x:v>
      </x:c>
      <x:c r="G175" s="24" t="str">
        <x:v>DS-PRIMARY-AUTHORITY</x:v>
      </x:c>
      <x:c r="H175" s="24" t="str">
        <x:v>DS-WB2004-CHRON; DS-OECD-NARRATIVE</x:v>
      </x:c>
      <x:c r="I175" s="24" t="str">
        <x:v>EVIDENCE_FRESHNESS_SKYLINE + GAP_MATRIX + DOMAIN_VINTAGE_BADGES</x:v>
      </x:c>
      <x:c r="J175" s="24" t="str">
        <x:v>Current demand-side/subgroup data, provider-universe closure and several outcome layers remain old/open.</x:v>
      </x:c>
      <x:c r="K175" s="24" t="str">
        <x:v>/evidence + /methodology</x:v>
      </x:c>
    </x:row>
    <x:row r="176">
      <x:c r="A176" s="24" t="str">
        <x:v>Q-013</x:v>
      </x:c>
      <x:c r="B176" s="24" t="str">
        <x:v>How does YFSI turn evidence into a decision surface without losing provenance?</x:v>
      </x:c>
      <x:c r="C176" s="24" t="str">
        <x:v>Makes product architecture itself auditable and prevents design from overruling evidence.</x:v>
      </x:c>
      <x:c r="D176" s="24"/>
      <x:c r="E176" s="24"/>
      <x:c r="F176" s="24" t="str">
        <x:v>DS-DERIVED-ANALYTICS</x:v>
      </x:c>
      <x:c r="G176" s="24"/>
      <x:c r="H176" s="24" t="str">
        <x:v>DS-STRATEGIC-INSIGHTS</x:v>
      </x:c>
      <x:c r="I176" s="24" t="str">
        <x:v>SOURCE → CLAIM_BOUNDARY → DERIVATION → VISUAL_CONTRACT → PAGE_BUNDLE → PUBLICATION_DECISION</x:v>
      </x:c>
      <x:c r="J176" s="24" t="str">
        <x:v>No frontend surface should bypass the governed release package.</x:v>
      </x:c>
      <x:c r="K176" s="24" t="str">
        <x:v>/methodology + internal product governance</x:v>
      </x:c>
    </x:row>
    <x:row r="177">
      <x:c r="A177" s="24" t="str">
        <x:v>Q-014</x:v>
      </x:c>
      <x:c r="B177" s="24" t="str">
        <x:v>What mechanisms may sit behind an observed pattern — and what does the evidence still not prove?</x:v>
      </x:c>
      <x:c r="C177" s="24" t="str">
        <x:v>Adds qualitative explanation without fabricating prevalence or causality and makes interpretation itself traceable.</x:v>
      </x:c>
      <x:c r="D177" s="24" t="str">
        <x:v>DS-FINDEX-WB-OBS</x:v>
      </x:c>
      <x:c r="E177" s="24" t="str">
        <x:v>DS-PROVIDER-OBSERVABILITY</x:v>
      </x:c>
      <x:c r="F177" s="24" t="str">
        <x:v>DS-FIRM-FINANCE; DS-CBY-PAYMENTS; DS-REMITTANCES</x:v>
      </x:c>
      <x:c r="G177" s="24" t="str">
        <x:v>DS-FCP-ARCH; DS-EMONEY-REG; DS-REFORM-EVENTS</x:v>
      </x:c>
      <x:c r="H177" s="24" t="str">
        <x:v>DS-QUAL-EVIDENCE; DS-MECHANISM-TAXONOMY</x:v>
      </x:c>
      <x:c r="I177" s="24" t="str">
        <x:v>MEASURED_OBJECT ↔ GOVERNED_MECHANISM_LINKS ↔ SOURCE_METHOD ↔ ALLOWED/PROHIBITED_INFERENCE</x:v>
      </x:c>
      <x:c r="J177" s="24" t="str">
        <x:v>Qualitative coverage is not yet comprehensive across all mechanisms/populations/geographies; links must remain source-bounded.</x:v>
      </x:c>
      <x:c r="K177" s="24" t="str">
        <x:v>/people + /firms + /evidence</x:v>
      </x:c>
    </x:row>
    <x:row r="178">
      <x:c r="A178" s="24" t="str">
        <x:v>Q-015</x:v>
      </x:c>
      <x:c r="B178" s="24" t="str">
        <x:v>Can this evidence object survive publication without losing meaning, provenance, rights controls or accessibility?</x:v>
      </x:c>
      <x:c r="C178" s="24" t="str">
        <x:v>Turns release readiness into an auditable evidence question rather than a final editorial checklist.</x:v>
      </x:c>
      <x:c r="D178" s="24" t="str">
        <x:v>DS-RC0-FIXTURE</x:v>
      </x:c>
      <x:c r="E178" s="24" t="str">
        <x:v>DS-RC0-PASSPORTS</x:v>
      </x:c>
      <x:c r="F178" s="24" t="str">
        <x:v>DS-RC0-RIGHTS</x:v>
      </x:c>
      <x:c r="G178" s="24" t="str">
        <x:v>DS-RC0-VISUAL-BINDINGS; DS-PUBLICATION-ELIGIBILITY</x:v>
      </x:c>
      <x:c r="H178" s="24" t="str">
        <x:v>DS-S05-RECON-GATE</x:v>
      </x:c>
      <x:c r="I178" s="24" t="str">
        <x:v>OBJECT → PASSPORT → RIGHTS/INTENDED_USE → VISUAL/FALLBACK → ACCEPTANCE_TEST → RELEASE_STATE</x:v>
      </x:c>
      <x:c r="J178" s="24" t="str">
        <x:v>Global site rights backfill, non-fixture D1 bindings and later bilingual design/implementation gates remain open.</x:v>
      </x:c>
      <x:c r="K178" s="24" t="str">
        <x:v>/methodology + internal release governance</x:v>
      </x:c>
    </x:row>
    <x:row r="179">
      <x:c r="A179" s="24" t="str">
        <x:v>Q-016</x:v>
      </x:c>
      <x:c r="B179" s="24" t="str">
        <x:v>What can demand-side evidence tell us beyond account ownership — and which parts are still computation-gated?</x:v>
      </x:c>
      <x:c r="C179" s="24" t="str">
        <x:v>Separates currently publishable weighted anchors from a much richer but correctly withheld microdata panel, while making subgroup and denominator constraints explicit.</x:v>
      </x:c>
      <x:c r="D179" s="24" t="str">
        <x:v>DS-FINDEX-WB-OBS; DS-FINDEX-PANEL-CATALOG; DS-FINDEX-SUBGROUP-MATRIX; DS-FINDEX-DENOMINATOR-STRESS</x:v>
      </x:c>
      <x:c r="E179" s="24"/>
      <x:c r="F179" s="24"/>
      <x:c r="G179" s="24"/>
      <x:c r="H179" s="24"/>
      <x:c r="I179" s="24" t="str">
        <x:v>PUBLISHED_ANCHOR → PANEL_CONTRACT → DENOMINATOR/SUBGROUP_GATE → WEIGHTED_MICRODATA_REPLICATION → PUBLIC_OBJECT</x:v>
      </x:c>
      <x:c r="J179" s="24" t="str">
        <x:v>Respondent microdata require authorized login and are not yet in controlled YFSI custody; custom weighted estimates remain withheld.</x:v>
      </x:c>
      <x:c r="K179" s="24" t="str">
        <x:v>/people + /methodology + /evidence</x:v>
      </x:c>
    </x:row>
    <x:row r="180">
      <x:c r="A180" s="24" t="str">
        <x:v>Q-017</x:v>
      </x:c>
      <x:c r="B180" s="24" t="str">
        <x:v>What should the public product show first — and what should remain deep-dive, conditional or held?</x:v>
      </x:c>
      <x:c r="C180" s="24" t="str">
        <x:v>Turns product scope into a governed analytical decision so backend richness does not become interface clutter.</x:v>
      </x:c>
      <x:c r="D180" s="24"/>
      <x:c r="E180" s="24"/>
      <x:c r="F180" s="24"/>
      <x:c r="G180" s="24"/>
      <x:c r="H180" s="24" t="str">
        <x:v>DS-PRODUCT-IDENTITY</x:v>
      </x:c>
      <x:c r="I180" s="24" t="str">
        <x:v>CANONICAL_EVIDENCE → RELEASE_ELIGIBILITY → ROUTE/QUESTION → EDITORIAL_TIER → BILINGUAL/INTERACTION_CONTRACT → PUBLIC_SURFACE</x:v>
      </x:c>
      <x:c r="J180" s="24" t="str">
        <x:v>D2 usability testing and B0 compiler/static-package fixture remain to validate the frozen contract in a real bilingual build.</x:v>
      </x:c>
      <x:c r="K180" s="24" t="str">
        <x:v>/methodology + internal product governance</x:v>
      </x:c>
    </x:row>
    <x:row r="181">
      <x:c r="A181" s="24" t="str">
        <x:v>Q-018</x:v>
      </x:c>
      <x:c r="B181" s="24" t="str">
        <x:v>Can the frozen evidence/product contract survive compilation and a real bilingual screen without losing semantics?</x:v>
      </x:c>
      <x:c r="C181" s="24" t="str">
        <x:v>Connects canonical evidence governance to implementation proof: immutable package, object compiler chain, machine tests and screen-level acceptance.</x:v>
      </x:c>
      <x:c r="D181" s="24"/>
      <x:c r="E181" s="24"/>
      <x:c r="F181" s="24" t="str">
        <x:v>DS-B0-PACKAGE-MANIFEST; DS-B0-OBJECT-COMPILER-MAP</x:v>
      </x:c>
      <x:c r="G181" s="24"/>
      <x:c r="H181" s="24" t="str">
        <x:v>DS-D2-SCREEN-CONTRACT</x:v>
      </x:c>
      <x:c r="I181" s="24" t="str">
        <x:v>CANONICAL_OBJECT → IMMUTABLE_PACKAGE → PASSPORT/RIGHTS/VISUAL_BINDING → SCHEMA_TEST → D2_SCREEN_ACCEPTANCE → BUILD_PASS/FAIL</x:v>
      </x:c>
      <x:c r="J181" s="24" t="str">
        <x:v>Actual D2 high-fidelity prototype has not yet passed the 12-screen contract; global public-release gates remain independent.</x:v>
      </x:c>
      <x:c r="K181" s="24" t="str">
        <x:v>/methodology + internal compiler/design governance</x:v>
      </x:c>
    </x:row>
    <x:row r="182">
      <x:c r="A182" s="24" t="str">
        <x:v>Q-019</x:v>
      </x:c>
      <x:c r="B182" s="24" t="str">
        <x:v>Does the implementation preserve the frozen evidence contract in both languages and constrained device modes?</x:v>
      </x:c>
      <x:c r="C182" s="24" t="str">
        <x:v>Turns the actual prototype into a governed implementation object rather than an untracked design artifact.</x:v>
      </x:c>
      <x:c r="D182" s="24"/>
      <x:c r="E182" s="24"/>
      <x:c r="F182" s="24" t="str">
        <x:v>DS-D2-PROTOTYPE-MANIFEST</x:v>
      </x:c>
      <x:c r="G182" s="24"/>
      <x:c r="H182" s="24"/>
      <x:c r="I182" s="24" t="str">
        <x:v>STATIC_FIXTURE_PACKAGE → PROTOTYPE_CODE → BILINGUAL/ROUTE/PASSPORT BINDING → STATIC_TESTS → RUNTIME_VISUAL/A11Y_GATE</x:v>
      </x:c>
      <x:c r="J182" s="24" t="str">
        <x:v>Runtime browser visual/usability/accessibility QA remains open.</x:v>
      </x:c>
      <x:c r="K182" s="24" t="str">
        <x:v>/methodology + internal design/build governance</x:v>
      </x:c>
    </x:row>
    <x:row r="183">
      <x:c r="A183" s="24" t="str">
        <x:v>Q-020</x:v>
      </x:c>
      <x:c r="B183" s="24" t="str">
        <x:v>What weighted people-side evidence can YFSI publish now without respondent microdata — and how old is it by financial function?</x:v>
      </x:c>
      <x:c r="C183" s="24" t="str">
        <x:v>Separates historical weighted-public evidence from latest-wave computation gates and turns evidence vintage into part of the analysis.</x:v>
      </x:c>
      <x:c r="D183" s="24" t="str">
        <x:v>DS-FINDEX-PUBLIC-HISTORY; DS-FINDEX-WB-OBS</x:v>
      </x:c>
      <x:c r="E183" s="24"/>
      <x:c r="F183" s="24" t="str">
        <x:v>DS-FINDEX-PUBLIC-HISTORY</x:v>
      </x:c>
      <x:c r="G183" s="24"/>
      <x:c r="H183" s="24" t="str">
        <x:v>DS-DEMAND-VINTAGE-LENS</x:v>
      </x:c>
      <x:c r="I183" s="24" t="str">
        <x:v>PUBLISHED_WEIGHTED_HISTORY → FUNCTION_EVIDENCE_CLOCK → LATEST_WAVE_CONTRACT/HOLD → PUBLIC_SURFACE</x:v>
      </x:c>
      <x:c r="J183" s="24" t="str">
        <x:v>Current weighted values for resilience/barriers/latest saving/borrowing/remittance/digital-use remain unavailable; historical values cannot be relabeled current.</x:v>
      </x:c>
      <x:c r="K183" s="24" t="str">
        <x:v>/people + /evidence</x:v>
      </x:c>
    </x:row>
    <x:row r="184">
      <x:c r="A184" s="24" t="str">
        <x:v>Q-021</x:v>
      </x:c>
      <x:c r="B184" s="24" t="str">
        <x:v>What happens when canonical evidence improves after an immutable B0 package and D2 prototype candidate already exist?</x:v>
      </x:c>
      <x:c r="C184" s="24" t="str">
        <x:v>Prevents content enrichment from either invalidating real package-integrity proofs or silently creating a stale-content release.</x:v>
      </x:c>
      <x:c r="D184" s="24"/>
      <x:c r="E184" s="24"/>
      <x:c r="F184" s="24" t="str">
        <x:v>DS-POST-B0-CONTENT-DELTA</x:v>
      </x:c>
      <x:c r="G184" s="24"/>
      <x:c r="H184" s="24"/>
      <x:c r="I184" s="24" t="str">
        <x:v>CANONICAL_EVIDENCE_DELTA → PACKAGE_SCOPE_CHECK → PROTOTYPE_SCOPE_CHECK → SELECT/RECOMPILE BEFORE B1</x:v>
      </x:c>
      <x:c r="J184" s="24" t="str">
        <x:v>The current prototype/package remains a valid implementation-test artifact but does not contain v0.17 historical demand objects.</x:v>
      </x:c>
      <x:c r="K184" s="24" t="str">
        <x:v>/methodology + internal build governance</x:v>
      </x:c>
    </x:row>
    <x:row r="185">
      <x:c r="A185" s="24" t="str">
        <x:v>Q-022</x:v>
      </x:c>
      <x:c r="B185" s="24" t="str">
        <x:v>How far is a financial-inclusion object from a measured outcome for people or firms?</x:v>
      </x:c>
      <x:c r="C185" s="24" t="str">
        <x:v>Prevents access, activity, regulation and programme delivery from being interpreted as welfare/resilience/economic outcomes.</x:v>
      </x:c>
      <x:c r="D185" s="24" t="str">
        <x:v>DS-FINDEX-WB-OBS; DS-FINDEX-PUBLIC-HISTORY</x:v>
      </x:c>
      <x:c r="E185" s="24" t="str">
        <x:v>DS-PROVIDER-OBSERVABILITY</x:v>
      </x:c>
      <x:c r="F185" s="24" t="str">
        <x:v>DS-CBY-PAYMENTS; DS-FIRM-FINANCE</x:v>
      </x:c>
      <x:c r="G185" s="24" t="str">
        <x:v>DS-REFORM-EVENTS; DS-FCP-ARCH</x:v>
      </x:c>
      <x:c r="H185" s="24" t="str">
        <x:v>DS-QUAL-EVIDENCE</x:v>
      </x:c>
      <x:c r="I185" s="24" t="str">
        <x:v>EVIDENCE_OBJECT → ACCESS/ACTIVITY/RULE/IMPLEMENTATION CLASS → OUTCOME_DISTANCE → ALLOWED CLAIM</x:v>
      </x:c>
      <x:c r="J185" s="24" t="str">
        <x:v>Direct outcome/evaluation evidence is sparse for several reform/activity pathways.</x:v>
      </x:c>
      <x:c r="K185" s="24" t="str">
        <x:v>/methodology + relevant domain</x:v>
      </x:c>
    </x:row>
    <x:row r="186">
      <x:c r="A186" s="24" t="str">
        <x:v>Q-023</x:v>
      </x:c>
      <x:c r="B186" s="24" t="str">
        <x:v>How can different stakeholders use the same evidence without YFSI pretending to perform their institutional role?</x:v>
      </x:c>
      <x:c r="C186" s="24" t="str">
        <x:v>Makes stakeholder utility and role boundaries explicit so this resource can serve regulators, providers, DFIs, researchers and the public without becoming an authority/rating system.</x:v>
      </x:c>
      <x:c r="D186" s="24" t="str">
        <x:v>DS-FINDEX-WB-OBS</x:v>
      </x:c>
      <x:c r="E186" s="24" t="str">
        <x:v>DS-PROVIDER-OBSERVABILITY</x:v>
      </x:c>
      <x:c r="F186" s="24" t="str">
        <x:v>DS-CBY-PAYMENTS; DS-FIRM-FINANCE</x:v>
      </x:c>
      <x:c r="G186" s="24" t="str">
        <x:v>DS-PRIMARY-AUTHORITY</x:v>
      </x:c>
      <x:c r="H186" s="24" t="str">
        <x:v>DS-STRATEGIC-INSIGHTS</x:v>
      </x:c>
      <x:c r="I186" s="24" t="str">
        <x:v>USER QUESTION → GOVERNED EVIDENCE → SAFE DECISION USE → EXPLICIT NON_ROLE</x:v>
      </x:c>
      <x:c r="J186" s="24" t="str">
        <x:v>Public identity must remain clear that CauseWay integrates and analyses evidence but does not issue regulatory/compliance findings.</x:v>
      </x:c>
      <x:c r="K186" s="24" t="str">
        <x:v>/ + /methodology</x:v>
      </x:c>
    </x:row>
    <x:row r="187">
      <x:c r="A187" s="24" t="str">
        <x:v>Q-024</x:v>
      </x:c>
      <x:c r="B187" s="24" t="str">
        <x:v>Which advanced analytical experiences genuinely add decision value and which should remain held?</x:v>
      </x:c>
      <x:c r="C187" s="24" t="str">
        <x:v>Stops innovation theatre by requiring novelty to pass evidence, denominator, causal, rights, usability and stakeholder tests.</x:v>
      </x:c>
      <x:c r="D187" s="24" t="str">
        <x:v>DS-FINDEX-PUBLIC-HISTORY</x:v>
      </x:c>
      <x:c r="E187" s="24" t="str">
        <x:v>DS-PROVIDER-OBSERVABILITY</x:v>
      </x:c>
      <x:c r="F187" s="24" t="str">
        <x:v>DS-CBY-PAYMENTS; DS-FIRM-FINANCE; DS-REMITTANCES</x:v>
      </x:c>
      <x:c r="G187" s="24" t="str">
        <x:v>DS-REFORM-EVENTS</x:v>
      </x:c>
      <x:c r="H187" s="24" t="str">
        <x:v>DS-MFI-TEMPORAL-SPINE</x:v>
      </x:c>
      <x:c r="I187" s="24" t="str">
        <x:v>ANALYTICAL IDEA → METHOD MINIMUM → CURRENT EVIDENCE STATE → VISUAL GRAMMAR → SELECT/HOLD</x:v>
      </x:c>
      <x:c r="J187" s="24" t="str">
        <x:v>Several attractive ideas remain held because unique-user, causal, geographic or flow-width conditions are not satisfied.</x:v>
      </x:c>
      <x:c r="K187" s="24" t="str">
        <x:v>/methodology + internal product governance</x:v>
      </x:c>
    </x:row>
    <x:row r="188">
      <x:c r="A188" s="24" t="str">
        <x:v>Q-025</x:v>
      </x:c>
      <x:c r="B188" s="24" t="str">
        <x:v>Which post-B0 canonical additions enter the next immutable package before B1?</x:v>
      </x:c>
      <x:c r="C188" s="24" t="str">
        <x:v>Creates an explicit evidence/content selection gate after D2 rather than silently shipping every new canonical object.</x:v>
      </x:c>
      <x:c r="D188" s="24" t="str">
        <x:v>DS-FINDEX-PUBLIC-HISTORY</x:v>
      </x:c>
      <x:c r="E188" s="24"/>
      <x:c r="F188" s="24"/>
      <x:c r="G188" s="24"/>
      <x:c r="H188" s="24" t="str">
        <x:v>DS-DEMAND-VINTAGE-LENS</x:v>
      </x:c>
      <x:c r="I188" s="24" t="str">
        <x:v>CANONICAL DELTA → PUBLICATION/RIGHTS → EDITORIAL TIER → PACKAGE SELECTION → NEW IMMUTABLE PACKAGE → B1</x:v>
      </x:c>
      <x:c r="J188" s="24" t="str">
        <x:v>Selected objects still require actual package compilation and implementation acceptance.</x:v>
      </x:c>
      <x:c r="K188" s="24" t="str">
        <x:v>internal build governance</x:v>
      </x:c>
    </x:row>
    <x:row r="189">
      <x:c r="A189" s="24" t="str">
        <x:v>Q-026</x:v>
      </x:c>
      <x:c r="B189" s="24" t="str">
        <x:v>How does YFSI compare with leading financial-inclusion measurement systems without becoming a copy of them?</x:v>
      </x:c>
      <x:c r="C189" s="24" t="str">
        <x:v>Uses benchmarks as method challenge while keeping Yemen evidence/source authority primary.</x:v>
      </x:c>
      <x:c r="D189" s="24"/>
      <x:c r="E189" s="24"/>
      <x:c r="F189" s="24"/>
      <x:c r="G189" s="24"/>
      <x:c r="H189" s="24" t="str">
        <x:v>DS-GLOBAL-BENCHMARK-CHALLENGE</x:v>
      </x:c>
      <x:c r="I189" s="24" t="str">
        <x:v>GLOBAL_METHOD → YEMEN_SOURCE_REALITY → ADOPT/EXCEED/HOLD</x:v>
      </x:c>
      <x:c r="J189" s="24" t="str">
        <x:v>Benchmarks cannot create missing Yemen observations.</x:v>
      </x:c>
      <x:c r="K189" s="24" t="str">
        <x:v>/methodology</x:v>
      </x:c>
    </x:row>
    <x:row r="190">
      <x:c r="A190" s="24" t="str">
        <x:v>Q-027</x:v>
      </x:c>
      <x:c r="B190" s="24" t="str">
        <x:v>How should YFSI relate to the institutions already working on financial inclusion, cash, livelihoods, infrastructure and macro stability in Yemen?</x:v>
      </x:c>
      <x:c r="C190" s="24" t="str">
        <x:v>Clarifies value-add and prevents institutional overreach.</x:v>
      </x:c>
      <x:c r="D190" s="24"/>
      <x:c r="E190" s="24" t="str">
        <x:v>DS-PROVIDER-OBSERVABILITY</x:v>
      </x:c>
      <x:c r="F190" s="24"/>
      <x:c r="G190" s="24" t="str">
        <x:v>DS-REFORM-EVENTS</x:v>
      </x:c>
      <x:c r="H190" s="24" t="str">
        <x:v>DS-YEMEN-ECOSYSTEM-ALIGNMENT</x:v>
      </x:c>
      <x:c r="I190" s="24" t="str">
        <x:v>ACTOR_ROLE → SOURCE_ROLE → YFSI_COMPLEMENT → NON_ROLE</x:v>
      </x:c>
      <x:c r="J190" s="24" t="str">
        <x:v>Partnership role cannot upgrade evidence state or authority.</x:v>
      </x:c>
      <x:c r="K190" s="24" t="str">
        <x:v>/ + /methodology</x:v>
      </x:c>
    </x:row>
    <x:row r="191">
      <x:c r="A191" s="24" t="str">
        <x:v>Q-028</x:v>
      </x:c>
      <x:c r="B191" s="24" t="str">
        <x:v>What does independent review require before an advanced analysis or visualization reaches the public interface?</x:v>
      </x:c>
      <x:c r="C191" s="24" t="str">
        <x:v>Creates three separate challenge lanes instead of one self-review.</x:v>
      </x:c>
      <x:c r="D191" s="24"/>
      <x:c r="E191" s="24"/>
      <x:c r="F191" s="24"/>
      <x:c r="G191" s="24"/>
      <x:c r="H191" s="24"/>
      <x:c r="I191" s="24" t="str">
        <x:v>FI_METHOD + DATA_SCIENCE + PUBLIC_INTEREST → CONSENSUS/HOLD → B1</x:v>
      </x:c>
      <x:c r="J191" s="24" t="str">
        <x:v>Passing one review lane cannot override a failure in another.</x:v>
      </x:c>
      <x:c r="K191" s="24" t="str">
        <x:v>internal / methodology</x:v>
      </x:c>
    </x:row>
    <x:row r="192">
      <x:c r="A192" s="24" t="str">
        <x:v>Q-029</x:v>
      </x:c>
      <x:c r="B192" s="24" t="str">
        <x:v>Is the current selected canonical delta compiled into an immutable package that can enter implementation?</x:v>
      </x:c>
      <x:c r="C192" s="24" t="str">
        <x:v>Closes the package integrity/rights/schema gap before B1.</x:v>
      </x:c>
      <x:c r="D192" s="24"/>
      <x:c r="E192" s="24"/>
      <x:c r="F192" s="24"/>
      <x:c r="G192" s="24"/>
      <x:c r="H192" s="24"/>
      <x:c r="I192" s="24" t="str">
        <x:v>SELECTION → ASSET MANIFEST → SCHEMA/SEMANTIC/RIGHTS TESTS → IMMUTABLE ZIP → IMPLEMENT</x:v>
      </x:c>
      <x:c r="J192" s="24" t="str">
        <x:v>Package PASS still does not equal B1 build acceptance.</x:v>
      </x:c>
      <x:c r="K192" s="24" t="str">
        <x:v>internal build governance</x:v>
      </x:c>
    </x:row>
    <x:row r="193">
      <x:c r="A193" s="24" t="str">
        <x:v>Q-030</x:v>
      </x:c>
      <x:c r="B193" s="24" t="str">
        <x:v>Have all legacy assets been either used, superseded, held or rejected — rather than silently ignored?</x:v>
      </x:c>
      <x:c r="C193" s="24" t="str">
        <x:v>Turns 'use all data' into an auditable legacy-coverage decision instead of indiscriminate ingestion.</x:v>
      </x:c>
      <x:c r="D193" s="24"/>
      <x:c r="E193" s="24"/>
      <x:c r="F193" s="24"/>
      <x:c r="G193" s="24"/>
      <x:c r="H193" s="24" t="str">
        <x:v>DS-LEGACY-COVERAGE; DS-LEGACY-RESCUE</x:v>
      </x:c>
      <x:c r="I193" s="24" t="str">
        <x:v>LEGACY_ASSET → CURRENT_AUTHORITY/METHOD_CHECK → ADMIT/SUPERSEDE/SALVAGE/HOLD/REJECT → NAMED_YFSI_DESTINATION</x:v>
      </x:c>
      <x:c r="J193" s="24" t="str">
        <x:v>Bayan 4 large archive remains only partially reviewable; some source candidates require primary/currentness/rights verification.</x:v>
      </x:c>
      <x:c r="K193" s="24" t="str">
        <x:v>internal governance</x:v>
      </x:c>
    </x:row>
    <x:row r="194">
      <x:c r="A194" s="24" t="str">
        <x:v>Q-031</x:v>
      </x:c>
      <x:c r="B194" s="24" t="str">
        <x:v>Does every priority audience have a recurring decision/job that YFSI can actually help with?</x:v>
      </x:c>
      <x:c r="C194" s="24" t="str">
        <x:v>Prevents stakeholder-name lists from masquerading as product strategy.</x:v>
      </x:c>
      <x:c r="D194" s="24"/>
      <x:c r="E194" s="24" t="str">
        <x:v>DS-CBY-DECISION-UTILITY</x:v>
      </x:c>
      <x:c r="F194" s="24"/>
      <x:c r="G194" s="24"/>
      <x:c r="H194" s="24" t="str">
        <x:v>DS-AUDIENCE-DECISION-PRODUCTS; DS-GOVT-DONOR-DECISION-ROOMS</x:v>
      </x:c>
      <x:c r="I194" s="24" t="str">
        <x:v>AUDIENCE → JOB_TO_BE_DONE → EVIDENCE_AVAILABLE → PRODUCT → NON_ROLE → ACCEPTANCE_TEST</x:v>
      </x:c>
      <x:c r="J194" s="24" t="str">
        <x:v>Some products require partner/primary data and cannot be fully public today.</x:v>
      </x:c>
      <x:c r="K194" s="24" t="str">
        <x:v>/ + /methodology</x:v>
      </x:c>
    </x:row>
    <x:row r="195">
      <x:c r="A195" s="24" t="str">
        <x:v>Q-032</x:v>
      </x:c>
      <x:c r="B195" s="24" t="str">
        <x:v>How can YFSI explain the economic cost of exclusion or no action without inventing a macro impact number?</x:v>
      </x:c>
      <x:c r="C195" s="24" t="str">
        <x:v>Creates useful plain-economics tools while separating arithmetic, scenarios, forecasts and causal counterfactuals.</x:v>
      </x:c>
      <x:c r="D195" s="24" t="str">
        <x:v>DS-FINDEX-PUBLIC-HISTORY</x:v>
      </x:c>
      <x:c r="E195" s="24"/>
      <x:c r="F195" s="24" t="str">
        <x:v>DS-FIRM-FINANCE; DS-REMITTANCES</x:v>
      </x:c>
      <x:c r="G195" s="24"/>
      <x:c r="H195" s="24" t="str">
        <x:v>DS-PUBLIC-ECONOMICS-LAB</x:v>
      </x:c>
      <x:c r="I195" s="24" t="str">
        <x:v>PUBLIC_QUESTION → MODEL_CLASS → INPUT_STATE → ASSUMPTION_LEDGER → ALLOWED_OUTPUT / FORBIDDEN_INFERENCE</x:v>
      </x:c>
      <x:c r="J195" s="24" t="str">
        <x:v>National GDP-loss/peace-dividend counterfactual remains HOLD absent separately validated causal model.</x:v>
      </x:c>
      <x:c r="K195" s="24" t="str">
        <x:v>/people + /firms + /payments + /methodology</x:v>
      </x:c>
    </x:row>
    <x:row r="196">
      <x:c r="A196" s="24" t="str">
        <x:v>Q-033</x:v>
      </x:c>
      <x:c r="B196" s="24" t="str">
        <x:v>Can a researcher cite, reproduce and audit a YFSI object without reverse-engineering the website?</x:v>
      </x:c>
      <x:c r="C196" s="24" t="str">
        <x:v>Moves YFSI toward journal-grade evidence infrastructure.</x:v>
      </x:c>
      <x:c r="D196" s="24" t="str">
        <x:v>DS-FINDEX-PUBLIC-HISTORY</x:v>
      </x:c>
      <x:c r="E196" s="24"/>
      <x:c r="F196" s="24"/>
      <x:c r="G196" s="24"/>
      <x:c r="H196" s="24" t="str">
        <x:v>DS-RESEARCH-REPRODUCIBILITY</x:v>
      </x:c>
      <x:c r="I196" s="24" t="str">
        <x:v>OBJECT_ID → SOURCE/VERSION → METHOD/DENOMINATOR → RIGHTS → MACHINE_DATA / RECIPE → CITATION / RELEASE_DIFF</x:v>
      </x:c>
      <x:c r="J196" s="24" t="str">
        <x:v>Raw or rights-restricted inputs cannot be redistributed merely for reproducibility.</x:v>
      </x:c>
      <x:c r="K196" s="24" t="str">
        <x:v>/data + /methodology + /evidence</x:v>
      </x:c>
    </x:row>
    <x:row r="197">
      <x:c r="A197" s="24" t="str">
        <x:v>Q-034</x:v>
      </x:c>
      <x:c r="B197" s="24" t="str">
        <x:v>What can YFSI provide to CBY leadership that is genuinely decision-useful without becoming a shadow supervisory system?</x:v>
      </x:c>
      <x:c r="C197" s="24" t="str">
        <x:v>Transforms public/authorized evidence into definition, currentness, gap and reform utilities while preserving CBY authority.</x:v>
      </x:c>
      <x:c r="D197" s="24" t="str">
        <x:v>DS-FINDEX-WB-OBS</x:v>
      </x:c>
      <x:c r="E197" s="24" t="str">
        <x:v>DS-PROVIDER-OBSERVABILITY</x:v>
      </x:c>
      <x:c r="F197" s="24" t="str">
        <x:v>DS-CBY-PAYMENTS</x:v>
      </x:c>
      <x:c r="G197" s="24" t="str">
        <x:v>DS-REFORM-EVENTS; DS-FCP-ARCH</x:v>
      </x:c>
      <x:c r="H197" s="24" t="str">
        <x:v>DS-CBY-DECISION-UTILITY</x:v>
      </x:c>
      <x:c r="I197" s="24" t="str">
        <x:v>PUBLIC_OR_AUTHORIZED_EVIDENCE → DECISION_QUESTION → DEFINITION/CURRENTNESS/GAP/STATE → DATA_REQUEST / BRIEF</x:v>
      </x:c>
      <x:c r="J197" s="24" t="str">
        <x:v>No supervisory finding, compliance certification, institution ranking or non-public operational assertion.</x:v>
      </x:c>
      <x:c r="K197" s="24" t="str">
        <x:v>/payments + /providers + /reforms + /evidence</x:v>
      </x:c>
    </x:row>
    <x:row r="198">
      <x:c r="A198" s="24" t="str">
        <x:v>Q-035</x:v>
      </x:c>
      <x:c r="B198" s="24" t="str">
        <x:v>How can CauseWay use YFSI in the live World Bank NFID Diagnostic opportunity without pretending the platform replaces the required primary study?</x:v>
      </x:c>
      <x:c r="C198" s="24" t="str">
        <x:v>Maps TOR workstreams to existing infrastructure, missing primary collection and secure delivery tools.</x:v>
      </x:c>
      <x:c r="D198" s="24" t="str">
        <x:v>DS-FINDEX-WB-OBS</x:v>
      </x:c>
      <x:c r="E198" s="24" t="str">
        <x:v>DS-PROVIDER-OBSERVABILITY</x:v>
      </x:c>
      <x:c r="F198" s="24" t="str">
        <x:v>DS-FIRM-FINANCE</x:v>
      </x:c>
      <x:c r="G198" s="24" t="str">
        <x:v>DS-REFORM-EVENTS; DS-FCP-ARCH</x:v>
      </x:c>
      <x:c r="H198" s="24" t="str">
        <x:v>DS-NFID-EOI-ALIGNMENT</x:v>
      </x:c>
      <x:c r="I198" s="24" t="str">
        <x:v>TOR_REQUIREMENT → EXISTING_YFSI_ASSET → NEW_PRIMARY_DATA_REQUIRED → BID/DELIVERY_TOOL → CONFIDENTIALITY_BOUNDARY</x:v>
      </x:c>
      <x:c r="J198" s="24" t="str">
        <x:v>FSP survey/interview evidence does not yet exist; assignment-confidential data must remain outside public YFSI unless approved for release.</x:v>
      </x:c>
      <x:c r="K198" s="24" t="str">
        <x:v>internal partnership / bid</x:v>
      </x:c>
    </x:row>
    <x:row r="199">
      <x:c r="A199" s="24" t="str">
        <x:v>Q-036</x:v>
      </x:c>
      <x:c r="B199" s="24" t="str">
        <x:v>Is the current B1 product expressing the analytical power of the canon clearly enough for people, researchers and decision-makers?</x:v>
      </x:c>
      <x:c r="C199" s="24" t="str">
        <x:v>Makes product usefulness an independent gate in addition to technical correctness.</x:v>
      </x:c>
      <x:c r="D199" s="24" t="str">
        <x:v>DS-FINDEX-PUBLIC-HISTORY</x:v>
      </x:c>
      <x:c r="E199" s="24" t="str">
        <x:v>DS-PROVIDER-OBSERVABILITY</x:v>
      </x:c>
      <x:c r="F199" s="24" t="str">
        <x:v>DS-CBY-PAYMENTS; DS-REMITTANCES</x:v>
      </x:c>
      <x:c r="G199" s="24" t="str">
        <x:v>DS-REFORM-EVENTS</x:v>
      </x:c>
      <x:c r="H199" s="24" t="str">
        <x:v>DS-B1-PRODUCT-CHALLENGE</x:v>
      </x:c>
      <x:c r="I199" s="24" t="str">
        <x:v>CANONICAL_POWER → CURRENT_RENDERED_PRODUCT → AUDIENCE_TASK_TEST → FIX/ELEVATE/HOLD</x:v>
      </x:c>
      <x:c r="J199" s="24" t="str">
        <x:v>B1 v0.3 fixes known state-label/borrowing defects but strategic audience-product testing remains open.</x:v>
      </x:c>
      <x:c r="K199" s="24" t="str">
        <x:v>internal / product</x:v>
      </x:c>
    </x:row>
    <x:row r="200">
      <x:c r="A200" s="24" t="str">
        <x:v>Q-037</x:v>
      </x:c>
      <x:c r="B200" s="24" t="str">
        <x:v>Can a public financial-inclusion tool be useful without turning assumptions into facts?</x:v>
      </x:c>
      <x:c r="C200" s="24" t="str">
        <x:v>Tests whether plain-economics calculators preserve model class, assumptions and causal boundaries.</x:v>
      </x:c>
      <x:c r="D200" s="24" t="str">
        <x:v>DS-FINDEX-PUBLIC-HISTORY</x:v>
      </x:c>
      <x:c r="E200" s="24"/>
      <x:c r="F200" s="24" t="str">
        <x:v>DS-REMITTANCES</x:v>
      </x:c>
      <x:c r="G200" s="24"/>
      <x:c r="H200" s="24" t="str">
        <x:v>DS-PUBLIC-ECONOMICS-IMPL</x:v>
      </x:c>
      <x:c r="I200" s="24" t="str">
        <x:v>USER_INPUT / ELIGIBLE_FACT → MODEL_CLASS → ASSUMPTION_LEDGER → ARITHMETIC/SCENARIO OUTPUT → EXPLICIT NON_CAUSAL BOUNDARY</x:v>
      </x:c>
      <x:c r="J200" s="24" t="str">
        <x:v>No validated national causal cost-of-exclusion model.</x:v>
      </x:c>
      <x:c r="K200" s="24" t="str">
        <x:v>/learn + /methodology</x:v>
      </x:c>
    </x:row>
    <x:row r="201">
      <x:c r="A201" s="24" t="str">
        <x:v>Q-038</x:v>
      </x:c>
      <x:c r="B201" s="24" t="str">
        <x:v>Can a researcher cite, download and audit the exact YFSI object without redistributing restricted source data?</x:v>
      </x:c>
      <x:c r="C201" s="24" t="str">
        <x:v>Converts research reproducibility from architecture into a tested product behavior.</x:v>
      </x:c>
      <x:c r="D201" s="24" t="str">
        <x:v>DS-FINDEX-PUBLIC-HISTORY</x:v>
      </x:c>
      <x:c r="E201" s="24"/>
      <x:c r="F201" s="24"/>
      <x:c r="G201" s="24"/>
      <x:c r="H201" s="24" t="str">
        <x:v>DS-RESEARCH-LAB-IMPL</x:v>
      </x:c>
      <x:c r="I201" s="24" t="str">
        <x:v>OBJECT_ID → SOURCE/PASSPORT → RIGHTS → CITATION / SAFE_EXPORT → RELEASE_VERSION</x:v>
      </x:c>
      <x:c r="J201" s="24" t="str">
        <x:v>Persistent R0 URLs, release diff and full derivation recipes remain open.</x:v>
      </x:c>
      <x:c r="K201" s="24" t="str">
        <x:v>/research + /data</x:v>
      </x:c>
    </x:row>
    <x:row r="202">
      <x:c r="A202" s="24" t="str">
        <x:v>Q-039</x:v>
      </x:c>
      <x:c r="B202" s="24" t="str">
        <x:v>Can CBY-facing decision utility improve definitions and evidence readiness without imitating supervision?</x:v>
      </x:c>
      <x:c r="C202" s="24" t="str">
        <x:v>Tests the strongest institutional value proposition against the permanent non-authority boundary.</x:v>
      </x:c>
      <x:c r="D202" s="24"/>
      <x:c r="E202" s="24" t="str">
        <x:v>DS-PROVIDER-OBSERVABILITY</x:v>
      </x:c>
      <x:c r="F202" s="24" t="str">
        <x:v>DS-CBY-PAYMENTS</x:v>
      </x:c>
      <x:c r="G202" s="24" t="str">
        <x:v>DS-FCP-ARCH; DS-REFORM-EVENTS</x:v>
      </x:c>
      <x:c r="H202" s="24" t="str">
        <x:v>DS-CBY-UTILITY-IMPL</x:v>
      </x:c>
      <x:c r="I202" s="24" t="str">
        <x:v>PUBLIC/AUTHORIZED EVIDENCE → DEFINITION/CURRENTNESS/UNIVERSE GAP → DATA SPEC/KPI CONTRACT → DECISION SUPPORT</x:v>
      </x:c>
      <x:c r="J202" s="24" t="str">
        <x:v>Authorized operational/provider data remain absent; no supervisory conclusion allowed.</x:v>
      </x:c>
      <x:c r="K202" s="24" t="str">
        <x:v>/decision/cby + /payments + /providers</x:v>
      </x:c>
    </x:row>
    <x:row r="203">
      <x:c r="A203" s="24" t="str">
        <x:v>Q-040</x:v>
      </x:c>
      <x:c r="B203" s="24" t="str">
        <x:v>Is the NFID primary-data architecture ready to collect new evidence without contaminating public YFSI with confidential project data?</x:v>
      </x:c>
      <x:c r="C203" s="24" t="str">
        <x:v>Makes the procurement opportunity a secure data-design test rather than a reason to overclaim existing coverage.</x:v>
      </x:c>
      <x:c r="D203" s="24"/>
      <x:c r="E203" s="24" t="str">
        <x:v>DS-PROVIDER-OBSERVABILITY</x:v>
      </x:c>
      <x:c r="F203" s="24" t="str">
        <x:v>DS-FIRM-FINANCE</x:v>
      </x:c>
      <x:c r="G203" s="24" t="str">
        <x:v>DS-FCP-ARCH; DS-REFORM-EVENTS</x:v>
      </x:c>
      <x:c r="H203" s="24" t="str">
        <x:v>DS-NFID-SECURE-ARCH</x:v>
      </x:c>
      <x:c r="I203" s="24" t="str">
        <x:v>TOR → MODULE/FIELD/VALIDATION → SECURE RESPONSE WORKSPACE → ANALYSIS/VALIDATION → APPROVED AGGREGATE/PUBLICATION GATE</x:v>
      </x:c>
      <x:c r="J203" s="24" t="str">
        <x:v>No FSP/interview responses exist; award/clarifications/security terms may change requirements.</x:v>
      </x:c>
      <x:c r="K203" s="24" t="str">
        <x:v>internal secure project / bid</x:v>
      </x:c>
    </x:row>
    <x:row r="204">
      <x:c r="A204" s="24" t="str">
        <x:v>Q-041</x:v>
      </x:c>
      <x:c r="B204" s="24" t="str">
        <x:v>Has B1 v0.4 earned promotion from concept to a controlled production candidate?</x:v>
      </x:c>
      <x:c r="C204" s="24" t="str">
        <x:v>Joins static QA, browser runtime, asset hashes and visual review into one implementation gate.</x:v>
      </x:c>
      <x:c r="D204" s="24"/>
      <x:c r="E204" s="24"/>
      <x:c r="F204" s="24"/>
      <x:c r="G204" s="24"/>
      <x:c r="H204" s="24" t="str">
        <x:v>DS-B1-V04-ASSET-MANIFEST</x:v>
      </x:c>
      <x:c r="I204" s="24" t="str">
        <x:v>IMMUTABLE ASSETS → STATIC QA → CHROMIUM QA → VISUAL QA → PASS/REOPEN → NEXT PRODUCTION INCREMENT</x:v>
      </x:c>
      <x:c r="J204" s="24" t="str">
        <x:v>External task/usability testing, full accessibility matrix and R0 remain open.</x:v>
      </x:c>
      <x:c r="K204" s="24" t="str">
        <x:v>internal build governance</x:v>
      </x:c>
    </x:row>
    <x:row r="205">
      <x:c r="A205" s="24" t="str">
        <x:v>Q-042</x:v>
      </x:c>
      <x:c r="B205" s="24" t="str">
        <x:v>Can every declared public/launch object be compiled without bypassing publication, provenance, rights, semantic or HOLD controls?</x:v>
      </x:c>
      <x:c r="C205" s="24" t="str">
        <x:v>Turns release eligibility into an executable object compiler rather than a collection of disconnected spreadsheets.</x:v>
      </x:c>
      <x:c r="D205" s="24"/>
      <x:c r="E205" s="24"/>
      <x:c r="F205" s="24"/>
      <x:c r="G205" s="24"/>
      <x:c r="H205" s="24" t="str">
        <x:v>DS-FULL-LAUNCH-COMPILER</x:v>
      </x:c>
      <x:c r="I205" s="24" t="str">
        <x:v>PUBLICATION_ELIGIBILITY → PASSPORT/TRACEABILITY → ROUTE/LAUNCH → COMPILER_ACTION → FAIL_CLOSED_PACKAGE</x:v>
      </x:c>
      <x:c r="J205" s="24" t="str">
        <x:v>Full frontend implementation and Arabic authoring remain open.</x:v>
      </x:c>
      <x:c r="K205" s="24" t="str">
        <x:v>internal compiler / methodology</x:v>
      </x:c>
    </x:row>
    <x:row r="206">
      <x:c r="A206" s="24" t="str">
        <x:v>Q-043</x:v>
      </x:c>
      <x:c r="B206" s="24" t="str">
        <x:v>Can the full launch package be consumed by routes without hand-copying evidence or creating route drift?</x:v>
      </x:c>
      <x:c r="C206" s="24" t="str">
        <x:v>Binds immutable release input to governed route contracts and makes missing route state a build failure.</x:v>
      </x:c>
      <x:c r="D206" s="24"/>
      <x:c r="E206" s="24"/>
      <x:c r="F206" s="24"/>
      <x:c r="G206" s="24"/>
      <x:c r="H206" s="24" t="str">
        <x:v>DS-ROUTE-OBJECT-BINDINGS</x:v>
      </x:c>
      <x:c r="I206" s="24" t="str">
        <x:v>IMMUTABLE_PACKAGE → ROUTE_CONTRACT → OBJECT_BINDING → COMPONENT_RENDER / HOLD_GAP</x:v>
      </x:c>
      <x:c r="J206" s="24" t="str">
        <x:v>Binding contract exists; B1 full frontend implementation is next.</x:v>
      </x:c>
      <x:c r="K206" s="24" t="str">
        <x:v>internal build governance</x:v>
      </x:c>
    </x:row>
    <x:row r="207">
      <x:c r="A207" s="24" t="str">
        <x:v>Q-044</x:v>
      </x:c>
      <x:c r="B207" s="24" t="str">
        <x:v>Is bilingual expansion governed object-by-object rather than treated as a final translation pass?</x:v>
      </x:c>
      <x:c r="C207" s="24" t="str">
        <x:v>Makes Arabic a release gate while preserving one language-neutral factual/evidence object.</x:v>
      </x:c>
      <x:c r="D207" s="24" t="str">
        <x:v>DS-FINDEX-PUBLIC-HISTORY</x:v>
      </x:c>
      <x:c r="E207" s="24"/>
      <x:c r="F207" s="24"/>
      <x:c r="G207" s="24"/>
      <x:c r="H207" s="24" t="str">
        <x:v>DS-BILINGUAL-AUTHORING-GATE</x:v>
      </x:c>
      <x:c r="I207" s="24" t="str">
        <x:v>CANONICAL_OBJECT → NATIVE_AR_AUTHORING → TERMINOLOGY_QA → EVIDENCE_INVARIANCE → BROWSER_QA</x:v>
      </x:c>
      <x:c r="J207" s="24" t="str">
        <x:v>Non-P0 Arabic claim narratives are not fully authored yet; R0 remains blocked.</x:v>
      </x:c>
      <x:c r="K207" s="24" t="str">
        <x:v>Arabic full-route implementation</x:v>
      </x:c>
    </x:row>
    <x:row r="208">
      <x:c r="A208" s="24" t="str">
        <x:v>Q-045</x:v>
      </x:c>
      <x:c r="B208" s="24" t="str">
        <x:v>Has the canonical evidence/product system reached the point where full B1 frontend implementation can proceed without reopening evidence truth?</x:v>
      </x:c>
      <x:c r="C208" s="24" t="str">
        <x:v>Joins publication completeness, package integrity, routes, HOLD behavior and bilingual gating into one next-lane decision.</x:v>
      </x:c>
      <x:c r="D208" s="24"/>
      <x:c r="E208" s="24"/>
      <x:c r="F208" s="24"/>
      <x:c r="G208" s="24"/>
      <x:c r="H208" s="24" t="str">
        <x:v>DS-V022-RECON-GATE</x:v>
      </x:c>
      <x:c r="I208" s="24" t="str">
        <x:v>CANONICAL_TRUTH → FULL_LAUNCH_COMPILER → IMMUTABLE_PACKAGE → B1_FULL_IMPLEMENTATION</x:v>
      </x:c>
      <x:c r="J208" s="24" t="str">
        <x:v>Audience task acceptance, full accessibility/device regression and R0 remain open.</x:v>
      </x:c>
      <x:c r="K208" s="24" t="str">
        <x:v>internal release control</x:v>
      </x:c>
    </x:row>
    <x:row r="209">
      <x:c r="A209" s="24" t="str">
        <x:v>Q-046</x:v>
      </x:c>
      <x:c r="B209" s="24" t="str">
        <x:v>How much is remitted to Yemen, and why do credible estimates differ?</x:v>
      </x:c>
      <x:c r="C209" s="24" t="str">
        <x:v>Prevents a false single-number baseline and identifies conclusions robust to method/scope.</x:v>
      </x:c>
      <x:c r="D209" s="24" t="str">
        <x:v>Household/remittance context</x:v>
      </x:c>
      <x:c r="E209" s="24"/>
      <x:c r="F209" s="24" t="str">
        <x:v>CBY/IMF/CCY flows</x:v>
      </x:c>
      <x:c r="G209" s="24"/>
      <x:c r="H209" s="24" t="str">
        <x:v>World Bank/IGC history</x:v>
      </x:c>
      <x:c r="I209" s="24" t="str">
        <x:v>REGIME → COMPONENT_METHOD → SCOPE → MODEL/OBSERVATION → RESIDUAL → ROBUST_CONCLUSION</x:v>
      </x:c>
      <x:c r="J209" s="24" t="str">
        <x:v>Exact remittance formula/CBY scope crosswalk.</x:v>
      </x:c>
      <x:c r="K209" s="24" t="str">
        <x:v>/remittances + /evidence/compare</x:v>
      </x:c>
    </x:row>
    <x:row r="210">
      <x:c r="A210" s="24" t="str">
        <x:v>Q-047</x:v>
      </x:c>
      <x:c r="B210" s="24" t="str">
        <x:v>Can CBY and IMF external-sector tables be converted into each other?</x:v>
      </x:c>
      <x:c r="C210" s="24" t="str">
        <x:v>Answers the crosswalk question component-by-component rather than with an invented scalar.</x:v>
      </x:c>
      <x:c r="D210" s="24"/>
      <x:c r="E210" s="24"/>
      <x:c r="F210" s="24" t="str">
        <x:v>CBY/IMF BOP components</x:v>
      </x:c>
      <x:c r="G210" s="24"/>
      <x:c r="H210" s="24" t="str">
        <x:v>IMF method history</x:v>
      </x:c>
      <x:c r="I210" s="24" t="str">
        <x:v>COMPONENT → CONCEPT → SIGN → SOURCE → TRANSFORM → GEOGRAPHY → COMPARABILITY_CLASS</x:v>
      </x:c>
      <x:c r="J210" s="24" t="str">
        <x:v>Detailed mission crosswalk and financial-account mapping.</x:v>
      </x:c>
      <x:c r="K210" s="24" t="str">
        <x:v>/external-sector + /methodology</x:v>
      </x:c>
    </x:row>
    <x:row r="211">
      <x:c r="A211" s="24" t="str">
        <x:v>Q-048</x:v>
      </x:c>
      <x:c r="B211" s="24" t="str">
        <x:v>How should Yemen's external-flow uncertainty change a decision?</x:v>
      </x:c>
      <x:c r="C211" s="24" t="str">
        <x:v>Makes E&amp;O and stock-flow reconciliation visible before precise flow ranking.</x:v>
      </x:c>
      <x:c r="D211" s="24"/>
      <x:c r="E211" s="24"/>
      <x:c r="F211" s="24" t="str">
        <x:v>BOP/IIP/residual evidence</x:v>
      </x:c>
      <x:c r="G211" s="24"/>
      <x:c r="H211" s="24" t="str">
        <x:v>BPM standard</x:v>
      </x:c>
      <x:c r="I211" s="24" t="str">
        <x:v>FLOW → RESIDUAL_SCALE → COMPONENT_RECON → STOCK_FLOW_TEST → CONFIDENCE_BOUNDARY</x:v>
      </x:c>
      <x:c r="J211" s="24" t="str">
        <x:v>Component-level E&amp;O and IIP reconciliation inputs.</x:v>
      </x:c>
      <x:c r="K211" s="24" t="str">
        <x:v>/external-sector + /evidence</x:v>
      </x:c>
    </x:row>
    <x:row r="212">
      <x:c r="A212" s="24" t="str">
        <x:v>Q-049</x:v>
      </x:c>
      <x:c r="B212" s="24" t="str">
        <x:v>When does a cash payment become durable financial inclusion?</x:v>
      </x:c>
      <x:c r="C212" s="24" t="str">
        <x:v>Separates delivery success from persistent active use and outcome.</x:v>
      </x:c>
      <x:c r="D212" s="24" t="str">
        <x:v>Programme/household evidence</x:v>
      </x:c>
      <x:c r="E212" s="24" t="str">
        <x:v>Rail/provider evidence</x:v>
      </x:c>
      <x:c r="F212" s="24" t="str">
        <x:v>Cash/payment evidence</x:v>
      </x:c>
      <x:c r="G212" s="24" t="str">
        <x:v>Project/regulatory state</x:v>
      </x:c>
      <x:c r="H212" s="24" t="str">
        <x:v>CCY/REACH/WB context</x:v>
      </x:c>
      <x:c r="I212" s="24" t="str">
        <x:v>DELIVERY → USABILITY → RESILIENCE → LINKAGES → FORMAL_ACCESS → DURABLE_USE → OUTCOME</x:v>
      </x:c>
      <x:c r="J212" s="24" t="str">
        <x:v>Longitudinal post-transfer transaction data.</x:v>
      </x:c>
      <x:c r="K212" s="24" t="str">
        <x:v>/cash + /people + /payments</x:v>
      </x:c>
    </x:row>
    <x:row r="213">
      <x:c r="A213" s="24" t="str">
        <x:v>Q-050</x:v>
      </x:c>
      <x:c r="B213" s="24" t="str">
        <x:v>How does Saudi support move from announcement to economic use?</x:v>
      </x:c>
      <x:c r="C213" s="24" t="str">
        <x:v>Prevents double count and distinguishes fiscal, reserve, import-finance and project channels.</x:v>
      </x:c>
      <x:c r="D213" s="24"/>
      <x:c r="E213" s="24"/>
      <x:c r="F213" s="24" t="str">
        <x:v>Budget/deposit/auction flows</x:v>
      </x:c>
      <x:c r="G213" s="24"/>
      <x:c r="H213" s="24" t="str">
        <x:v>AidData history</x:v>
      </x:c>
      <x:c r="I213" s="24" t="str">
        <x:v>PLEDGE/COMMITMENT → CUSTODY/AGREEMENT → AVAILABLE/DISBURSED → AUCTION/IN_KIND/PROJECT_USE</x:v>
      </x:c>
      <x:c r="J213" s="24" t="str">
        <x:v>Reconciled parent-package/tranche/disbursement ledger.</x:v>
      </x:c>
      <x:c r="K213" s="24" t="str">
        <x:v>/external-support + /system</x:v>
      </x:c>
    </x:row>
  </x:sheetData>
  <x:mergeCells>
    <x:mergeCell ref="A1:N1"/>
    <x:mergeCell ref="A2:N2"/>
    <x:mergeCell ref="A4:K4"/>
    <x:mergeCell ref="A40:I40"/>
    <x:mergeCell ref="A106:H106"/>
    <x:mergeCell ref="A150:N150"/>
    <x:mergeCell ref="A162:K162"/>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row>
    <x:row r="6">
      <x:c r="A6" s="24" t="str">
        <x:v>EP-CBY-POS-MONTHLY</x:v>
      </x:c>
      <x:c r="B6" s="24" t="str">
        <x:v>Series</x:v>
      </x:c>
      <x:c r="C6" s="24" t="str">
        <x:v>POS monthly observations</x:v>
      </x:c>
      <x:c r="D6" s="24" t="str">
        <x:v>Central Bank of Yemen — Aden</x:v>
      </x:c>
      <x:c r="E6" s="24" t="str">
        <x:v>IND-0002/0003/0004</x:v>
      </x:c>
      <x:c r="F6" s="24" t="str">
        <x:v>Mar-2025–Jan-2026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A smaller source-internal mismatch also appears in June 2025: 733→791 terminals imply approximately +7.91%, while the June graphic displays +7.6%.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discrepancies prominently; retain the June 2025 mismatch in the evidence detail/method note. Keep the September 2025 gap only on the YER transaction-value series, not on terminal counts.</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row>
    <x:row r="9">
      <x:c r="A9" s="24" t="str">
        <x:v>EP-FIRM-2022</x:v>
      </x:c>
      <x:c r="B9" s="24" t="str">
        <x:v>Survey</x:v>
      </x:c>
      <x:c r="C9" s="24" t="str">
        <x:v>Formal enterprise finance evidence</x:v>
      </x:c>
      <x:c r="D9" s="24" t="str">
        <x:v>World Bank 2022 custom enterprise survey</x:v>
      </x:c>
      <x:c r="E9" s="24" t="str">
        <x:v>FFM-001..007</x:v>
      </x:c>
      <x:c r="F9" s="24" t="str">
        <x:v>2022-09</x:v>
      </x:c>
      <x:c r="G9" s="24" t="str">
        <x:v>Formal enterprises in seven selected governorates</x:v>
      </x:c>
      <x:c r="H9" s="24" t="str">
        <x:v>Custom enterprise survey</x:v>
      </x:c>
      <x:c r="I9" s="24" t="str">
        <x:v>Not national; some tables have small conditional denominators; obstacle tabulation has filtered denominator</x:v>
      </x:c>
      <x:c r="J9" s="24" t="str">
        <x:v>PRIMARY_SURVEY</x:v>
      </x:c>
      <x:c r="K9" s="24" t="str">
        <x:v>/firms/</x:v>
      </x:c>
      <x:c r="L9" s="24" t="str">
        <x:v>Every chart shows sample/universe/denominator.</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named entity or branch type, action, annual-roster context and the fact that current operation requires entity-level reconciliation.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141</x:v>
      </x:c>
      <x:c r="D5" s="24" t="n">
        <x:f>COUNTA('02_SITE_MAP'!A5:A300)</x:f>
        <x:v>141</x:v>
      </x:c>
      <x:c r="E5" s="24" t="str">
        <x:f>IF(D5=C5,"READY","REVIEW")</x:f>
        <x:v>READY</x:v>
      </x:c>
      <x:c r="F5" s="24" t="str">
        <x:v>02_SITE_MAP</x:v>
      </x:c>
      <x:c r="G5" s="24" t="str">
        <x:v>Every site page instance is represented.</x:v>
      </x:c>
    </x:row>
    <x:row r="6">
      <x:c r="A6" s="24" t="str">
        <x:v>Site</x:v>
      </x:c>
      <x:c r="B6" s="24" t="str">
        <x:v>Bilingual page sections</x:v>
      </x:c>
      <x:c r="C6" s="24" t="n">
        <x:v>572</x:v>
      </x:c>
      <x:c r="D6" s="24" t="n">
        <x:v>572</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108</x:v>
      </x:c>
      <x:c r="D8" s="24" t="n">
        <x:f>COUNTA('06_EVIDENCE_OBJECTS'!A5:A300)</x:f>
        <x:v>108</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59</x:v>
      </x:c>
      <x:c r="D9" s="24" t="n">
        <x:f>COUNTA('07_PUBLIC_CLAIMS'!A5:A200)</x:f>
        <x:v>59</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24</x:v>
      </x:c>
      <x:c r="D14" s="24" t="n">
        <x:v>24</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159</x:v>
      </x:c>
      <x:c r="D15" s="24" t="n">
        <x:v>159</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82</x:v>
      </x:c>
      <x:c r="D19" s="24" t="n">
        <x:f>COUNTA('19_PAYMENTS_DATA'!A5:A200)</x:f>
        <x:v>82</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17</x:v>
      </x:c>
      <x:c r="D21" s="24" t="n">
        <x:f>COUNTA('23_REMITTANCES'!A5:A100)</x:f>
        <x:v>17</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