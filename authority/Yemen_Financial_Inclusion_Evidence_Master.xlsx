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144</x:v>
      </x:c>
      <x:c r="C14" s="23" t="n">
        <x:v>144</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237</x:v>
      </x:c>
      <x:c r="C15" s="23" t="n">
        <x:v>237</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11</x:v>
      </x:c>
      <x:c r="C19" s="23" t="n">
        <x:v>11</x:v>
      </x:c>
    </x:row>
    <x:row r="20">
      <x:c r="A20" s="23" t="str">
        <x:v>Measurement priorities</x:v>
      </x:c>
      <x:c r="B20" s="23" t="n">
        <x:f>COUNTA('10_MEASUREMENT_AGENDA'!A5:A50)</x:f>
        <x:v>10</x:v>
      </x:c>
      <x:c r="C20" s="23" t="n">
        <x:v>10</x:v>
      </x:c>
    </x:row>
    <x:row r="21">
      <x:c r="A21" s="23" t="str">
        <x:v>Visual objects</x:v>
      </x:c>
      <x:c r="B21" s="23" t="n">
        <x:f>COUNTA('11_VISUAL_LIBRARY'!A5:A100)</x:f>
        <x:v>39</x:v>
      </x:c>
      <x:c r="C21" s="23" t="n">
        <x:v>39</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174</x:v>
      </x:c>
      <x:c r="C24" s="23" t="n">
        <x:v>174</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terminals, transactions, e-wallets and accounts; its third-quarter 2024 bulletin is shown apart.</x:v>
      </x:c>
      <x:c r="H106" s="28" t="str">
        <x:v>يعدّ تقرير المدفوعات للنصف الأول من 2025 الصادر عن البنك المركزي اليمني – عدن البطاقات وأجهزة الصراف الآلي والأجهزة والمعاملات والمحافظ والحسابات؛ وتُعرض نشرته للربع الثالث من 2024 منفصلة.</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/evidence/CBY-BANKS-2026-05/</x:v>
      </x:c>
      <x:c r="B148" s="24" t="str">
        <x:v>evidence_detail</x:v>
      </x:c>
      <x:c r="C148" s="24" t="str">
        <x:v>/evidence/[id]</x:v>
      </x:c>
      <x:c r="D148" s="24" t="str">
        <x:v>CBY-BANKS-2026-05</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mobile-money questions were not asked in Yemen's survey, so the figure here reflects accounts at financial institutions. Fieldwork ran from 7 November 2022 to 9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أسئلة خدمات الأموال عبر الهاتف لم تُطرح في مسح اليمن، فالنسبة هنا تعكس الحسابات لدى المؤسسات المالية. نُفذ العمل الميداني من 7 نوفمبر 2022 إلى 9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which this resource reads as not reported, not as zero.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ويقرأ هذا المورد تلك القيم على أنها غير مُبلَّغ عنها، لا على أنها صفر.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 In a 2018 World Bank Group survey of 141 firms, cited in the FMIIP appraisal document (May 2025), 6.1% of small firms, 18.5% of medium-sized businesses and less than 50% of large enterprises reported access to a functioning bank branch; it is a different survey with a different question, so it is not a baseline for the 2022 seven-governorate survey.</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 وفي مسح أجرته مجموعة البنك الدولي في 2018 وشمل 141 منشأة، تستشهد به وثيقة تقييم مشروع FMIIP (مايو 2025)، أفادت 6.1% من المنشآت الصغيرة و18.5% من المنشآت المتوسطة وأقل من 50% من المنشآت الكبيرة بإمكانية الوصول إلى فرع مصرفي يعمل؛ وهو مسح مختلف بسؤال مختلف، فلا يُتخذ خط أساس لمسح 2022 في المحافظات السبع.</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 The project's appraisal document (May 2025) adds a design rule: only registered clients of regulated financial institutions may use FPS, and walk-in and over-the-counter transactions, in which the sender or the recipient holds no account at a regulated financial institution, are excluded until a National Risk Assessment is completed and risk-mitigation measures are adopted. That is a design condition, which would leave people without an account outside the system, not evidence that the system operates.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 وتضيف وثيقة تقييم المشروع (مايو 2025) قاعدة تصميم: ألا يستخدم نظام الدفع السريع إلا العملاء المسجلون لدى مؤسسات مالية خاضعة للتنظيم، وأن تُستبعد معاملات العملاء العابرين والمعاملات عبر الشبّاك، أي تلك التي لا يملك فيها المرسل أو المستلم حسابًا لدى مؤسسة مالية خاضعة للتنظيم، إلى أن يُستكمل التقييم الوطني للمخاطر وتُعتمد تدابير للحد منها. وهذا شرط تصميم من شأنه أن يُبقي من لا يملك حسابًا خارج النظام، لا دليل على أن النظام يعمل.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مدفوعة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 Two other publishers give other counts: the appraisal document of the World Bank-financed FMIIP project (May 2025) states that 19 banks are operating, four of them microfinance banks, citing no source or count date (an International Growth Centre report gives the same 19 operating banks for 2015); and that report (February 2026) cites government CBY data for 31 registered banks. These are third-party statements, not lists; they count different things at different dates, the appraisal document's four microfinance banks are not reconciled with the 12 named above, and none of the three counts establishes which banks operate.</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 ويورد ناشران آخران عددين آخرين: إذ تذكر وثيقة تقييم مشروع FMIIP الممول من البنك الدولي (مايو 2025) أن 19 بنكًا تعمل، أربعة منها بنوك تمويل أصغر، من دون ذكر مصدر أو تاريخ للعدّ (ويورد تقرير للمركز الدولي للنمو العدد نفسه، 19 بنكًا عاملًا، لعام 2015)؛ ويستشهد ذلك التقرير (فبراير 2026) ببيانات البنك المركزي اليمني التابع للحكومة عن 31 بنكًا مسجلًا. وهذه تصريحات لجهات أخرى لا قوائم؛ وهي تعدّ أشياء مختلفة في تواريخ مختلفة، ولا تُطابَق بنوك التمويل الأصغر الأربعة في وثيقة التقييم مع البنوك الـ12 المذكورة أعلاه، ولا يثبت أيٌّ من الأعداد الثلاثة أي البنوك تعمل.</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 How many there were before the roster depends on the label: the FMIIP appraisal document (May 2025) reports money-exchanger branches rising from 876 in 2017 to 3,244 in 2019, and an International Growth Centre report (February 2026) presents the same pair as entities, including microfinance institutions. Branches and entities are different units, and neither is a roster count (record CLM-016).</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 ويتوقف عدد منشآت الصرافة قبل القائمة الرسمية على الوصف المستخدم: فوثيقة تقييم مشروع FMIIP (مايو 2025) تذكر أن فروع شركات الصرافة ارتفعت من 876 في 2017 إلى 3,244 في 2019، ويعرض تقرير للمركز الدولي للنمو (فبراير 2026) الزوج نفسه من الأرقام بوصفه كيانات تشمل مؤسسات التمويل الأصغر. والفروع والكيانات وحدتان مختلفتان، ولا يمثل أيٌّ منهما عدًّا من قائمة رسمية (السجل CLM-016).</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The programme has run no payment cycle since January 2025, for lack of funds, according to the World Bank's implementation report on ESPECRP, the emergency social protection project that finances it,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Two later findings mark where the evidence stops. A Cash Consortium of Yemen study (2026) compared three and six monthly transfers using programme data, with no randomised design and no group of households without assistance: the extra three transfers brought modest further gains in food security, and savings could not be compared, because only three households, all of them on six transfers, reported putting any money aside. And the appraisal document of the Cash for Nutrition and Livelihoods Project (June 2026) reports from the programme's monitoring that “high transaction costs and long distances to financial service points severely impeded e-wallet uptake”.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ولم يُجرِ البرنامج أي دورة دفع منذ يناير 2025 بسبب نقص التمويل، وفق تقرير التنفيذ الصادر عن البنك الدولي لمشروع الحماية الاجتماعية الطارئ (ESPECRP)، وهو المشروع الذي يموّل البرنامج، والمؤرشف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وتحدّد خلاصتان لاحقتان موضع توقف الدليل. فقد قارنت دراسة لتحالف النقد في اليمن (Cash Consortium of Yemen) صدرت في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البرنامج، أن «ارتفاع تكاليف المعاملات وبُعد المسافات عن نقاط الخدمات المالية أعاقا بشدة الإقبال على المحافظ الإلكترونية».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calculation bases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وقاعدتا احتساب مختلفتان</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Answering it requires independent evidence on the barriers and conditions that shape access, not a prior causal assumption.
Four figures for women’s account ownership appear in published material,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and the World Bank's Yemen Financial Sector Diagnostics (2024) that the population is “almost entirely unbanked, including about 90% of men and 99% of women”; neither gives a date or a source, so neither is used here as a measurement. The two measurements come from different waves and are not joined into a trend here, and neither explains the gap.</x:v>
      </x:c>
      <x:c r="F270" s="28"/>
      <x:c r="G270" s="28" t="str">
        <x:v>في أحدث موجة من مسح Findex العالمي في اليمن، امتلك 18.3% من الرجال و5.4% من النساء بعمر 15 سنة فأكثر حسابًا في المناطق التي شملها المسح، بفجوة قدرها 12.9 نقطة مئوية. هذه مقارنة صحيحة داخل موجة واحدة؛ وهي تقيس تفاوتًا ولا تفسّر سببه.
وتقع الفجوة داخل منظومة منخفضة الوصول أصلًا: فقد بلغت نسبة امتلاك الحساب بين البالغين عمومًا 11.9% في الموجة نفسها، والنسبة بين الرجال منخفضة بدورها. لذلك يصبح السؤال الأدق:
&gt; لماذا تصل منظومة مالية منخفضة الوصول أصلًا إلى النساء بدرجة أقل بكثير من الرجال؟
والإجابة تحتاج إلى أدلة مستقلة عن العوائق والظروف التي يتشكل فيها الوصول، لا إلى افتراض سببي مسبق.
وترد في المواد المنشورة أربعة أرقام عن امتلاك النساء للحساب، لكن اثنين منها فقط ناتجان عن قياس. قدّرت موجة 2021 من المؤشر العالمي للشمول المالي (Findex)، التي نُفذ عملها الميداني في اليمن خلال 2022–2023، النسبة بـ5.4% من النساء بعمر 15 سنة فأكثر، وهو تقدير مسحي مرجّح للمناطق المشمولة.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أو مصدرًا، فلا يُستخدم أيٌّ من الرقمين قياسًا. ولا يُستخلص هنا من النسبتين اتجاه زمني، ولا تفسر أيٌّ منهما أسباب الفجوة.</x:v>
      </x:c>
    </x:row>
    <x:row r="271">
      <x:c r="A271" s="24" t="str">
        <x:v>/readings/gender-gap-measured-causes-open/</x:v>
      </x:c>
      <x:c r="B271" s="24" t="n">
        <x:v>3</x:v>
      </x:c>
      <x:c r="C271" s="24"/>
      <x:c r="D271" s="24" t="str">
        <x:v>The causes are not yet established</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
Records of particular services give women's shares, not ownership rates, and none of them divides the gap. A Yemen Microfinance Network table prints 34% as women's share in its total row for the 89,733 active borrowers of nine microfinance providers in February 2021; 44% of the 8,217 enterprises SMEPS supported in 2024 were female-owned, a programme figure; and the first-half 2025 payment report of the Central Bank of Yemen – Aden shows women at 18% in its accounts panel, whose base it does not define, and at 16% of e-wallet subscribers: none of these is a share of people or a gap estimate. One named hypothesis has documentation: ACAPS (December 2023) describes the mahram requirement, under which women must travel with a male relative, enforced from early 2022 in areas under the de facto authorities. It does not mention financial services, so it supports a question to test, not a finding.</x:v>
      </x:c>
      <x:c r="F271" s="28" t="str">
        <x:v>أسباب الفجوة لم تُثبَت بعد</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
وتعطي سجلات خدمات بعينها حصص النساء فيها، لا معدلات امتلاك، ولا يقسم أيٌّ منها الفجوة. فجدول لشبكة اليمن للتمويل الأصغر يطبع نسبة 34% بوصفها حصة النساء في صفّ الإجمالي لـ89,733 مقترضًا نشطًا لدى تسعة مقدمي خدمات تمويل أصغر في فبراير 2021؛ وكانت 44% من المنشآت الـ8,217 التي دعمتها وكالة تنمية المنشآت الصغيرة والأصغر (SMEPS) في 2024 مملوكة لنساء، وهو رقم برنامجي؛ ويُظهر تقرير المدفوعات للنصف الأول من 2025 الصادر عن البنك المركزي اليمني – عدن النساء بنسبة 18% في لوحة الحسابات، التي لا يحدد التقرير أساسها، و16% من مشتركي المحافظ الإلكترونية: وليس أيٌّ منها حصة من الأشخاص ولا تقديرًا للفجوة. ولفرضية واحدة مسمّاة توثيق: إذ يصف تقرير ACAPS (ديسمبر 2023) اشتراط المَحرم، الذي يُلزم النساء بالسفر برفقة قريب ذكر، المطبَّق منذ مطلع 2022 في المناطق الخاضعة لسلطات الأمر الواقع. ولا يذكر التقرير الخدمات المالية، فهو يدعم سؤالًا للاختبار لا نتيجة.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85"/>
      <x:c r="G285"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
The same holds for ratios to output.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so the two are not read as a fall.</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
ويصدق ذلك على النسب إلى الناتج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لذلك لا تُقرأ النسبتان على أنهما انخفاض.</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03">
      <x:c r="A303" t="str">
        <x:v>/reforms/</x:v>
      </x:c>
      <x:c r="B303" t="n">
        <x:v>7</x:v>
      </x:c>
      <x:c r="C303" t="str">
        <x:v>Evidence</x:v>
      </x:c>
      <x:c r="D303" t="str">
        <x:v>IMF Management approved an 18-month Staff-Monitored Program in October 2026; it is not IMF financing</x:v>
      </x:c>
      <x:c r="E303"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03"/>
      <x:c r="G303"/>
    </x:row>
    <x:row r="304">
      <x:c r="A304" t="str">
        <x:v>/reforms/</x:v>
      </x:c>
      <x:c r="B304" t="n">
        <x:v>7</x:v>
      </x:c>
      <x:c r="C304" t="str">
        <x:v>الدليل</x:v>
      </x:c>
      <x:c r="D304"/>
      <x:c r="E304"/>
      <x:c r="F304" t="str">
        <x:v>وافقت إدارة صندوق النقد الدولي في أكتوبر 2026 على برنامج يراقبه خبراء الصندوق مدته 18 شهرًا، ولا يتضمن تمويلًا من الصندوق</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The IMF's past values are model-based estimates, not reported history</x:v>
      </x:c>
      <x:c r="E314"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السابقة لدى صندوق النقد الدولي تقديرات قائمة على نموذج، لا قيم تاريخية مُبلَّغ عنها</x:v>
      </x:c>
      <x:c r="G315"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Evidence fitness, citation, factual use and redistribution are separate questions</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1" t="str">
        <x:v>صلاحية الدليل، والاستشهاد به، واستخدام الوقائع والأرقام، وإعادة نشر المواد: مسائل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and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«حقوق 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 issued these lists, and what do they cover?</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من أصدر هذه القوائم؟ وما نطاقها؟</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64">
      <x:c r="A364" t="str">
        <x:v>/readings/where-bank-balance-sheets-sit/</x:v>
      </x:c>
      <x:c r="B364" t="n">
        <x:v>2</x:v>
      </x:c>
      <x:c r="E364" t="str">
        <x:v>Where a banking system puts its assets says something about whom it serves.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64" t="str">
        <x:v>يكشف موضع أصول المنظومة المصرفية شيئًا عمّن تخدمه.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65">
      <x:c r="A365" t="str">
        <x:v>/readings/where-bank-balance-sheets-sit/</x:v>
      </x:c>
      <x:c r="B365" t="n">
        <x:v>3</x:v>
      </x:c>
      <x:c r="D365" t="str">
        <x:v>A hypothesis, not a finding</x:v>
      </x:c>
      <x:c r="E365"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x:v>
      </x:c>
      <x:c r="F365" t="str">
        <x:v>فرضية لا نتيجة</x:v>
      </x:c>
      <x:c r="G365"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x:v>
      </x:c>
    </x:row>
    <x:row r="366">
      <x:c r="A366" t="str">
        <x:v>/readings/where-bank-balance-sheets-sit/</x:v>
      </x:c>
      <x:c r="B366" t="n">
        <x:v>4</x:v>
      </x:c>
      <x:c r="D366" t="str">
        <x:v>Four other explanations fit the same numbers</x:v>
      </x:c>
      <x:c r="E366"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 The reporting perimeter. The bulletin covers the deposit-taking institutions in its data, but it does not state which areas its figures cover, so the consolidated balance sheet may not describe every bank in every part of the country.</x:v>
      </x:c>
      <x:c r="F366" t="str">
        <x:v>أربعة تفسيرات أخرى تنسجم مع الأرقام نفسها</x:v>
      </x:c>
      <x:c r="G366"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x:v>
      </x:c>
    </x:row>
    <x:row r="367">
      <x:c r="A367" t="str">
        <x:v>/readings/where-bank-balance-sheets-sit/</x:v>
      </x:c>
      <x:c r="B367" t="n">
        <x:v>5</x:v>
      </x:c>
      <x:c r="D367" t="str">
        <x:v>Where the evidence stops</x:v>
      </x:c>
      <x:c r="E367" t="str">
        <x:v>This is one month of one table. The balance sheet does not show credit by currency or by sector, does not split claims on government between frozen and other holdings, and does not state its territorial reach. It does not establish that banks prefer the state to firms, that firms are refused credit, or that any policy caused the pattern.</x:v>
      </x:c>
      <x:c r="F367" t="str">
        <x:v>أين يتوقف الدليل؟</x:v>
      </x:c>
      <x:c r="G367" t="str">
        <x:v>هذا شهر واحد من جدول واحد. فالميزانية لا تُظهر الائتمان بحسب العملة أو القطاع، ولا تفصل الحقوق على الحكومة بين الأرصدة المجمدة وغيرها، ولا تذكر نطاقها الجغرافي. ولا تثبت أن البنوك تفضّل الدولة على المنشآت، ولا أن المنشآت تُحرم من الائتمان، ولا أن سياسة بعينها أنتجت هذا النمط.</x:v>
      </x:c>
    </x:row>
    <x:row r="368">
      <x:c r="A368" t="str">
        <x:v>/readings/where-bank-balance-sheets-sit/</x:v>
      </x:c>
      <x:c r="B368" t="n">
        <x:v>6</x:v>
      </x:c>
      <x:c r="D368" t="str">
        <x:v>What would change this reading?</x:v>
      </x:c>
      <x:c r="E368" t="str">
        <x:v>Four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a stated reporting perimeter: which banks, and which areas, the consolidated balance sheet covers.
&gt; Until then, read the balance sheet as a picture of where assets sit, not as an account of why.</x:v>
      </x:c>
      <x:c r="F368" t="str">
        <x:v>ما الذي قد يغيّر هذه القراءة؟</x:v>
      </x:c>
      <x:c r="G368" t="str">
        <x:v>من شأن أربعة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نطاق إبلاغ معلن: أي البنوك وأي المناطق تغطيها الميزانية المجمعة.
&gt; وإلى أن تتوافر، تُقرأ الميزانية صورةً لموضع الأصول، لا تفسيرًا لأسبابه.</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Yemen's survey did not ask the mobile-money questions, so the World Bank's values for an account at a financial institution are the same as for any account.</x:v>
      </x:c>
      <x:c r="C629" s="24" t="str">
        <x:v>لم تُطرح أسئلة خدمات الأموال عبر الهاتف في مسح اليمن، لذلك تطابق قيمُ البنك الدولي لحساب لدى مؤسسة مالية قيمَه لأي حساب.</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2">
      <x:c r="A632" s="24" t="str">
        <x:v>UI-VIS-CAT-PAY-ATM-WITHDRAWALS-YER</x:v>
      </x:c>
      <x:c r="B632" s="24" t="str">
        <x:v>ATM withdrawals in rials</x:v>
      </x:c>
      <x:c r="C632" s="24" t="str">
        <x:v>سحوبات الصراف الآلي بالريال اليمني</x:v>
      </x:c>
      <x:c r="D632" s="24" t="str">
        <x:v>Close-out U6. Payment object IND-0007.</x:v>
      </x:c>
    </x:row>
    <x:row r="633">
      <x:c r="A633" s="24" t="str">
        <x:v>UI-VIS-CAT-PAY-ATM-WITHDRAWALS-USD</x:v>
      </x:c>
      <x:c r="B633" s="24" t="str">
        <x:v>ATM withdrawals in US dollars</x:v>
      </x:c>
      <x:c r="C633" s="24" t="str">
        <x:v>سحوبات الصراف الآلي بالدولار الأمريكي</x:v>
      </x:c>
      <x:c r="D633" s="24" t="str">
        <x:v>Close-out U6. Payment object IND-0008.</x:v>
      </x:c>
    </x:row>
    <x:row r="634">
      <x:c r="A634" s="24" t="str">
        <x:v>UI-VIS-CAT-PAY-ATM-WITHDRAWALS-SAR</x:v>
      </x:c>
      <x:c r="B634" s="24" t="str">
        <x:v>ATM withdrawals in Saudi riyals</x:v>
      </x:c>
      <x:c r="C634" s="24" t="str">
        <x:v>سحوبات الصراف الآلي بالريال السعودي</x:v>
      </x:c>
      <x:c r="D634" s="24" t="str">
        <x:v>Close-out U6. Payment object IND-0009.</x:v>
      </x:c>
    </x:row>
    <x:row r="635">
      <x:c r="A635" s="24" t="str">
        <x:v>UI-VIS-CAT-PAY-CHEQUES</x:v>
      </x:c>
      <x:c r="B635" s="24" t="str">
        <x:v>Cheques</x:v>
      </x:c>
      <x:c r="C635" s="24" t="str">
        <x:v>الشيكات</x:v>
      </x:c>
      <x:c r="D635" s="24" t="str">
        <x:v>Close-out U6. Payment object IND-0013.</x:v>
      </x:c>
    </x:row>
    <x:row r="636">
      <x:c r="A636" s="24" t="str">
        <x:v>UI-VIS-CAT-PAY-CHEQUE-VALUE</x:v>
      </x:c>
      <x:c r="B636" s="24" t="str">
        <x:v>Value of cheques</x:v>
      </x:c>
      <x:c r="C636" s="24" t="str">
        <x:v>قيمة الشيكات</x:v>
      </x:c>
      <x:c r="D636" s="24" t="str">
        <x:v>Close-out U6. Payment object IND-0014.</x:v>
      </x:c>
    </x:row>
    <x:row r="637">
      <x:c r="A637" s="24" t="str">
        <x:v>UI-VIS-CAT-PAY-SWIFT-LOCAL</x:v>
      </x:c>
      <x:c r="B637" s="24" t="str">
        <x:v>Local SWIFT transfers</x:v>
      </x:c>
      <x:c r="C637" s="24" t="str">
        <x:v>التحويلات المحلية عبر SWIFT</x:v>
      </x:c>
      <x:c r="D637" s="24" t="str">
        <x:v>Close-out U6. Payment object IND-0015.</x:v>
      </x:c>
    </x:row>
    <x:row r="638">
      <x:c r="A638" s="24" t="str">
        <x:v>UI-VIS-CAT-PAY-SWIFT-LOCAL-VALUE</x:v>
      </x:c>
      <x:c r="B638" s="24" t="str">
        <x:v>Value of local SWIFT transfers</x:v>
      </x:c>
      <x:c r="C638" s="24" t="str">
        <x:v>قيمة التحويلات المحلية عبر SWIFT</x:v>
      </x:c>
      <x:c r="D638" s="24" t="str">
        <x:v>Close-out U6. Payment object IND-0016.</x:v>
      </x:c>
    </x:row>
    <x:row r="639">
      <x:c r="A639" s="24" t="str">
        <x:v>UI-VIS-NOT-PAY-ATM-WITHDRAWALS</x:v>
      </x:c>
      <x:c r="B639" s="24" t="str">
        <x:v>An amount withdrawn in the quarter, not a number of withdrawals or people</x:v>
      </x:c>
      <x:c r="C639" s="24" t="str">
        <x:v>مبلغ سُحب خلال الربع، لا عدد عمليات سحب ولا أشخاص</x:v>
      </x:c>
      <x:c r="D639" s="24" t="str">
        <x:v>Close-out U6. 'Is not' line, IND-0007/0008/0009.</x:v>
      </x:c>
    </x:row>
    <x:row r="640">
      <x:c r="A640" s="24" t="str">
        <x:v>UI-VIS-NOT-PAY-CHEQUES</x:v>
      </x:c>
      <x:c r="B640" s="24" t="str">
        <x:v>The CBY main centre and its Mukalla, Seiyun and Taiz branches only; not people</x:v>
      </x:c>
      <x:c r="C640" s="24" t="str">
        <x:v>المركز الرئيسي للبنك المركزي وفروعه في المكلا وسيئون وتعز فقط؛ لا أشخاص</x:v>
      </x:c>
      <x:c r="D640" s="24" t="str">
        <x:v>Close-out U6. 'Is not' line, IND-0013/0014.</x:v>
      </x:c>
    </x:row>
    <x:row r="641">
      <x:c r="A641" s="24" t="str">
        <x:v>UI-VIS-NOT-PAY-SWIFT-LOCAL</x:v>
      </x:c>
      <x:c r="B641" s="24" t="str">
        <x:v>Transfers between local banks and government institutions; not people</x:v>
      </x:c>
      <x:c r="C641" s="24" t="str">
        <x:v>تحويلات بين البنوك المحلية والجهات الحكومية؛ لا أشخاص</x:v>
      </x:c>
      <x:c r="D641" s="24" t="str">
        <x:v>Close-out U6. 'Is not' line, IND-0015/0016.</x:v>
      </x:c>
    </x:row>
    <x:row r="642">
      <x:c r="A642" s="24" t="str">
        <x:v>UI-VIS-UNIT-YER-BILLION</x:v>
      </x:c>
      <x:c r="B642" s="24" t="str">
        <x:v>YER billion (nominal)</x:v>
      </x:c>
      <x:c r="C642" s="24" t="str">
        <x:v>مليار ريال يمني (بالقيمة الاسمية)</x:v>
      </x:c>
      <x:c r="D642" s="24" t="str">
        <x:v>Close-out U6. Unit YER_billion.</x:v>
      </x:c>
    </x:row>
    <x:row r="643">
      <x:c r="A643" s="24" t="str">
        <x:v>UI-VIS-UNIT-SAR-MILLION</x:v>
      </x:c>
      <x:c r="B643" s="24" t="str">
        <x:v>SAR million</x:v>
      </x:c>
      <x:c r="C643" s="24" t="str">
        <x:v>مليون ريال سعودي</x:v>
      </x:c>
      <x:c r="D643" s="24" t="str">
        <x:v>Close-out U6. Unit SAR_million.</x:v>
      </x:c>
    </x:row>
    <x:row r="644">
      <x:c r="A644" s="24" t="str">
        <x:v>UI-VIS-PANEL-PAY-2025H1</x:v>
      </x:c>
      <x:c r="B644" s="24" t="str">
        <x:v>First half of 2025: payment report (infographic)</x:v>
      </x:c>
      <x:c r="C644" s="24" t="str">
        <x:v>النصف الأول من 2025: تقرير المدفوعات (إنفوغرافيك)</x:v>
      </x:c>
      <x:c r="D644" s="24" t="str">
        <x:v>Close-out U6. Panel heading, VIS-PAYMENT-ANATOMY series h1_objects.</x:v>
      </x:c>
    </x:row>
    <x:row r="645">
      <x:c r="A645" s="24" t="str">
        <x:v>UI-VIS-PANEL-PAY-2024Q3</x:v>
      </x:c>
      <x:c r="B645" s="24" t="str">
        <x:v>Third quarter of 2024: payments bulletin, a separate publication, not compared</x:v>
      </x:c>
      <x:c r="C645" s="24" t="str">
        <x:v>الربع الثالث من 2024: نشرة المدفوعات، وهي إصدار منفصل لا يُقارَن بالإصدار الآخر</x:v>
      </x:c>
      <x:c r="D645" s="24" t="str">
        <x:v>Close-out U6. Panel heading, VIS-PAYMENT-ANATOMY series q3_2024_channels.</x:v>
      </x:c>
    </x:row>
    <x:row r="647">
      <x:c r="A647" s="24" t="str">
        <x:v>Trust navigation</x:v>
      </x:c>
    </x:row>
    <x:row r="648">
      <x:c r="A648" s="24" t="str">
        <x:v>item_order</x:v>
      </x:c>
      <x:c r="B648" s="24" t="str">
        <x:v>label_en</x:v>
      </x:c>
      <x:c r="C648" s="24" t="str">
        <x:v>label_ar</x:v>
      </x:c>
      <x:c r="D648" s="24" t="str">
        <x:v>route</x:v>
      </x:c>
    </x:row>
    <x:row r="649">
      <x:c r="A649" s="24" t="n">
        <x:v>1</x:v>
      </x:c>
      <x:c r="B649" s="24" t="str">
        <x:v>About</x:v>
      </x:c>
      <x:c r="C649" s="24" t="str">
        <x:v>التعريف بهذا المورد</x:v>
      </x:c>
      <x:c r="D649" s="24" t="str">
        <x:v>/about</x:v>
      </x:c>
    </x:row>
    <x:row r="650">
      <x:c r="A650" s="24" t="n">
        <x:v>2</x:v>
      </x:c>
      <x:c r="B650" s="24" t="str">
        <x:v>Corrections</x:v>
      </x:c>
      <x:c r="C650" s="24" t="str">
        <x:v>التصحيحات</x:v>
      </x:c>
      <x:c r="D650" s="24" t="str">
        <x:v>/corrections</x:v>
      </x:c>
    </x:row>
    <x:row r="651">
      <x:c r="A651" s="24" t="n">
        <x:v>3</x:v>
      </x:c>
      <x:c r="B651" s="24" t="str">
        <x:v>Rights and reuse</x:v>
      </x:c>
      <x:c r="C651" s="24" t="str">
        <x:v>حقوق إعادة الاستخدام</x:v>
      </x:c>
      <x:c r="D651" s="24" t="str">
        <x:v>/rights</x:v>
      </x:c>
    </x:row>
    <x:row r="652">
      <x:c r="A652" s="24" t="n">
        <x:v>4</x:v>
      </x:c>
      <x:c r="B652" s="24" t="str">
        <x:v>Accessibility</x:v>
      </x:c>
      <x:c r="C652" s="24" t="str">
        <x:v>إمكانية الوصول</x:v>
      </x:c>
      <x:c r="D652" s="24" t="str">
        <x:v>/accessibility</x:v>
      </x:c>
    </x:row>
    <x:row r="653">
      <x:c r="A653" s="24" t="n">
        <x:v>5</x:v>
      </x:c>
      <x:c r="B653" s="24" t="str">
        <x:v>Privacy</x:v>
      </x:c>
      <x:c r="C653" s="24" t="str">
        <x:v>الخصوصية</x:v>
      </x:c>
      <x:c r="D653" s="24" t="str">
        <x:v>/privacy</x:v>
      </x:c>
    </x:row>
    <x:row r="654">
      <x:c r="A654" s="24" t="n">
        <x:v>6</x:v>
      </x:c>
      <x:c r="B654" s="24" t="str">
        <x:v>Terms of use</x:v>
      </x:c>
      <x:c r="C654" s="24" t="str">
        <x:v>شروط الاستخدام</x:v>
      </x:c>
      <x:c r="D654" s="24" t="str">
        <x:v>/terms</x:v>
      </x:c>
    </x:row>
    <x:row r="655">
      <x:c r="A655" s="24" t="n">
        <x:v>7</x:v>
      </x:c>
      <x:c r="B655" s="24" t="str">
        <x:v>Contact</x:v>
      </x:c>
      <x:c r="C655" s="24" t="str">
        <x:v>التواصل</x:v>
      </x:c>
      <x:c r="D655" s="24" t="str">
        <x:v>/contact</x:v>
      </x:c>
    </x:row>
    <x:row r="657">
      <x:c r="A657" s="24" t="str">
        <x:v>Search aliases</x:v>
      </x:c>
    </x:row>
    <x:row r="658">
      <x:c r="A658" s="24" t="str">
        <x:v>alias_id</x:v>
      </x:c>
      <x:c r="B658" s="24" t="str">
        <x:v>terms_en</x:v>
      </x:c>
      <x:c r="C658" s="24" t="str">
        <x:v>terms_ar</x:v>
      </x:c>
      <x:c r="D658" s="24" t="str">
        <x:v>targets</x:v>
      </x:c>
      <x:c r="E658" s="24" t="str">
        <x:v>boundary_note_en</x:v>
      </x:c>
      <x:c r="F658" s="38" t="str">
        <x:v>boundary_note_ar</x:v>
      </x:c>
    </x:row>
    <x:row r="659">
      <x:c r="A659" s="24" t="str">
        <x:v>SEARCH-ALIAS-001</x:v>
      </x:c>
      <x:c r="B659" s="24" t="str">
        <x:v>law; laws</x:v>
      </x:c>
      <x:c r="C659" s="24" t="str">
        <x:v>قانون; قوانين</x:v>
      </x:c>
      <x:c r="D659" s="24" t="str">
        <x:v>document_type:law | route:/reforms/ | route:/data/</x:v>
      </x:c>
      <x:c r="E659" s="24" t="str">
        <x:v>Discovery aid only: this evidence base holds no law as a source document. It holds regulations, circulars, decisions and official lists issued by the Central Bank of Yemen – Aden, listed on the Data &amp; sources page.</x:v>
      </x:c>
      <x:c r="F659"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60">
      <x:c r="A660" s="24" t="str">
        <x:v>SEARCH-ALIAS-002</x:v>
      </x:c>
      <x:c r="B660" s="24" t="str">
        <x:v>decision; decisions</x:v>
      </x:c>
      <x:c r="C660" s="24" t="str">
        <x:v>قرار; قرارات</x:v>
      </x:c>
      <x:c r="D660" s="24" t="str">
        <x:v>document_type:regulatory decision | route:/reforms/ | route:/providers/</x:v>
      </x:c>
    </x:row>
    <x:row r="661">
      <x:c r="A661" s="24" t="str">
        <x:v>SEARCH-ALIAS-003</x:v>
      </x:c>
      <x:c r="B661" s="24" t="str">
        <x:v>circular; circulars</x:v>
      </x:c>
      <x:c r="C661" s="24" t="str">
        <x:v>تعميم; تعاميم</x:v>
      </x:c>
      <x:c r="D661" s="24" t="str">
        <x:v>document_type:instruction/circular | route:/reforms/</x:v>
      </x:c>
    </x:row>
    <x:row r="662">
      <x:c r="A662" s="24" t="str">
        <x:v>SEARCH-ALIAS-004</x:v>
      </x:c>
      <x:c r="B662" s="24" t="str">
        <x:v>regulation; regulations; instructions</x:v>
      </x:c>
      <x:c r="C662" s="24" t="str">
        <x:v>لائحة; لوائح; تعليمات</x:v>
      </x:c>
      <x:c r="D662" s="24" t="str">
        <x:v>document_type:regulation | document_type:instruction/circular | route:/reforms/ | route:/data/</x:v>
      </x:c>
    </x:row>
    <x:row r="663">
      <x:c r="A663" s="24" t="str">
        <x:v>SEARCH-ALIAS-005</x:v>
      </x:c>
      <x:c r="B663" s="24" t="str">
        <x:v>remittance; remittances</x:v>
      </x:c>
      <x:c r="C663" s="24" t="str">
        <x:v>حوالة; حوالات; تحويلات</x:v>
      </x:c>
      <x:c r="D663" s="24" t="str">
        <x:v>route:/remittances/</x:v>
      </x:c>
    </x:row>
    <x:row r="664">
      <x:c r="A664" s="24" t="str">
        <x:v>SEARCH-ALIAS-006</x:v>
      </x:c>
      <x:c r="B664" s="24" t="str">
        <x:v>exchange company; exchange companies</x:v>
      </x:c>
      <x:c r="C664" s="24" t="str">
        <x:v>صرافة; شركات الصرافة; منشآت الصرافة</x:v>
      </x:c>
      <x:c r="D664" s="24" t="str">
        <x:v>route:/providers/</x:v>
      </x:c>
    </x:row>
    <x:row r="665">
      <x:c r="A665" s="24" t="str">
        <x:v>SEARCH-ALIAS-007</x:v>
      </x:c>
      <x:c r="B665" s="24" t="str">
        <x:v>wallet; e-wallet; e-wallets; electronic wallet</x:v>
      </x:c>
      <x:c r="C665" s="24" t="str">
        <x:v>محفظة; محافظ; المحافظ الإلكترونية; المحفظة الإلكترونية</x:v>
      </x:c>
      <x:c r="D665" s="24" t="str">
        <x:v>route:/payments/</x:v>
      </x:c>
      <x:c r="E665" s="24" t="str">
        <x:v>Discovery aid only: in Arabic «محفظة» means both an e-wallet and a loan portfolio. E-wallet records are under Payments; loan-portfolio records are under Finance (microfinance and banks).</x:v>
      </x:c>
      <x:c r="F665"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66">
      <x:c r="A666" s="24" t="str">
        <x:v>SEARCH-ALIAS-008</x:v>
      </x:c>
      <x:c r="B666" s="24" t="str">
        <x:v>POS; point of sale; POS terminals</x:v>
      </x:c>
      <x:c r="C666" s="24" t="str">
        <x:v>نقاط البيع; نقطة بيع</x:v>
      </x:c>
      <x:c r="D666" s="24" t="str">
        <x:v>route:/payments/</x:v>
      </x:c>
    </x:row>
    <x:row r="667">
      <x:c r="A667" s="24" t="str">
        <x:v>SEARCH-ALIAS-009</x:v>
      </x:c>
      <x:c r="B667" s="24" t="str">
        <x:v>microfinance; MFB; MFI</x:v>
      </x:c>
      <x:c r="C667" s="24" t="str">
        <x:v>التمويل الأصغر; تمويل أصغر</x:v>
      </x:c>
      <x:c r="D667" s="24" t="str">
        <x:v>route:/finance/</x:v>
      </x:c>
    </x:row>
    <x:row r="668">
      <x:c r="A668" s="24" t="str">
        <x:v>SEARCH-ALIAS-010</x:v>
      </x:c>
      <x:c r="B668" s="24" t="str">
        <x:v>exchange rate</x:v>
      </x:c>
      <x:c r="C668" s="24" t="str">
        <x:v>سعر الصرف; أسعار الصرف</x:v>
      </x:c>
      <x:c r="D668" s="24" t="str">
        <x:v>route:/finance/</x:v>
      </x:c>
    </x:row>
    <x:row r="669">
      <x:c r="A669" s="24" t="str">
        <x:v>SEARCH-ALIAS-011</x:v>
      </x:c>
      <x:c r="B669" s="24" t="str">
        <x:v>measurement; measurement agenda; measurement priorities</x:v>
      </x:c>
      <x:c r="C669" s="24" t="str">
        <x:v>أولويات القياس; أجندة القياس; القياس</x:v>
      </x:c>
      <x:c r="D669" s="24" t="str">
        <x:v>route:/measurement/</x:v>
      </x:c>
    </x:row>
    <x:row r="670">
      <x:c r="A670" s="24" t="str">
        <x:v>SEARCH-ALIAS-012</x:v>
      </x:c>
      <x:c r="B670" s="24" t="str">
        <x:v>financial literacy; financial education</x:v>
      </x:c>
      <x:c r="C670" s="24" t="str">
        <x:v>الثقافة المالية; التثقيف المالي</x:v>
      </x:c>
      <x:c r="D670" s="24" t="str">
        <x:v>route:/people/ | route:/reforms/</x:v>
      </x:c>
      <x:c r="E670" s="24" t="str">
        <x:v>Discovery aid only: financial-education activity is not literacy, capability or behaviour.</x:v>
      </x:c>
      <x:c r="F670" s="38" t="str">
        <x:v>وسيلة للعثور على المحتوى فقط: النشاط التثقيفي المالي ليس ثقافة مالية ولا قدرة ولا سلوكًا.</x:v>
      </x:c>
    </x:row>
    <x:row r="671">
      <x:c r="A671" s="24" t="str">
        <x:v>SEARCH-ALIAS-013</x:v>
      </x:c>
      <x:c r="B671" s="24" t="str">
        <x:v>income; income gap</x:v>
      </x:c>
      <x:c r="C671" s="24" t="str">
        <x:v>الدخل; فجوة الدخل</x:v>
      </x:c>
      <x:c r="D671" s="24" t="str">
        <x:v>route:/people/</x:v>
      </x:c>
    </x:row>
    <x:row r="672">
      <x:c r="A672" s="24" t="str">
        <x:v>SEARCH-ALIAS-014</x:v>
      </x:c>
      <x:c r="B672" s="24" t="str">
        <x:v>credit; lending</x:v>
      </x:c>
      <x:c r="C672" s="24" t="str">
        <x:v>الائتمان; الإقراض</x:v>
      </x:c>
      <x:c r="D672" s="24" t="str">
        <x:v>route:/finance/ | route:/firms/</x:v>
      </x:c>
    </x:row>
    <x:row r="673">
      <x:c r="A673" s="24" t="str">
        <x:v>SEARCH-ALIAS-015</x:v>
      </x:c>
      <x:c r="B673" s="24" t="str">
        <x:v>licensed banks; licensed bank; bank list</x:v>
      </x:c>
      <x:c r="C673" s="24" t="str">
        <x:v>البنوك المرخصة; بنوك مرخصة; قائمة البنوك</x:v>
      </x:c>
      <x:c r="D673" s="24" t="str">
        <x:v>route:/providers/</x:v>
      </x:c>
    </x:row>
    <x:row r="674">
      <x:c r="A674" s="24" t="str">
        <x:v>SEARCH-ALIAS-016</x:v>
      </x:c>
      <x:c r="B674" s="24" t="str">
        <x:v>remittance cost; remittance prices; transfer cost</x:v>
      </x:c>
      <x:c r="C674" s="24" t="str">
        <x:v>تكلفة التحويل; تكلفة الحوالات; رسوم التحويل</x:v>
      </x:c>
      <x:c r="D674" s="24" t="str">
        <x:v>route:/remittances/</x:v>
      </x:c>
    </x:row>
    <x:row r="675">
      <x:c r="A675" s="24" t="str">
        <x:v>SEARCH-ALIAS-017</x:v>
      </x:c>
      <x:c r="B675" s="24" t="str">
        <x:v>Aden; CBY Aden; CBY-Aden</x:v>
      </x:c>
      <x:c r="C675" s="24" t="str">
        <x:v>عدن; البنك المركزي في عدن</x:v>
      </x:c>
      <x:c r="D675" s="24" t="str">
        <x:v>route:/providers/ | route:/data/</x:v>
      </x:c>
      <x:c r="E675" s="24" t="str">
        <x:v>Discovery aid only: CBY-Aden lists, decisions and statistics carry the scope of that authority; they do not describe all of Yemen.</x:v>
      </x:c>
      <x:c r="F675" s="38" t="str">
        <x:v>وسيلة للعثور على المحتوى فقط: قوائم البنك المركزي اليمني في عدن وقراراته وإحصاءاته تحمل نطاق تلك السلطة، ولا تصف اليمن كله.</x:v>
      </x:c>
    </x:row>
    <x:row r="676">
      <x:c r="A676" s="24" t="str">
        <x:v>SEARCH-ALIAS-018</x:v>
      </x:c>
      <x:c r="B676" s="24" t="str">
        <x:v>deposits; deposit; bank deposits</x:v>
      </x:c>
      <x:c r="C676" s="24" t="str">
        <x:v>الودائع; ودائع; الودائع المصرفية</x:v>
      </x:c>
      <x:c r="D676" s="24" t="str">
        <x:v>route:/finance/</x:v>
      </x:c>
    </x:row>
    <x:row r="677">
      <x:c r="A677" s="24" t="str">
        <x:v>SEARCH-ALIAS-019</x:v>
      </x:c>
      <x:c r="B677" s="24" t="str">
        <x:v>SME finance; SME; SMEs; MSME; MSMEs; MSME finance; small business finance</x:v>
      </x:c>
      <x:c r="C677" s="24" t="str">
        <x:v>المنشآت الصغيرة والمتوسطة; تمويل المنشآت الصغيرة والمتوسطة; المنشآت الأصغر والصغيرة والمتوسطة; المنشآت الصغرى والصغيرة والمتوسطة</x:v>
      </x:c>
      <x:c r="D677" s="24" t="str">
        <x:v>route:/firms/</x:v>
      </x:c>
    </x:row>
    <x:row r="678">
      <x:c r="A678" s="24" t="str">
        <x:v>SEARCH-ALIAS-020</x:v>
      </x:c>
      <x:c r="B678" s="24" t="str">
        <x:v>RTGS; real-time gross settlement; real time gross settlement</x:v>
      </x:c>
      <x:c r="C678" s="24" t="str">
        <x:v>التسوية الإجمالية الفورية; نظام التسوية الإجمالية الفورية</x:v>
      </x:c>
      <x:c r="D678" s="24" t="str">
        <x:v>route:/payments/ | route:/reforms/</x:v>
      </x:c>
    </x:row>
    <x:row r="679">
      <x:c r="A679" s="24" t="str">
        <x:v>SEARCH-ALIAS-021</x:v>
      </x:c>
      <x:c r="B679" s="24" t="str">
        <x:v>FPS; fast payment system; fast payments</x:v>
      </x:c>
      <x:c r="C679" s="24" t="str">
        <x:v>نظام الدفع السريع; الدفع السريع; المدفوعات السريعة</x:v>
      </x:c>
      <x:c r="D679" s="24" t="str">
        <x:v>route:/payments/ | route:/reforms/</x:v>
      </x:c>
    </x:row>
    <x:row r="680">
      <x:c r="A680" s="24" t="str">
        <x:v>SEARCH-ALIAS-022</x:v>
      </x:c>
      <x:c r="B680" s="24" t="str">
        <x:v>consumer protection; financial consumer protection</x:v>
      </x:c>
      <x:c r="C680" s="24" t="str">
        <x:v>حماية المستهلك; حماية المستهلك المالي</x:v>
      </x:c>
      <x:c r="D680" s="24" t="str">
        <x:v>route:/reforms/</x:v>
      </x:c>
    </x:row>
    <x:row r="681">
      <x:c r="A681" s="24" t="str">
        <x:v>SEARCH-ALIAS-023</x:v>
      </x:c>
      <x:c r="B681" s="24" t="str">
        <x:v>complaints; complaint; complaint handling; redress</x:v>
      </x:c>
      <x:c r="C681" s="24" t="str">
        <x:v>الشكاوى; شكوى; معالجة الشكاوى; التظلم</x:v>
      </x:c>
      <x:c r="D681" s="24" t="str">
        <x:v>route:/reforms/</x:v>
      </x:c>
      <x:c r="E681" s="24" t="str">
        <x:v>Discovery aid only: official guidance and instructions describe a complaint path and time limits, not how complaints are handled in practice.</x:v>
      </x:c>
      <x:c r="F681" s="38" t="str">
        <x:v>وسيلة للعثور على المحتوى فقط: تصف الإرشادات والتعليمات الرسمية مسار الشكوى ومهلها، لا طريقة معالجة الشكاوى فعليًا.</x:v>
      </x:c>
    </x:row>
    <x:row r="682">
      <x:c r="A682" s="24" t="str">
        <x:v>SEARCH-ALIAS-024</x:v>
      </x:c>
      <x:c r="B682" s="24" t="str">
        <x:v>FMIIP; Financial Market Infrastructure and Inclusion Project</x:v>
      </x:c>
      <x:c r="C682" s="24" t="str">
        <x:v>FMIIP; مشروع البنية التحتية للأسواق المالية والشمول المالي; مشروع البنية التحتية للأسواق والشمول المالي</x:v>
      </x:c>
      <x:c r="D682" s="24" t="str">
        <x:v>route:/reforms/ | route:/payments/</x:v>
      </x:c>
    </x:row>
    <x:row r="683">
      <x:c r="A683" s="24" t="str">
        <x:v>SEARCH-ALIAS-025</x:v>
      </x:c>
      <x:c r="B683" s="24" t="str">
        <x:v>women; woman; female; gender; gender gap</x:v>
      </x:c>
      <x:c r="C683" s="24" t="str">
        <x:v>المرأة; امرأة; النساء; نساء; الإناث; النوع الاجتماعي; فجوة النوع الاجتماعي; الفجوة بين الجنسين</x:v>
      </x:c>
      <x:c r="D683" s="24" t="str">
        <x:v>route:/people/</x:v>
      </x:c>
      <x:c r="E683" s="24" t="str">
        <x:v>Discovery aid only: the measured gap comes from one survey wave (the 2021 Findex wave; Yemen fieldwork 2022–23); it is not a 2026 figure and does not establish causes.</x:v>
      </x:c>
      <x:c r="F683"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84">
      <x:c r="A684" s="24" t="str">
        <x:v>SEARCH-ALIAS-026</x:v>
      </x:c>
      <x:c r="B684" s="24" t="str">
        <x:v>humanitarian; cash transfer; cash transfers; social protection; G2P; cash assistance</x:v>
      </x:c>
      <x:c r="C684" s="24" t="str">
        <x:v>إنساني; المساعدات الإنسانية; التحويلات النقدية; الحماية الاجتماعية; مدفوعات الحكومة للأفراد; المساعدات النقدية</x:v>
      </x:c>
      <x:c r="D684" s="24" t="str">
        <x:v>route:/readings/after-transfer-persistence/ | route:/payments/</x:v>
      </x:c>
    </x:row>
    <x:row r="685">
      <x:c r="A685" s="24" t="str">
        <x:v>SEARCH-ALIAS-027</x:v>
      </x:c>
      <x:c r="B685" s="24" t="str">
        <x:v>licence; license; licensing; suspension; closure</x:v>
      </x:c>
      <x:c r="C685" s="24" t="str">
        <x:v>ترخيص; تراخيص; إيقاف; تعليق; إغلاق</x:v>
      </x:c>
      <x:c r="D685" s="24" t="str">
        <x:v>route:/providers/ | document_type:decision/enforcement</x:v>
      </x:c>
    </x:row>
    <x:row r="686">
      <x:c r="A686" s="24" t="str">
        <x:v>SEARCH-ALIAS-028</x:v>
      </x:c>
      <x:c r="B686" s="24" t="str">
        <x:v>internet; connectivity</x:v>
      </x:c>
      <x:c r="C686" s="24" t="str">
        <x:v>الإنترنت; الانترنت; الاتصال; الاتصال بالإنترنت</x:v>
      </x:c>
      <x:c r="D686" s="24" t="str">
        <x:v>route:/measurement/ | route:/people/</x:v>
      </x:c>
    </x:row>
    <x:row r="687">
      <x:c r="A687" s="24" t="str">
        <x:v>SEARCH-ALIAS-029</x:v>
      </x:c>
      <x:c r="B687" s="24" t="str">
        <x:v>Findex; Global Findex</x:v>
      </x:c>
      <x:c r="C687" s="24" t="str">
        <x:v>فيندكس; فندكس; Findex; المؤشر العالمي للشمول المالي</x:v>
      </x:c>
      <x:c r="D687" s="24" t="str">
        <x:v>route:/people/</x:v>
      </x:c>
    </x:row>
    <x:row r="688">
      <x:c r="A688" s="24" t="str">
        <x:v>SEARCH-ALIAS-030</x:v>
      </x:c>
      <x:c r="B688" s="24" t="str">
        <x:v>PSP; PSPs; payment service provider; payment service providers</x:v>
      </x:c>
      <x:c r="C688" s="24" t="str">
        <x:v>مزود خدمات الدفع; مزودو خدمات الدفع; مزودي خدمات الدفع; مقدم خدمات الدفع; مقدمو خدمات الدفع; مقدمي خدمات الدفع</x:v>
      </x:c>
      <x:c r="D688" s="24" t="str">
        <x:v>document_type:regulation | route:/payments/</x:v>
      </x:c>
    </x:row>
    <x:row r="689">
      <x:c r="A689" s="24" t="str">
        <x:v>SEARCH-ALIAS-031</x:v>
      </x:c>
      <x:c r="B689" s="24" t="str">
        <x:v>loan; loans; borrowing; borrow</x:v>
      </x:c>
      <x:c r="C689" s="24" t="str">
        <x:v>قرض; قروض; اقتراض; الاقتراض; سلفة</x:v>
      </x:c>
      <x:c r="D689" s="24" t="str">
        <x:v>route:/finance/ | route:/people/</x:v>
      </x:c>
    </x:row>
    <x:row r="690">
      <x:c r="A690" s="24" t="str">
        <x:v>SEARCH-ALIAS-032</x:v>
      </x:c>
      <x:c r="B690" s="24" t="str">
        <x:v>transfer abroad; send money abroad; international transfer</x:v>
      </x:c>
      <x:c r="C690"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90" s="24" t="str">
        <x:v>route:/remittances/</x:v>
      </x:c>
      <x:c r="E690" s="24" t="str">
        <x:v>Discovery aid only: the remittance evidence here is about money sent to Yemen and transfers within Yemen. It does not cover money sent from Yemen to other countries.</x:v>
      </x:c>
      <x:c r="F690"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691">
      <x:c r="A691" s="24" t="str">
        <x:v>SEARCH-ALIAS-033</x:v>
      </x:c>
      <x:c r="B691" s="24" t="str">
        <x:v>cash-out; cash out; cashout; cash withdrawal</x:v>
      </x:c>
      <x:c r="C691" s="24" t="str">
        <x:v>كاش; كاش آوت; سحب كاش; سحب نقدي</x:v>
      </x:c>
      <x:c r="D691" s="24" t="str">
        <x:v>route:/payments/</x:v>
      </x:c>
    </x:row>
    <x:row r="692">
      <x:c r="A692" s="24" t="str">
        <x:v>SEARCH-ALIAS-034</x:v>
      </x:c>
      <x:c r="B692" s="24" t="str">
        <x:v>explore; explore questions</x:v>
      </x:c>
      <x:c r="C692" s="24" t="str">
        <x:v>استكشف; استكشف الأسئلة</x:v>
      </x:c>
      <x:c r="D692" s="24" t="str">
        <x:v>route:/explore/</x:v>
      </x:c>
      <x:c r="E692" s="24"/>
      <x:c r="F692" s="38"/>
    </x:row>
    <x:row r="693">
      <x:c r="A693" s="24" t="str">
        <x:v>SEARCH-ALIAS-035</x:v>
      </x:c>
      <x:c r="B693" s="24" t="str">
        <x:v>evidence readings; evidence reading; readings; reading; analysis</x:v>
      </x:c>
      <x:c r="C693" s="24" t="str">
        <x:v>قراءات الأدلة; قراءة أدلة; القراءات; قراءة تحليلية; التحليلات</x:v>
      </x:c>
      <x:c r="D693" s="24" t="str">
        <x:v>route:/readings/</x:v>
      </x:c>
      <x:c r="E693" s="24"/>
      <x:c r="F693" s="38"/>
    </x:row>
    <x:row r="694">
      <x:c r="A694" s="24" t="str">
        <x:v>SEARCH-ALIAS-036</x:v>
      </x:c>
      <x:c r="B694" s="24" t="str">
        <x:v>data; data and sources; data &amp; sources; dataset; datasets; download</x:v>
      </x:c>
      <x:c r="C694" s="24" t="str">
        <x:v>البيانات; البيانات والمصادر; بيانات; مجموعة بيانات; تنزيل</x:v>
      </x:c>
      <x:c r="D694" s="24" t="str">
        <x:v>route:/data/</x:v>
      </x:c>
      <x:c r="E694" s="24" t="str">
        <x:v>Discovery aid only: this resource is a directory of sources that links to their publishers; it offers no dataset for download.</x:v>
      </x:c>
      <x:c r="F694" s="38" t="str">
        <x:v>أداة اكتشاف فقط: هذا المورد فهرس للمصادر يحيل إلى ناشريها، ولا يتيح أي مجموعة بيانات للتنزيل.</x:v>
      </x:c>
    </x:row>
    <x:row r="695">
      <x:c r="A695" s="24" t="str">
        <x:v>SEARCH-ALIAS-037</x:v>
      </x:c>
      <x:c r="B695" s="24" t="str">
        <x:v>method and measurement; method &amp; measurement</x:v>
      </x:c>
      <x:c r="C695" s="24" t="str">
        <x:v>المنهج والقياس</x:v>
      </x:c>
      <x:c r="D695" s="24" t="str">
        <x:v>route:/methodology/ | route:/measurement/</x:v>
      </x:c>
      <x:c r="E695" s="24"/>
      <x:c r="F695" s="38"/>
    </x:row>
    <x:row r="696">
      <x:c r="A696" s="24" t="str">
        <x:v>SEARCH-ALIAS-038</x:v>
      </x:c>
      <x:c r="B696" s="24" t="str">
        <x:v>report an issue; report an error; error</x:v>
      </x:c>
      <x:c r="C696" s="24" t="str">
        <x:v>أبلغ عن مشكلة; أبلغ عن خطأ; خطأ</x:v>
      </x:c>
      <x:c r="D696" s="24" t="str">
        <x:v>route:/contact/ | route:/corrections/</x:v>
      </x:c>
      <x:c r="E696" s="24"/>
      <x:c r="F696" s="38"/>
    </x:row>
    <x:row r="697">
      <x:c r="A697" s="24" t="str">
        <x:v>SEARCH-ALIAS-039</x:v>
      </x:c>
      <x:c r="B697" s="24" t="str">
        <x:v>trust; about this resource</x:v>
      </x:c>
      <x:c r="C697" s="24" t="str">
        <x:v>الثقة; عن الموقع; عن المورد; التعريف بالمورد</x:v>
      </x:c>
      <x:c r="D697" s="24" t="str">
        <x:v>route:/about/</x:v>
      </x:c>
      <x:c r="E697" s="24"/>
      <x:c r="F697" s="38"/>
    </x:row>
    <x:row r="698">
      <x:c r="A698" s="24" t="str">
        <x:v>SEARCH-ALIAS-040</x:v>
      </x:c>
      <x:c r="B698" s="24" t="str">
        <x:v>finance; banks; banking</x:v>
      </x:c>
      <x:c r="C698" s="24" t="str">
        <x:v>التمويل; البنوك; المصارف</x:v>
      </x:c>
      <x:c r="D698" s="24" t="str">
        <x:v>route:/finance/</x:v>
      </x:c>
      <x:c r="E698" s="24"/>
      <x:c r="F698" s="38"/>
    </x:row>
    <x:row r="699">
      <x:c r="A699" s="24" t="str">
        <x:v>SEARCH-ALIAS-041</x:v>
      </x:c>
      <x:c r="B699" s="24" t="str">
        <x:v>accessibility; accessibility statement</x:v>
      </x:c>
      <x:c r="C699" s="24" t="str">
        <x:v>إتاحة الوصول; إمكانية الوصول; بيان إمكانية الوصول</x:v>
      </x:c>
      <x:c r="D699" s="24" t="str">
        <x:v>route:/accessibility/</x:v>
      </x:c>
      <x:c r="E699" s="24"/>
      <x:c r="F699" s="38"/>
    </x:row>
    <x:row r="700">
      <x:c r="A700" s="24" t="str">
        <x:v>SEARCH-ALIAS-042</x:v>
      </x:c>
      <x:c r="B700" s="24" t="str">
        <x:v>access; access to services; access points</x:v>
      </x:c>
      <x:c r="C700" s="24" t="str">
        <x:v>الوصول; الوصول إلى الخدمات; نقاط الوصول</x:v>
      </x:c>
      <x:c r="D700" s="24" t="str">
        <x:v>route:/access/</x:v>
      </x:c>
      <x:c r="E700" s="24"/>
      <x:c r="F700" s="38"/>
    </x:row>
    <x:row r="701">
      <x:c r="A701" s="24" t="str">
        <x:v>SEARCH-ALIAS-043</x:v>
      </x:c>
      <x:c r="B701" s="24" t="str">
        <x:v>providers; service providers; financial service providers</x:v>
      </x:c>
      <x:c r="C701" s="24" t="str">
        <x:v>مقدمو الخدمات; مقدمي الخدمات; مقدمو الخدمات المالية</x:v>
      </x:c>
      <x:c r="D701" s="24" t="str">
        <x:v>route:/providers/</x:v>
      </x:c>
      <x:c r="E701" s="24"/>
      <x:c r="F701" s="38"/>
    </x:row>
    <x:row r="702">
      <x:c r="A702" s="24" t="str">
        <x:v>SEARCH-ALIAS-044</x:v>
      </x:c>
      <x:c r="B702" s="24" t="str">
        <x:v>personal remittances; workers' remittances; migrant remittances; remittance fees</x:v>
      </x:c>
      <x:c r="C702" s="24" t="str">
        <x:v>الحوالات; التحويلات الشخصية; تحويلات العاملين; رسوم الحوالات</x:v>
      </x:c>
      <x:c r="D702" s="24" t="str">
        <x:v>route:/remittances/</x:v>
      </x:c>
      <x:c r="E702" s="24"/>
      <x:c r="F702" s="38"/>
    </x:row>
    <x:row r="703">
      <x:c r="A703" s="24" t="str">
        <x:v>SEARCH-ALIAS-045</x:v>
      </x:c>
      <x:c r="B703" s="24" t="str">
        <x:v>licensed; unlicensed; licence withdrawal</x:v>
      </x:c>
      <x:c r="C703" s="24" t="str">
        <x:v>مرخص; غير مرخص; سحب الترخيص</x:v>
      </x:c>
      <x:c r="D703" s="24" t="str">
        <x:v>route:/providers/ | document_type:decision/enforcement</x:v>
      </x:c>
      <x:c r="E703" s="24"/>
      <x:c r="F703" s="38"/>
    </x:row>
    <x:row r="705">
      <x:c r="A705" s="24" t="str">
        <x:v>Terminology register</x:v>
      </x:c>
    </x:row>
    <x:row r="706">
      <x:c r="A706" s="24" t="str">
        <x:v>term_id</x:v>
      </x:c>
      <x:c r="B706" s="24" t="str">
        <x:v>term_en</x:v>
      </x:c>
      <x:c r="C706" s="24" t="str">
        <x:v>term_ar</x:v>
      </x:c>
      <x:c r="D706" s="24" t="str">
        <x:v>definition_en</x:v>
      </x:c>
      <x:c r="E706" s="24" t="str">
        <x:v>definition_ar</x:v>
      </x:c>
      <x:c r="F706" s="38" t="str">
        <x:v>do_not_use</x:v>
      </x:c>
      <x:c r="G706" s="24" t="str">
        <x:v>rule_en</x:v>
      </x:c>
      <x:c r="H706" s="24" t="str">
        <x:v>rule_ar</x:v>
      </x:c>
    </x:row>
    <x:row r="707">
      <x:c r="A707" s="24" t="str">
        <x:v>TERM-001</x:v>
      </x:c>
      <x:c r="B707" s="24" t="str">
        <x:v>remittances</x:v>
      </x:c>
      <x:c r="C707" s="24" t="str">
        <x:v>الحوالات</x:v>
      </x:c>
      <x:c r="D707" s="24" t="str">
        <x:v>Money sent by a person or household to a person or household, from abroad or within Yemen, and aggregates of such flows.</x:v>
      </x:c>
      <x:c r="E707" s="24" t="str">
        <x:v>أموال يرسلها فرد أو أسرة إلى فرد أو أسرة، من الخارج أو داخل اليمن، ومجاميع هذه التدفقات.</x:v>
      </x:c>
      <x:c r="F707" s="38" t="str">
        <x:v>bare «التحويلات» for remittances</x:v>
      </x:c>
      <x:c r="G707" s="24" t="str">
        <x:v>When naming a source's own balance-of-payments line or indicator, quote its label (for example CBY-Aden «التحويلات»; World Bank 'Personal remittances, received', «التحويلات الشخصية الواردة»); in running text, remittances = الحوالات.</x:v>
      </x:c>
      <x:c r="H707"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708">
      <x:c r="A708" s="24" t="str">
        <x:v>TERM-002</x:v>
      </x:c>
      <x:c r="B708" s="24" t="str">
        <x:v>cash transfers</x:v>
      </x:c>
      <x:c r="C708" s="24" t="str">
        <x:v>التحويلات النقدية</x:v>
      </x:c>
      <x:c r="D708" s="24" t="str">
        <x:v>Payments to people from a government, programme, donor or humanitarian agency.</x:v>
      </x:c>
      <x:c r="E708" s="24" t="str">
        <x:v>مدفوعات للأفراد من حكومة أو برنامج أو جهة مانحة أو إنسانية.</x:v>
      </x:c>
      <x:c r="F708" s="38" t="str">
        <x:v>«الحوالات النقدية»; 'remittances' for programme payments</x:v>
      </x:c>
      <x:c r="G708" s="24" t="str">
        <x:v>Always qualified; a cash transfer is not a remittance.</x:v>
      </x:c>
      <x:c r="H708" s="24" t="str">
        <x:v>تُقيَّد دائمًا بالوصف؛ والتحويل النقدي ليس حوالة.</x:v>
      </x:c>
    </x:row>
    <x:row r="709">
      <x:c r="A709" s="24" t="str">
        <x:v>TERM-003</x:v>
      </x:c>
      <x:c r="B709" s="24" t="str">
        <x:v>funds transfer</x:v>
      </x:c>
      <x:c r="C709" s="24" t="str">
        <x:v>التحويل / تحويل الأموال</x:v>
      </x:c>
      <x:c r="D709" s="24" t="str">
        <x:v>The act or regulated activity of moving funds between accounts or providers.</x:v>
      </x:c>
      <x:c r="E709" s="24" t="str">
        <x:v>عملية نقل الأموال بين الحسابات أو مقدمي الخدمات، أو النشاط المنظَّم الذي يؤديها.</x:v>
      </x:c>
      <x:c r="F709" s="38" t="str">
        <x:v>«حوالة» for the act of transfer</x:v>
      </x:c>
      <x:c r="G709" s="24" t="str">
        <x:v>Quote the names of regulated activities and decisions as published.</x:v>
      </x:c>
      <x:c r="H709" s="24" t="str">
        <x:v>تُنقل أسماء الأنشطة المنظمة والقرارات كما نُشرت.</x:v>
      </x:c>
    </x:row>
    <x:row r="710">
      <x:c r="A710" s="24" t="str">
        <x:v>TERM-004</x:v>
      </x:c>
      <x:c r="B710" s="24" t="str">
        <x:v>reuse licence (CC BY 4.0)</x:v>
      </x:c>
      <x:c r="C710" s="24" t="str">
        <x:v>الرخصة (رخصة CC BY 4.0)</x:v>
      </x:c>
      <x:c r="D710" s="24" t="str">
        <x:v>The copyright licence under which CauseWay publishes its own content.</x:v>
      </x:c>
      <x:c r="E710" s="24" t="str">
        <x:v>رخصة حق المؤلف التي تتيح CauseWay بموجبها محتواها الخاص.</x:v>
      </x:c>
      <x:c r="F710" s="38" t="str">
        <x:v>«الترخيص» for the reuse licence; 'license' as a noun</x:v>
      </x:c>
      <x:c r="G710" s="24" t="str">
        <x:v>'licence' is the noun and 'license' the verb; write 'licensed under CC BY 4.0'.</x:v>
      </x:c>
      <x:c r="H710" s="24" t="str">
        <x:v>تُكتب «متاح بموجب رخصة CC BY 4.0».</x:v>
      </x:c>
    </x:row>
    <x:row r="711">
      <x:c r="A711" s="24" t="str">
        <x:v>TERM-005</x:v>
      </x:c>
      <x:c r="B711" s="24" t="str">
        <x:v>regulatory licensing</x:v>
      </x:c>
      <x:c r="C711" s="24" t="str">
        <x:v>الترخيص</x:v>
      </x:c>
      <x:c r="D711" s="24" t="str">
        <x:v>Authorisation by a regulator for an institution to carry out an activity.</x:v>
      </x:c>
      <x:c r="E711" s="24" t="str">
        <x:v>إذن تمنحه جهة رقابية لمؤسسة كي تزاول نشاطًا.</x:v>
      </x:c>
      <x:c r="F711" s="38" t="str">
        <x:v>«الرخصة» in the regulatory sense</x:v>
      </x:c>
      <x:c r="G711" s="24" t="str">
        <x:v>Name the issuer and the date. A licence is not operation. CauseWay holds no regulatory licence and claims none.</x:v>
      </x:c>
      <x:c r="H711" s="24" t="str">
        <x:v>يُذكر مُصدر الترخيص وتاريخه. والترخيص لا يعني التشغيل. ولا تملك CauseWay ترخيصًا رقابيًا ولا تدّعيه.</x:v>
      </x:c>
    </x:row>
    <x:row r="712">
      <x:c r="A712" s="24" t="str">
        <x:v>TERM-006</x:v>
      </x:c>
      <x:c r="B712" s="24" t="str">
        <x:v>licensed (regulatory)</x:v>
      </x:c>
      <x:c r="C712" s="24" t="str">
        <x:v>مرخَّص</x:v>
      </x:c>
      <x:c r="D712" s="24" t="str">
        <x:v>Holding a regulatory licence on a stated date.</x:v>
      </x:c>
      <x:c r="E712" s="24" t="str">
        <x:v>حاصل على ترخيص رقابي في تاريخ محدد.</x:v>
      </x:c>
      <x:c r="F712" s="38" t="str">
        <x:v>«معتمد»; «مسجَّل»</x:v>
      </x:c>
      <x:c r="G712" s="24" t="str">
        <x:v>Unlicensed = غير مرخَّص.</x:v>
      </x:c>
      <x:c r="H712" s="24" t="str">
        <x:v>غير الحاصل على ترخيص = غير مرخَّص.</x:v>
      </x:c>
    </x:row>
    <x:row r="713">
      <x:c r="A713" s="24" t="str">
        <x:v>TERM-007</x:v>
      </x:c>
      <x:c r="B713" s="24" t="str">
        <x:v>listing</x:v>
      </x:c>
      <x:c r="C713" s="24" t="str">
        <x:v>الإدراج في قائمة / مُدرَج</x:v>
      </x:c>
      <x:c r="D713" s="24" t="str">
        <x:v>Appearance on an official list on a date.</x:v>
      </x:c>
      <x:c r="E713" s="24" t="str">
        <x:v>الظهور في قائمة رسمية في تاريخ محدد.</x:v>
      </x:c>
      <x:c r="F713" s="38" t="str">
        <x:v>«التسجيل»; 'listing or licensing' as one concept</x:v>
      </x:c>
      <x:c r="G713" s="24" t="str">
        <x:v>Listing is not licensing, and neither is operation.</x:v>
      </x:c>
      <x:c r="H713" s="24" t="str">
        <x:v>الإدراج ليس ترخيصًا، ولا أيٌّ منهما يعني التشغيل.</x:v>
      </x:c>
    </x:row>
    <x:row r="714">
      <x:c r="A714" s="24" t="str">
        <x:v>TERM-008</x:v>
      </x:c>
      <x:c r="B714" s="24" t="str">
        <x:v>account</x:v>
      </x:c>
      <x:c r="C714" s="24" t="str">
        <x:v>الحساب</x:v>
      </x:c>
      <x:c r="D714" s="24" t="str">
        <x:v>An account held at a bank or another provider.</x:v>
      </x:c>
      <x:c r="E714" s="24" t="str">
        <x:v>حساب لدى بنك أو مقدم خدمة آخر.</x:v>
      </x:c>
      <x:c r="F714" s="38" t="str">
        <x:v>'people' or «الأشخاص» for accounts</x:v>
      </x:c>
      <x:c r="G714" s="24" t="str">
        <x:v>Accounts are not people.</x:v>
      </x:c>
      <x:c r="H714" s="24" t="str">
        <x:v>الحسابات ليست أشخاصًا.</x:v>
      </x:c>
    </x:row>
    <x:row r="715">
      <x:c r="A715" s="24" t="str">
        <x:v>TERM-009</x:v>
      </x:c>
      <x:c r="B715" s="24" t="str">
        <x:v>active (account, wallet, user)</x:v>
      </x:c>
      <x:c r="C715" s="24" t="str">
        <x:v>نشط / نشطة</x:v>
      </x:c>
      <x:c r="D715" s="24" t="str">
        <x:v>Used within the activity window the source defines.</x:v>
      </x:c>
      <x:c r="E715" s="24" t="str">
        <x:v>مستخدَم خلال نافذة النشاط التي يحددها المصدر.</x:v>
      </x:c>
      <x:c r="F715" s="38" t="str">
        <x:v>«فعّال»; «مفعَّل»; «قائم»</x:v>
      </x:c>
      <x:c r="G715" s="24" t="str">
        <x:v>State the source's activity window once. Inactive = غير نشط; dormant = خامل. A branch or point is 'operating' (عامل) only when operation is evidenced.</x:v>
      </x:c>
      <x:c r="H715" s="24" t="str">
        <x:v>تُذكر نافذة النشاط التي يحددها المصدر مرة واحدة. غير النشط = غير نشط؛ والخامل = خامل. ولا يوصف الفرع أو النقطة بأنه عامل إلا إذا ثبت التشغيل.</x:v>
      </x:c>
    </x:row>
    <x:row r="716">
      <x:c r="A716" s="24" t="str">
        <x:v>TERM-010</x:v>
      </x:c>
      <x:c r="B716" s="24" t="str">
        <x:v>subscriber</x:v>
      </x:c>
      <x:c r="C716" s="24" t="str">
        <x:v>المشترك</x:v>
      </x:c>
      <x:c r="D716" s="24" t="str">
        <x:v>A count as labelled by its publisher.</x:v>
      </x:c>
      <x:c r="E716" s="24" t="str">
        <x:v>عدد كما يسميه ناشره.</x:v>
      </x:c>
      <x:c r="F716" s="38" t="str">
        <x:v>«المستخدم»; «العميل» for subscribers</x:v>
      </x:c>
      <x:c r="G716" s="24" t="str">
        <x:v>Subscribers are not users, accounts or people, and are never summed with them.</x:v>
      </x:c>
      <x:c r="H716" s="24" t="str">
        <x:v>المشتركون ليسوا مستخدمين ولا حسابات ولا أشخاصًا، ولا يُجمعون معها.</x:v>
      </x:c>
    </x:row>
    <x:row r="717">
      <x:c r="A717" s="24" t="str">
        <x:v>TERM-011</x:v>
      </x:c>
      <x:c r="B717" s="24" t="str">
        <x:v>evidence record</x:v>
      </x:c>
      <x:c r="C717" s="24" t="str">
        <x:v>سجل الدليل / سجلات الأدلة</x:v>
      </x:c>
      <x:c r="D717" s="24" t="str">
        <x:v>The governed public record of one piece of evidence.</x:v>
      </x:c>
      <x:c r="E717" s="24" t="str">
        <x:v>السجل العام الخاضع للحوكمة لدليل واحد.</x:v>
      </x:c>
      <x:c r="F717" s="38" t="str">
        <x:v>'Evidence Record' in running text; «السجل الدليلي»</x:v>
      </x:c>
      <x:c r="G717" s="24" t="str">
        <x:v>Capital only at the start of a label.</x:v>
      </x:c>
      <x:c r="H717" s="24" t="str">
        <x:v>تبدأ التسمية بها دون تغيير.</x:v>
      </x:c>
    </x:row>
    <x:row r="718">
      <x:c r="A718" s="24" t="str">
        <x:v>TERM-012</x:v>
      </x:c>
      <x:c r="B718" s="24" t="str">
        <x:v>reading</x:v>
      </x:c>
      <x:c r="C718" s="24" t="str">
        <x:v>قراءة تحليلية / القراءات التحليلية</x:v>
      </x:c>
      <x:c r="D718" s="24" t="str">
        <x:v>A bounded argument built across several evidence records.</x:v>
      </x:c>
      <x:c r="E718" s="24" t="str">
        <x:v>حجة محددة النطاق مبنية على عدة سجلات أدلة.</x:v>
      </x:c>
      <x:c r="F718" s="38" t="str">
        <x:v>'Evidence Reading'; «قراءة أدلة»; «التحليلات»</x:v>
      </x:c>
      <x:c r="G718" s="24" t="str">
        <x:v>The section is 'Readings' (القراءات التحليلية); each item is 'Reading' (قراءة تحليلية).</x:v>
      </x:c>
      <x:c r="H718" s="24" t="str">
        <x:v>القسم «القراءات التحليلية»، وكل بند «قراءة تحليلية».</x:v>
      </x:c>
    </x:row>
    <x:row r="719">
      <x:c r="A719" s="24" t="str">
        <x:v>TERM-013</x:v>
      </x:c>
      <x:c r="B719" s="24" t="str">
        <x:v>measurement priority</x:v>
      </x:c>
      <x:c r="C719" s="24" t="str">
        <x:v>أولوية القياس / أولويات القياس</x:v>
      </x:c>
      <x:c r="D719" s="24" t="str">
        <x:v>A decision-valued unknown with the evidence needed to resolve it.</x:v>
      </x:c>
      <x:c r="E719" s="24" t="str">
        <x:v>مجهول مؤثر في القرار مع الدليل اللازم لحسمه.</x:v>
      </x:c>
      <x:c r="F719" s="38" t="str">
        <x:v>'Measurement Agenda'; «أجندة القياس» (search alias only)</x:v>
      </x:c>
      <x:c r="G719" s="24" t="str">
        <x:v>The section is 'Measurement priorities'.</x:v>
      </x:c>
      <x:c r="H719" s="24" t="str">
        <x:v>القسم «أولويات القياس».</x:v>
      </x:c>
    </x:row>
    <x:row r="720">
      <x:c r="A720" s="24" t="str">
        <x:v>TERM-014</x:v>
      </x:c>
      <x:c r="B720" s="24" t="str">
        <x:v>source record</x:v>
      </x:c>
      <x:c r="C720" s="24" t="str">
        <x:v>سجل المصدر</x:v>
      </x:c>
      <x:c r="D720" s="24" t="str">
        <x:v>The directory entry for one source.</x:v>
      </x:c>
      <x:c r="E720" s="24" t="str">
        <x:v>مُدخل الفهرس لمصدر واحد.</x:v>
      </x:c>
      <x:c r="F720" s="38"/>
      <x:c r="G720" s="24" t="str">
        <x:v>The copyable identifier is the source reference (مرجع المصدر).</x:v>
      </x:c>
      <x:c r="H720" s="24" t="str">
        <x:v>المعرّف القابل للنسخ هو «مرجع المصدر».</x:v>
      </x:c>
    </x:row>
    <x:row r="721">
      <x:c r="A721" s="24" t="str">
        <x:v>TERM-015</x:v>
      </x:c>
      <x:c r="B721" s="24" t="str">
        <x:v>this resource</x:v>
      </x:c>
      <x:c r="C721" s="24" t="str">
        <x:v>هذا المورد</x:v>
      </x:c>
      <x:c r="D721" s="24" t="str">
        <x:v>The product's self-reference.</x:v>
      </x:c>
      <x:c r="E721" s="24" t="str">
        <x:v>الإشارة التي يستعملها المنتج إلى نفسه.</x:v>
      </x:c>
      <x:c r="F721" s="38" t="str">
        <x:v>'this site'; «هذا الموقع»; «المنصة»</x:v>
      </x:c>
      <x:c r="G721" s="24" t="str">
        <x:v>'Evidence base' (قاعدة الأدلة) is the governed evidence, written in full.</x:v>
      </x:c>
      <x:c r="H721" s="24" t="str">
        <x:v>«قاعدة الأدلة» هي الأدلة الخاضعة للحوكمة، وتُكتب كاملة.</x:v>
      </x:c>
    </x:row>
    <x:row r="722">
      <x:c r="A722" s="24" t="str">
        <x:v>TERM-016</x:v>
      </x:c>
      <x:c r="B722" s="24" t="str">
        <x:v>people (domain)</x:v>
      </x:c>
      <x:c r="C722" s="24" t="str">
        <x:v>الأفراد</x:v>
      </x:c>
      <x:c r="D722" s="24" t="str">
        <x:v>The people-side domain.</x:v>
      </x:c>
      <x:c r="E722" s="24" t="str">
        <x:v>مجال جانب الأفراد.</x:v>
      </x:c>
      <x:c r="F722" s="38" t="str">
        <x:v>«الناس» in labels</x:v>
      </x:c>
      <x:c r="G722" s="24" t="str">
        <x:v>Use 'adults' (البالغون) when the source counts adults; 'population' (السكان) for the whole population.</x:v>
      </x:c>
      <x:c r="H722" s="24" t="str">
        <x:v>تُستعمل «البالغون» حين يعدّ المصدر البالغين، و«السكان» لمجموع السكان.</x:v>
      </x:c>
    </x:row>
    <x:row r="723">
      <x:c r="A723" s="24" t="str">
        <x:v>TERM-017</x:v>
      </x:c>
      <x:c r="B723" s="24" t="str">
        <x:v>providers</x:v>
      </x:c>
      <x:c r="C723" s="24" t="str">
        <x:v>مقدمو الخدمات المالية</x:v>
      </x:c>
      <x:c r="D723" s="24" t="str">
        <x:v>Institutions that provide financial services.</x:v>
      </x:c>
      <x:c r="E723" s="24" t="str">
        <x:v>المؤسسات التي تقدم الخدمات المالية.</x:v>
      </x:c>
      <x:c r="F723" s="38" t="str">
        <x:v>«مزودو» / «مزودي» (except in quoted regulatory names)</x:v>
      </x:c>
      <x:c r="G723" s="24" t="str">
        <x:v>Case forms (مقدمو / مقدمي) follow grammar.</x:v>
      </x:c>
      <x:c r="H723" s="24" t="str">
        <x:v>تتبع صيغتا «مقدمو» و«مقدمي» قواعد الإعراب.</x:v>
      </x:c>
    </x:row>
    <x:row r="724">
      <x:c r="A724" s="24" t="str">
        <x:v>TERM-018</x:v>
      </x:c>
      <x:c r="B724" s="24" t="str">
        <x:v>access point</x:v>
      </x:c>
      <x:c r="C724" s="24" t="str">
        <x:v>نقطة الوصول المالي</x:v>
      </x:c>
      <x:c r="D724" s="24" t="str">
        <x:v>A location or device where a financial service can be reached.</x:v>
      </x:c>
      <x:c r="E724" s="24" t="str">
        <x:v>موقع أو جهاز يمكن الوصول منه إلى خدمة مالية.</x:v>
      </x:c>
      <x:c r="F724" s="38" t="str">
        <x:v>«نقطة خدمة»; «منفذ»</x:v>
      </x:c>
      <x:c r="G724" s="24" t="str">
        <x:v>A count of access points is not use.</x:v>
      </x:c>
      <x:c r="H724" s="24" t="str">
        <x:v>عدد نقاط الوصول لا يعني الاستخدام.</x:v>
      </x:c>
    </x:row>
    <x:row r="725">
      <x:c r="A725" s="24" t="str">
        <x:v>TERM-019</x:v>
      </x:c>
      <x:c r="B725" s="24" t="str">
        <x:v>web accessibility</x:v>
      </x:c>
      <x:c r="C725" s="24" t="str">
        <x:v>إمكانية الوصول</x:v>
      </x:c>
      <x:c r="D725" s="24" t="str">
        <x:v>Whether people with disabilities can use the pages.</x:v>
      </x:c>
      <x:c r="E725" s="24" t="str">
        <x:v>قدرة الأشخاص ذوي الإعاقة على استخدام الصفحات.</x:v>
      </x:c>
      <x:c r="F725" s="38" t="str">
        <x:v>«إتاحة الوصول» for accessibility</x:v>
      </x:c>
      <x:c r="G725" s="24" t="str">
        <x:v>Keeps accessibility apart from the Access domain (الوصول إلى الخدمات).</x:v>
      </x:c>
      <x:c r="H725" s="24" t="str">
        <x:v>يفصل بين إمكانية الوصول ومجال «الوصول إلى الخدمات».</x:v>
      </x:c>
    </x:row>
    <x:row r="726">
      <x:c r="A726" s="24" t="str">
        <x:v>TERM-020</x:v>
      </x:c>
      <x:c r="B726" s="24" t="str">
        <x:v>sources (section)</x:v>
      </x:c>
      <x:c r="C726" s="24" t="str">
        <x:v>المصادر</x:v>
      </x:c>
      <x:c r="D726" s="24" t="str">
        <x:v>The directory of sources and their original locators.</x:v>
      </x:c>
      <x:c r="E726" s="24" t="str">
        <x:v>فهرس المصادر وروابطها الأصلية.</x:v>
      </x:c>
      <x:c r="F726" s="38" t="str">
        <x:v>'Data &amp; sources' while nothing is downloadable</x:v>
      </x:c>
      <x:c r="G726" s="24" t="str">
        <x:v>Becomes 'Sources and data' (المصادر والبيانات) on the day public_downloads is true.</x:v>
      </x:c>
      <x:c r="H726" s="24" t="str">
        <x:v>تصبح «المصادر والبيانات» يوم يصبح public_downloads صحيحًا.</x:v>
      </x:c>
    </x:row>
    <x:row r="727">
      <x:c r="A727" s="24" t="str">
        <x:v>TERM-021</x:v>
      </x:c>
      <x:c r="B727" s="24" t="str">
        <x:v>missing value</x:v>
      </x:c>
      <x:c r="C727" s="24" t="str">
        <x:v>غير معروف — لا يعني صفرًا</x:v>
      </x:c>
      <x:c r="D727" s="24" t="str">
        <x:v>A value the evidence base does not hold.</x:v>
      </x:c>
      <x:c r="E727" s="24" t="str">
        <x:v>قيمة لا تتضمنها قاعدة الأدلة.</x:v>
      </x:c>
      <x:c r="F727" s="38" t="str">
        <x:v>«ليس صفرًا» (reads as a stated value)</x:v>
      </x:c>
      <x:c r="G727" s="24" t="str">
        <x:v>Missing is not zero.</x:v>
      </x:c>
      <x:c r="H727"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it reflects accounts at financial institutions, because the mobile-money questions were not asked in this survey.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بحسب أحدث تقدير مسحي ينشره البنك الدولي، بلغت نسبة امتلاك الحساب 11.9% بين البالغين في المناطق التي شملها مسح اليمن، وهي تعكس الحسابات لدى المؤسسات المالية، لأن أسئلة خدمات الأموال عبر الهاتف لم تُطرح في هذا المسح.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 In Yemen's survey the mobile-money questions were not asked, so the figure reflects accounts at banks and other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 ولم تُطرح أسئلة خدمات الأموال عبر الهاتف في مسح اليمن، لذلك تعكس النسبة الحسابات لدى البنوك والمؤسسات المالية الأخرى.</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 ولم تُطرح أسئلة خدمات الأموال عبر الهاتف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was not measured in Yemen's survey.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فلم يُقس في مسح اليمن.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that asks the mobile-money questions may show a rise caused by the change of questionnaire,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يطرح أسئلة خدمات الأموال عبر الهاتف ارتفاعًا سببه تغيّر الاستبيان،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/evidence/compare/ | /providers/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Older counts are not comparable either: the FMIIP appraisal document (May 2025) reports money-exchanger branches rising from 876 in 2017 to 3,244 in 2019, citing no source, while an International Growth Centre report (February 2026) presents the same pair as World Bank estimates of entities, including exchange firms and microfinance institutions. One pair of numbers carries two labels, branches or entities, and neither is a roster count, so neither is compared with the 382 entries here.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ولا تُقارن بها أعداد أقدم أيضًا: إذ تذكر وثيقة تقييم مشروع FMIIP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فالزوج الواحد من الأرقام يحمل وصفين، فروعًا أو كيانات، ولا يمثل أيٌّ منهما عدًّا من قائمة رسمية، لذلك لا يُقارن أيٌّ منهما بالقيود الـ382 هنا.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 SRC-WB-FMIIP-P180708; SRC-IGC-AIDDATA-REMIT-YEM-2026</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p."},{"t":"876","k":"v","s":"READ","src":"SRC-WB-FMIIP-P180708","loc":"PAD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2026"},{"t":"3,244","k":"v","s":"READ","src":"SRC-WB-FMIIP-P180708","loc":"PAD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2026"},{"t":"May 2025","k":"d","s":"READ","src":"SRC-WB-FMIIP-P180708","loc":"PAD (Report No. PADHI00396, 22 May 2025), date of the appraisal document"},{"t":"February 2026","k":"d","s":"READ","src":"SRC-IGC-AIDDATA-REMIT-YEM-2026","loc":"International Growth Centre final report YEM-24338, cover date February 2026"}]</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The project's appraisal document (May 2025) also sets a design rule for FPS: all users must be registered clients of financial institutions regulated by CBY-Aden, and walk-in and over-the-counter transactions, in which the sender or the recipient holds no account at a regulated institution, are excluded until a National Risk Assessment is completed and risk-mitigation measures are adopted. This is a design condition, not evidence of operation, and it means that people without such an account could not use FPS.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وتضع وثيقة تقييم المشروع (مايو 2025) أيضًا قاعدة تصميم لنظام الدفع السريع: أن يكون جميع مستخدميه عملاء مسجلين لدى مؤسسات مالية خاضعة لتنظيم البنك المركزي اليمني – عدن، وأن تُستبعد معاملات العملاء العابرين والمعاملات عبر الشبّاك، أي تلك التي لا يملك فيها المرسل أو المستلم حسابًا لدى مؤسسة خاضعة للتنظيم، إلى أن يُستكمل التقييم الوطني للمخاطر وتُعتمد تدابير للحد منها. وهذا شرط تصميم لا دليل على التشغيل، ويعني أن من لا يملك مثل هذا الحساب لن يستطيع استخدام النظام.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line"},{"t":"May 2025","k":"d","s":"READ","src":"SRC-WB-FMIIP-P180708","loc":"PAD (Report No. PADHI00396, 22 May 2025), paragraph 26, printed p.8 (PDF p.18): \"All users of the FPS must be registered clients of regulated financial institutions by CBY Aden\" ... \"Walk-in and over-the-counter transactions ... will be excluded from FPS usage until a comprehensive National Risk Assessment is completed\"; read 10 October 2026"}]</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The 2024 estimate is higher than the 2018 estimate (both from the same document). The 2025 estimate and the 2026–2030 projections come from a later supplement. The IMF series covers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وتقدير 2024 أعلى من تقدير 2018 (والقيمتان من الوثيقة نفسها). أما تقدير 2025 وتوقعات 2026–2030 فمصدرها ملحق لاحق. وتغطي سلسلة الصندوق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were not asked in Yemen's survey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/people/)؛ وإرسال حوالات محلية (17.7%) وتلقيها (31.9%) أو أيٍّ من الأمرين (37.8%)؛ وتلقي أجور (12.4%) أو تحويل حكومي (3.8%) أو مدفوعات عن مبيعات زراعية (28.9%)؛ وإجراء مدفوعة رقمية أو تلقيها (9.3%)؛ وإجراء مدفوعة رقمية لتاجر (0.6%). أما المقاييس الـ16 الأخرى، فلم يُطرح اثنان منها في مسح اليمن،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/people/.</x:v>
      </x:c>
      <x:c r="J40" s="24" t="str">
        <x:v>World Bank reporting year 2022; Global Findex 2021 study; Yemen fieldwork 2022-11-07 to 2023-01-09</x:v>
      </x:c>
      <x:c r="K40" s="28" t="str">
        <x:v>سنة الإبلاغ في بيانات البنك الدولي: 2022؛ دراسة Global Findex 2021؛ العمل الميداني في اليمن من 2022-11-07 إلى 2023-01-09</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that Yemen's survey did not ask.</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لخدمات الأموال عبر الهاتف لم يطرحهما مسح اليمن.</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were not asked in Yemen's survey,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ولم يُطرح سؤالا مقياسين منها (استخدام حساب لخدمات الأموال عبر الهاتف والادخار به) في مسح اليمن، لذلك لا توجد لهما قيمة في هذه الموجة. | وفي هذا السجل، تحمل قيم ادخار أي مبلغ واقتراض أي مبلغ وإجراء مدفوعة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ليس مقياسًا لامتلاك الحساب.</x:v>
      </x:c>
      <x:c r="R40" s="24" t="str">
        <x:v>The panel and its published values apply to the Yemen Findex 2021 study, whose fieldwork ran from 7 November 2022 to 9 January 2023 and which World Bank Data labels 2022. The other measures stay unpublished unless the World Bank publishes a value for them; the two that Yemen's survey did not ask have none for this wave. A newer wave would require an updated panel.</x:v>
      </x:c>
      <x:c r="S40" s="28" t="str">
        <x:v>تنطبق مجموعة المقاييس وقيمها المنشورة على دراسة اليمن ضمن Findex 2021، التي نُفذ عملها الميداني من 7 نوفمبر 2022 إلى 9 يناير 2023 ويعرضها موقع بيانات البنك الدولي لسنة 2022. وتبقى المقاييس الأخرى غير منشورة ما لم ينشر البنك الدولي قيمة لها؛ ولا قيمة في هذه الموجة للمقياسين اللذين لم يطرحهما مسح اليمن.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/people/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7 November 2022 to 9 January 2023, the latest wave available for Yemen.</x:v>
      </x:c>
      <x:c r="S41" s="28" t="str">
        <x:v>لا تُعرض أي أعداد بعد. وستعود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مدفوعة رقمية أو تلقيها، لجميع البالغين.</x:v>
      </x:c>
      <x:c r="J42" s="24" t="str">
        <x:v>World Bank reporting year 2022; Global Findex 2021 study; Yemen fieldwork 2022-11-07 to 2023-01-09</x:v>
      </x:c>
      <x:c r="K42" s="28" t="str">
        <x:v>سنة الإبلاغ في بيانات البنك الدولي: 2022؛ دراسة Global Findex 2021؛ العمل الميداني في اليمن من 2022-11-07 إلى 2023-01-09</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7 November 2022 to 9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7 نوفمبر 2022 إلى 9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2022-11-07 to 2023-01-09</x:v>
      </x:c>
      <x:c r="K43" s="28" t="str">
        <x:v>سنة الإبلاغ في بيانات البنك الدولي: 2022؛ دراسة Global Findex 2021؛ العمل الميداني في اليمن من 2022-11-07 إلى 2023-01-09</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7 November 2022 to 9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7 نوفمبر 2022 إلى 9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2022-11-07 to 2023-01-09</x:v>
      </x:c>
      <x:c r="K44" s="28" t="str">
        <x:v>سنة الإبلاغ في بيانات البنك الدولي: 2022؛ دراسة Global Findex 2021؛ العمل الميداني في اليمن من 2022-11-07 إلى 2023-01-09</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7 November 2022 to 9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7 نوفمبر 2022 إلى 9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2022-11-07 to 2023-01-09</x:v>
      </x:c>
      <x:c r="K45" s="28" t="str">
        <x:v>سنة الإبلاغ في بيانات البنك الدولي: 2022؛ دراسة Global Findex 2021؛ العمل الميداني في اليمن من 2022-11-07 إلى 2023-01-09</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the World Bank publishes most channel values for all adults only, and Yemen's survey did not ask the mobile-money questions.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تُعرض القنوات التي دُفعت أو أُرسلت أو استُلمت عبرها الأموال: فالبنك الدولي ينشر معظم قيم القنوات لجميع البالغين فقط، ولم يطرح مسح اليمن أسئلة خدمات الأموال عبر الهاتف. والفرق بين الفئات لا يثبت سببه.</x:v>
      </x:c>
      <x:c r="R45" s="24" t="str">
        <x:v>The values refer to the Global Findex 2021 wave, which World Bank Data labels 2022, with Yemen fieldwork from 7 November 2022 to 9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7 نوفمبر 2022 إلى 9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Yemen's 2021 study did not ask the mobile-money questions, so its 11.9% also reflects accounts at financial institutions; the 2014 values are rounded; the 2022 value comes from fieldwork conducted from 7 November 2022 to 9 January 2023 that excluded areas holding about 23% of the population. For women, the 2014 wave records 1.7%; the waves are not joined into a trend. The FMIIP appraisal document (May 2025) says that “two percent” of women hold a bank account, and the World Bank's Yemen Financial Sector Diagnostics (2024) that the population is “almost entirely unbanked, including about 90% of men and 99% of women”; neither gives a date or a source, so these are statements, not measurements. Other records give women's shares of particular services; they are not account-ownership rates and are not compared with the Findex waves. The first-half 2025 payment report of the Central Bank of Yemen – Aden shows, in its accounts panel, 81% men, 18% women and 1% companies, shares whose base it does not define (the panel counts accounts, its caption speaks of citizens, and one category is companies), and, among e-wallet subscribers, 84% men and 16% women; none of these is a share of people. A Yemen Microfinance Network table prints 34% as women's share in its total row for the 89,733 active borrowers of nine microfinance providers in February 2021; the providers' own shares range from 11% to 73%. The Small and Micro Enterprise Promotion Service (SMEPS) reports that 44% of the 8,217 enterprises it supported in 2024 were female-owned, a programme figure, not a national one. ACAPS (December 2023) documents the mahram requirement in areas under the de facto authorities, but not its effect on financial services, so mobility rules remain a hypothesis.</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دراسة اليمن لعام 2021 لم تطرح أسئلة هذه الخدمات، فتعكس نسبة 11.9% فيها كذلك الحسابات لدى المؤسسات المالية؛ وقيم 2014 مقرّبة؛ وتأتي قيمة 2022 من عمل ميداني نُفذ من 7 نوفمبر 2022 إلى 9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ولا مصدرًا، فهذان تصريحان لا قياسان. وتعطي سجلات أخرى حصص النساء في خدمات بعينها؛ وهي ليست معدلات لامتلاك الحساب، ولا تُقارن بموجات Findex. فتقرير المدفوعات للنصف الأول من 2025 الصادر عن البنك المركزي اليمني – عدن يُظهر في لوحة الحسابات 81% للرجال و18% للنساء و1% للشركات، وهي حصص لا يحدد التقرير أساسها (فاللوحة تعدّ حسابات، وتعليقها يتحدث عن المواطنين، وإحدى الفئات هي الشركات)، ويُظهر بين مشتركي المحافظ الإلكترونية 84% للرجال و16% للنساء؛ وليس أيٌّ منها حصة من الأشخاص. ويطبع جدول لشبكة اليمن للتمويل الأصغر نسبة 34% بوصفها حصة النساء في صفّ الإجمالي لـ89,733 مقترضًا نشطًا لدى تسعة مقدمي خدمات تمويل أصغر في فبراير 2021؛ وتتراوح حصص مقدمي الخدمات أنفسهم بين 11% و73%. وتفيد وكالة تنمية المنشآت الصغيرة والأصغر (SMEPS) بأن 44% من المنشآت الـ8,217 التي دعمتها في 2024 مملوكة لنساء، وهو رقم برنامجي لا وطني. ويوثّق تقرير ACAPS (ديسمبر 2023) اشتراط المَحرم في المناطق الخاضعة لسلطات الأمر الواقع، لا أثره على الخدمات المالية، فتبقى قيود التنقل فرضية.</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 SRC-WB-FSD-2024-001; SRC-CBY-PAYREPORT-H1-2025; SRC-YMN-IMPACT-2021-001; SRC-SMEPS-AR2024-2025; SRC-ACAPS-MAHRAM-2023-001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document"},{"t":"90%","k":"v","s":"READ","src":"SRC-WB-FSD-2024-001","loc":"Yemen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2026"},{"t":"99%","k":"v","s":"READ","src":"SRC-WB-FSD-2024-001","loc":"Yemen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2026"},{"t":"81%","k":"v","s":"READ","src":"SRC-CBY-PAYREPORT-H1-2025","loc":"page 1, «الحسابات» (Accounts) panel, bottom left: bars ذكر 81% / أنثى 18% / شركات 1%, caption «نسبة عدد المواطنين الذين يمتلكون حسابات بنكية وفق النوع»; re-read 10 October 2026 (close-out CR-13)"},{"t":"18%","k":"v","s":"READ","src":"SRC-CBY-PAYREPORT-H1-2025","loc":"page 1, «الحسابات» (Accounts) panel, bottom left: bars ذكر 81% / أنثى 18% / شركات 1%, caption «نسبة عدد المواطنين الذين يمتلكون حسابات بنكية وفق النوع»; re-read 10 October 2026 (close-out CR-13)"},{"t":"1%","k":"v","s":"READ","src":"SRC-CBY-PAYREPORT-H1-2025","loc":"page 1, «الحسابات» (Accounts) panel, bottom left: bars ذكر 81% / أنثى 18% / شركات 1%, caption «نسبة عدد المواطنين الذين يمتلكون حسابات بنكية وفق النوع»; re-read 10 October 2026 (close-out CR-13)"},{"t":"84%","k":"v","s":"READ","src":"SRC-CBY-PAYREPORT-H1-2025","loc":"page 1, «المحافظ الإلكترونية» (E-wallets) panel, bottom right (NO. of Subscribers 2,102,484): donut 84% male / 16% female, caption «نسبة عدد المشتركين وفق النوع»; re-read 10 October 2026 (close-out CR-13)"},{"t":"16%","k":"v","s":"READ","src":"SRC-CBY-PAYREPORT-H1-2025","loc":"page 1, «المحافظ الإلكترونية» (E-wallets) panel, bottom right (NO. of Subscribers 2,102,484): donut 84% male / 16% female, caption «نسبة عدد المشتركين وفق النوع»; re-read 10 October 2026 (close-out CR-13)"},{"t":"89,733","k":"v","s":"READ","src":"SRC-YMN-IMPACT-2021-001","loc":"Table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2026"},{"t":"34%","k":"v","s":"READ","src":"SRC-YMN-IMPACT-2021-001","loc":"Table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2026"},{"t":"11%","k":"v","s":"READ","src":"SRC-YMN-IMPACT-2021-001","loc":"Table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2026"},{"t":"73%","k":"v","s":"READ","src":"SRC-YMN-IMPACT-2021-001","loc":"Table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2026"},{"t":"February 2021","k":"d","s":"READ","src":"SRC-YMN-IMPACT-2021-001","loc":"Table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2026"},{"t":"8,217","k":"v","s":"READ","src":"SRC-SMEPS-AR2024-2025","loc":"SMEPS Annual Report 2024 (published 8 October 2025), Executive Summary, PDF p.4: \"supporting 8,217 MSMEs, of which 44% were female-owned\"; read 10 October 2026"},{"t":"44%","k":"v","s":"READ","src":"SRC-SMEPS-AR2024-2025","loc":"SMEPS Annual Report 2024 (published 8 October 2025), Executive Summary, PDF p.4: \"supporting 8,217 MSMEs, of which 44% were female-owned\"; read 10 October 2026"},{"t":"December 2023","k":"d","s":"READ","src":"SRC-ACAPS-MAHRAM-2023-001","loc":"ACAPS, 'Yemen: dynamics and effects of the Mahram practice', 14 December 2023 (5 pp.): mahram requirements enforced from early 2022 in areas under the de facto authorities; secondary review and 17 key informant interviews; the text does not mention financial services; read 10 October 2026"}]</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7 November 2022 to 9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7 نوفمبر 2022 إلى 9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مدفوعة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7 November 2022 to 9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7 نوفمبر 2022 إلى 9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7 November 2022 to 9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7 نوفمبر 2022 إلى 9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Two other publishers give other counts, neither taken from a dated list: the appraisal document of the World Bank-financed FMIIP project (May 2025) states that “there are 19 operating banks registered in Yemen, four of which are microfinance banks”, citing no source, the same number of operating banks that an International Growth Centre report gives for 2015; and that report (February 2026) cites government CBY data for 31 registered banks, without a date. The appraisal document's four microfinance banks are not reconciled with the 12 that this resource identifies by name on the CBY-Aden list. They count different things at different dates, and none of the three counts establishes which banks operate.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ويورد ناشران آخران عددين آخرين، لا يستند أيٌّ منهما إلى قائمة مؤرخة: إذ تذكر وثيقة تقييم مشروع FMIIP الممول من البنك الدولي (مايو 2025) أن «هناك 19 بنكًا عاملًا مسجلًا في اليمن، أربعة منها بنوك تمويل أصغر»، من دون ذكر مصدر، وهو العدد نفسه من البنوك العاملة الذي يورده تقرير للمركز الدولي للنمو لعام 2015؛ ويستشهد ذلك التقرير (فبراير 2026) ببيانات البنك المركزي اليمني التابع للحكومة عن 31 بنكًا مسجلًا، من دون تاريخ. ولا تُطابَق بنوك التمويل الأصغر الأربعة في وثيقة التقييم مع البنوك الـ12 التي يحددها هذا المورد بالاسم في قائمة البنك المركزي اليمني – عدن. وهي أعداد لأشياء مختلفة في تواريخ مختلفة، ولا يثبت أيٌّ من الأعداد الثلاثة أي البنوك تعمل.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 SRC-WB-FMIIP-P180708; SRC-IGC-AIDDATA-REMIT-YEM-2026</x:v>
      </x:c>
      <x:c r="Y61" s="24" t="str">
        <x:v>[]</x:v>
      </x:c>
      <x:c r="Z61" t="str">
        <x:v>BOUND_EXACT</x:v>
      </x:c>
      <x:c r="AC61" t="str">
        <x:v>[{"t":"26","k":"v","s":"READ","src":"SRC-CBY-BANKLIST-AR-2026-001","loc":"6a665add29feb.pdf, 1-page scan «كشف بالبنوك المرخصة بالجمهورية اليمنية», column 'م' rows 1..26"},{"t":"3","k":"v","s":"TRIVIAL"},{"t":"3 October 2026","k":"d","s":"SITE"},{"t":"19","k":"v","s":"READ","src":"SRC-WB-FMIIP-P180708","loc":"PAD (Report No. PADHI00396, 22 May 2025), paragraph 7, printed p.2 (PDF p.12): \"Currently, there are 19 operating banks registered in Yemen, four of which are microfinance banks.\" No source or count date; read 10 October 2026"},{"t":"31","k":"v","s":"READ","src":"SRC-IGC-AIDDATA-REMIT-YEM-2026","loc":"International Growth Centre final report YEM-24338 (February 2026), section 3.1, printed p.22: \"In 2015, Yemen had 19 operating banks, excluding the National Bank of Commerce and Investment, which was under liquidation. More recent data from Government CBY indicate an increase in the number of registered banks to 31\"; no date; read 10 October 2026"},{"t":"12","k":"v","s":"SEE:CLM-055"},{"t":"May 2025","k":"d","s":"READ","src":"SRC-WB-FMIIP-P180708","loc":"PAD (Report No. PADHI00396, 22 May 2025), date of the appraisal document"},{"t":"February 2026","k":"d","s":"READ","src":"SRC-IGC-AIDDATA-REMIT-YEM-2026","loc":"International Growth Centre final report YEM-24338, cover date February 2026"}]</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 In Yemen's survey the mobile-money questions were not asked, so the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 ولم تُطرح أسئلة خدمات الأموال عبر الهاتف في مسح اليمن، لذلك تعكس القيم الحسابات لدى المؤسسات المالية.</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H68" s="24" t="str">
        <x:v>Counts and amounts of payment-system items reported by the Central Bank of Yemen – Aden (CBY-Aden), each in its own unit: cards, ATMs, POS terminals, POS transactions, e-wallets, e-wallet subscribers and accounts for the first half of 2025; and POS terminals and transactions, ATMs, the amounts withdrawn from ATMs by currency, cheques and local SWIFT transfers for the third quarter of 2024.</x:v>
      </x:c>
      <x:c r="I68" s="28" t="str">
        <x:v>أعداد عناصر نظام المدفوعات ومبالغها كما أبلغ عنها البنك المركزي اليمني – عدن، كلٌّ بوحدته: البطاقات وأجهزة الصراف الآلي وأجهزة نقاط البيع ومعاملات نقاط البيع والمحافظ الإلكترونية ومشتركوها والحسابات للنصف الأول من 2025؛ وأجهزة نقاط البيع ومعاملاتها وأجهزة الصراف الآلي والمبالغ المسحوبة منها بحسب العملة والشيكات والتحويلات المحلية عبر SWIFT للربع الثالث من 2024.</x:v>
      </x:c>
      <x:c r="J68" s="24" t="str">
        <x:v>2025 H1; 2024 Q3 (a separate publication)</x:v>
      </x:c>
      <x:c r="K68" s="28" t="str">
        <x:v>النصف الأول من 2025؛ والربع الثالث من 2024 (إصدار منفصل)</x:v>
      </x:c>
      <x:c r="L68"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M68" s="28" t="str">
        <x:v>عناصر نظام المدفوعات ضمن نطاق الإبلاغ لدى البنك المركزي اليمني – عدن في كل إصدار، كلٌّ بوحدته؛ وتقتصر شيكات 2024 على المركز الرئيسي للبنك المركزي وفروعه في المكلا وسيئون وتعز، والتحويلات المحلية عبر SWIFT تحويلات بين البنوك المحلية والجهات الحكومية.</x:v>
      </x:c>
      <x:c r="N68" s="24" t="str">
        <x:v>Each count or amount is taken as published — in the first-half 2025 payment report (an infographic) and the third-quarter 2024 payments bulletin of the Central Bank of Yemen – Aden (CBY-Aden) — and kept in its own unit and panel; nothing is added together or combined into an index. A figure whose definition or period cannot be confirmed is held back with its reason, as the 2025 POS transaction count and the 2024 POS value series are.</x:v>
      </x:c>
      <x:c r="O68" s="28" t="str">
        <x:v>يؤخذ كل عدد أو مبلغ كما نُشر — في تقرير المدفوعات للنصف الأول من 2025 (إنفوغرافيك) وفي نشرة المدفوعات للربع الثالث من 2024 الصادرين عن البنك المركزي اليمني – عدن — ويبقى بوحدته وفي لوحته؛ ولا يُجمع شيء ولا يُدمج في مؤشر مركّب. ويُحجب الرقم الذي لا يمكن التحقق من تعريفه أو فترته مع ذكر السبب، كما هو حال عدد معاملات نقاط البيع لعام 2025 وسلسلة قيمة معاملات نقاط البيع لعام 2024.</x:v>
      </x:c>
      <x:c r="P68"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Q68"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R68" s="24" t="str">
        <x:v>The counts refer to the first half of 2025 and, in a separate panel, to the third quarter of 2024. They should not be read as describing a later period unless a newer comparable payment report is published.</x:v>
      </x:c>
      <x:c r="S68" s="28" t="str">
        <x:v>تعود الأعداد إلى النصف الأول من 2025، وفي لوحة منفصلة إلى الربع الثالث من 2024.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Ratios to GDP move with their basis too: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وتتغير النسب إلى الناتج المحلي الإجمالي بتغير أساسها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 SRC-WB-YEM-ECON-MONITOR-2025-SPRING-001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(2021-2025)"},{"t":"38.6%","k":"v","s":"READ","src":"SRC-WB-YEM-ECON-MONITOR-2025-SPRING-001","loc":"Yemen Economic Monitor, Spring 2025 (29 May 2025), Box 3.1 'Impacts of FTO Designation on Yemen's Economy', printed p.19 (PDF p.31): \"Remittances, accounting for 38.6 percent of GDP in 2024, may also be affected.\" The sentence names no remittance value, source or area; read 10 October 2026 (Arabic edition, June 2025, printed p.27: «التي كانت تشكل 38.6% من إجمالي الناتج المحلي في عام 2024»)"},{"t":"around one quarter of GDP","k":"v","s":"READ","src":"SRC-WB-YEM-ECON-MONITOR-2026-SPRING-001","loc":"Yemen Economic Monitor, Spring 2026 (19 May 2026), Outlook and Risks, printed p.15 (PDF p.27): \"As the primary source of household income, accounting for around one quarter of GDP\"; no year, source or area stated; read 10 October 2026"},{"t":"17,580","k":"v","s":"READ","src":"SRC-WB-YEM-ECON-MONITOR-2025-SPRING-001","loc":"Yemen Economic Monitor, Spring 2025, Table 1.1, printed p.16 (PDF p.28), 'GDP nominal in US$ (millions)', 2024 = 17,580; read 10 October 2026"},{"t":"19,046","k":"v","s":"READ","src":"SRC-WB-YEM-ECON-MONITOR-2026-SPRING-001","loc":"Yemen Economic Monitor, Spring 2026, Table 1.1 (continued), printed p.10 (PDF p.22), 'GDP nominal in USD (millions)', 2024 = 19,046; read 10 October 2026"}]</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A Cash Consortium of Yemen study (2026) compared three and six monthly transfers using programme data, with no randomised design and no group of households that received no assistance: the extra three transfers brought modest further gains in food security and less negative coping, and savings could not be compared, because only three households, all of them on six transfers, reported putting any money aside. The appraisal document of the Cash for Nutrition and Livelihoods Project (June 2026) reports from the cash-transfer programme's monitoring that “high transaction costs and long distances to financial service points severely impeded e-wallet uptake”, and plans for recipients to cash out through agents hired by financial service providers, given the scarcity of bank branches and ATMs.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وقارنت دراسة لتحالف النقد في اليمن (Cash Consortium of Yemen،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وبتراجع في استراتيجيات التكيّف السلبية،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برنامج التحويلات النقدية، أن «ارتفاع تكاليف المعاملات وبُعد المسافات عن نقاط الخدمات المالية أعاقا بشدة الإقبال على المحافظ الإلكترونية»، وتخطط لأن يسحب المستفيدون النقد عبر وكلاء يتعاقد معهم مقدمو الخدمات المالية، نظرًا إلى ندرة فروع البنوك وأجهزة الصراف الآلي.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programme the pilot belonged to has run no payment cycle since January 2025, for lack of funds, according to the World Bank's implementation report on the emergency social protection project that finances it (ESPECRP),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The record should not be read as describing later programme reach or use unless newer evidence is published.</x:v>
      </x:c>
      <x:c r="S88" s="28" t="str">
        <x:v>نُشرت أحدث الأدلة في هذا السجل في 2026، أما مواد التجربة فصادرة في مايو 2024. ولم يُجرِ البرنامج الذي جرت ضمنه التجربة أي دورة دفع منذ يناير 2025 بسبب نقص التمويل، وفق تقرير التنفيذ الصادر عن البنك الدولي لمشروع الحماية الاجتماعية الطارئ الذي يموّله (ESPECRP)، 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 SRC-CCY-CASH-DURATION-2026; SRC-WB-ESPECRP-ISR10-2026-001; SRC-WB-YEM-CNL-2026-001</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2024"},{"t":"30 June 2026","k":"d","s":"READ","src":"SRC-WB-ESPECRP-ISR10-2026-001","loc":"ESPECRP ISR sequence 10 (ISR08077), archived 30-Jun-2026, report header and footer"},{"t":"January 2025","k":"d","s":"READ","src":"SRC-WB-ESPECRP-ISR10-2026-001","loc":"ESPECRP ISR sequence 10 (ISR08077), archived 30-Jun-2026, PDF p.4-5, section 6.1, comment on the UCT beneficiary indicators: \"No PCs conducted since Jan 2025 due to lack of funds.\""},{"t":"31 December 2026","k":"d","s":"READ","src":"SRC-WB-ESPECRP-ISR10-2026-001","loc":"ESPECRP ISR sequence 10 (ISR08077), archived 30-Jun-2026, PDF p.17-18, section 8: \"Operation Closing/Cancellation 31-Dec-2026\""},{"t":"2 September 2026","k":"d","s":"READ","src":"SRC-WB-YEM-CNL-2026-001","loc":"Financing Agreement, Grant E734-RY, signature block (UNICEF 28-Aug-2026; IDA 02-Sep-2026), https://documents.worldbank.org/curated/en/099090226095598089/pdf/P514855-f2c338ed-4910-4743-9b3b-564bebfa4be3.pdf; project page https://projects.worldbank.org/en/projects-operations/project-detail/P514855: 'Effective Date September 2, 2026'"},{"t":"June 2026","k":"d","s":"READ","src":"SRC-WB-YEM-CNL-2026-001","loc":"Cash for Nutrition and Livelihoods Project PAD (9 June 2026), https://documents.worldbank.org/curated/en/099061026114019678/pdf/BOSIB-24b35177-1756-452c-a8c5-602402705683.pdf, date of the appraisal document; paragraph 47 (e-wallet uptake) and paragraph 38 (cash-out through agents hired by financial service providers)"},{"t":"three households","k":"v","s":"READ","src":"SRC-CCY-CASH-DURATION-2026","loc":"Cash Consortium of Yemen, 'The More the Merrier?' (2026), key findings p.1 (three vs six monthly transfers); p.3 (no unassisted control group); p.18 (savings: \"only three HHs, all of whom received six monthly transfers, reported a non-zero allocation to savings at endline\"); read 10 October 2026"}]</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x:v>
      </x:c>
      <x:c r="Y109" s="24" t="str">
        <x:v>[]</x:v>
      </x:c>
      <x:c r="Z109" t="str">
        <x:v>BOUND_EXACT</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 An older figure is not comparable either: the appraisal document of the World Bank-financed FMIIP project (May 2025) cites a 2018 World Bank Group survey of 141 firms in which less than 50% of large enterprises, 18.5% of medium-sized businesses and 6.1% of small firms reported access to a functioning bank branch, and 38.8% reported no access to any bank branch. The document does not name the survey further, and its question and sample differ from the 2022 survey's.</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 ولا يقارَن بها رقم أقدم أيضًا: فوثيقة تقييم مشروع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مصرفي يعمل، وأفاد 38.8% بعدم الوصول إلى أي فرع مصرفي. ولا تسمّي الوثيقة المسح بأكثر من ذلك، ويختلف سؤاله وعينته عن سؤال مسح 2022 وعينته.</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 SRC-WB-FMIIP-P180708</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p.139)"},{"t":"139","k":"v","s":"LOCATOR"},{"t":"141","k":"v","s":"LOCATOR"},{"t":"less than 50%","k":"v","s":"READ","src":"SRC-WB-FMIIP-P180708","loc":"PAD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2026"},{"t":"18.5%","k":"v","s":"READ","src":"SRC-WB-FMIIP-P180708","loc":"PAD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2026"},{"t":"6.1%","k":"v","s":"READ","src":"SRC-WB-FMIIP-P180708","loc":"PAD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2026"},{"t":"38.8%","k":"v","s":"READ","src":"SRC-WB-FMIIP-P180708","loc":"PAD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2026"},{"t":"May 2025","k":"d","s":"READ","src":"SRC-WB-FMIIP-P180708","loc":"PAD (Report No. PADHI00396, 22 May 2025), date of the appraisal document"}]</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["/evidence/compare","/providers"]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 · Cash Consortium of Yemen study (2026) and World Bank project documents (2025–2026)</x:v>
      </x:c>
      <x:c r="V14" t="str">
        <x:v>مواد البنك الدولي ومبادرة G2Px، مايو 2024 · الفترة المرجعية لعدد المستفيدين غير مسجلة · دراسة لتحالف النقد في اليمن (Cash Consortium of Yemen، 2026) ووثائق مشروعات البنك الدولي (2025–2026)</x:v>
      </x:c>
      <x:c r="W14" t="str">
        <x:v>2026-09-26</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and an unstated reporting perimeter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كلها تنسجم مع الأرقام نفسها.</x:v>
      </x:c>
      <x:c r="J15" s="24" t="str">
        <x:v>["CBY-BANKS-2026-05","CLM-033"]</x:v>
      </x:c>
      <x:c r="K15" s="24" t="str">
        <x:v>["CBY-BANKS-2026-05","CLM-033"]</x:v>
      </x:c>
      <x:c r="L15" s="24" t="str">
        <x:v>["SRC-CBY-001", "SRC-WB-FMIIP-P180708"]</x:v>
      </x:c>
      <x:c r="M15" s="24" t="str">
        <x:v>[]</x:v>
      </x:c>
      <x:c r="N15" s="24" t="str">
        <x:v>["CBY","banks/PSPs","Government","WB/UN"]</x:v>
      </x:c>
      <x:c r="O15" s="24" t="str">
        <x:v>One month of one balance sheet does not show why banks hold these assets, does not show that firms are refused credit and is not a trend; a fall in the government's share across the 2022 revaluation is consistent with valuation, not new lending.</x:v>
      </x:c>
      <x:c r="P15" s="28" t="str">
        <x:v>لا يُظهر شهر واحد من ميزانية واحدة لماذا تحتفظ البنوك بهذه الأصول، ولا يثبت أن المنشآت تُحرم من الائتمان، وليس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x:v>
      </x:c>
      <x:c r="U15" t="str">
        <x:v>CBY-Aden monthly bulletin, end of May 2026 (Issue No. 54) · December 2022 for the revaluation comparison</x:v>
      </x:c>
      <x:c r="V15" t="str">
        <x:v>النشرة الشهرية للبنك المركزي اليمني – عدن، نهاية مايو 2026 (العدد رقم 54) · ديسمبر 2022 لمقارنة إعادة التقييم</x:v>
      </x:c>
      <x:c r="W15" t="str">
        <x:v>2026-10-10</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row r="73">
      <x:c r="A73" s="24" t="str">
        <x:v>CWR-011</x:v>
      </x:c>
      <x:c r="B73" s="24" t="n">
        <x:v>1</x:v>
      </x:c>
      <x:c r="C73" s="24" t="str">
        <x:v>strongest_reading</x:v>
      </x:c>
      <x:c r="D73" s="24" t="str">
        <x:v>What the evidence supports</x:v>
      </x:c>
      <x:c r="E73" s="28" t="str">
        <x:v>ما الذي تسنده الأدلة</x:v>
      </x:c>
    </x:row>
    <x:row r="74">
      <x:c r="A74" s="24" t="str">
        <x:v>CWR-011</x:v>
      </x:c>
      <x:c r="B74" s="24" t="n">
        <x:v>2</x:v>
      </x:c>
      <x:c r="C74" s="24" t="str">
        <x:v>opening</x:v>
      </x:c>
    </x:row>
    <x:row r="75">
      <x:c r="A75" s="24" t="str">
        <x:v>CWR-011</x:v>
      </x:c>
      <x:c r="B75" s="24" t="n">
        <x:v>3</x:v>
      </x:c>
      <x:c r="C75" s="24" t="str">
        <x:v>hypothesis</x:v>
      </x:c>
    </x:row>
    <x:row r="76">
      <x:c r="A76" s="24" t="str">
        <x:v>CWR-011</x:v>
      </x:c>
      <x:c r="B76" s="24" t="n">
        <x:v>4</x:v>
      </x:c>
      <x:c r="C76" s="24" t="str">
        <x:v>alternatives</x:v>
      </x:c>
    </x:row>
    <x:row r="77">
      <x:c r="A77" s="24" t="str">
        <x:v>CWR-011</x:v>
      </x:c>
      <x:c r="B77" s="24" t="n">
        <x:v>5</x:v>
      </x:c>
      <x:c r="C77" s="24" t="str">
        <x:v>boundary</x:v>
      </x:c>
    </x:row>
    <x:row r="78">
      <x:c r="A78" s="24" t="str">
        <x:v>CWR-011</x:v>
      </x:c>
      <x:c r="B78" s="24" t="n">
        <x:v>6</x:v>
      </x:c>
      <x:c r="C78"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/people/); the channels through which the money moved are not shown. Adding a finance module to an existing survey is one route to such a baseline. The Multiple Indicator Cluster Survey (MICS) 2022–2023 of the Central Statistical Organization and UNICEF was designed for all 22 governorates (41 enumeration areas could not be visited) and asks one household question on finance, whether any member has a bank account, which its findings report does not tabulate. The World Bank's mobile phone survey of August–September 2022 interviewed 1,297 adults aged 18 and over with mobile phones and records each respondent's area of control, the internationally recognized government or the de facto authorities.</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/people/)؛ ولا تُعرض القنوات التي انتقلت عبرها الأموال. ومن طرق بناء خط الأساس هذا إضافة وحدة عن الخدمات المالية إلى مسح قائم. فقد صُمّم المسح العنقودي متعدد المؤشرات (MICS) 2022–2023 للجهاز المركزي للإحصاء واليونيسف ليشمل المحافظات الـ22 كلها (وتعذرت زيارة 41 منطقة عدّ)، ويطرح على الأسرة سؤالًا واحدًا عن الخدمات المالية، هو ما إذا كان أي فرد فيها يملك حسابًا مصرفيًا، ولا يعرض تقرير نتائجه جدولًا له. وأجرى مسح الهاتف المحمول الذي نفذه البنك الدولي في أغسطس–سبتمبر 2022 مقابلات مع 1,297 بالغًا بعمر 18 سنة فأكثر ممن يملكون هواتف محمولة، ويسجل منطقة السيطرة لكل مستجيب: الحكومة المعترف بها دوليًا أو سلطات الأمر الواقع.</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Yemen's 2021 study did not ask the mobile-money questions: if a new survey asks them, part of any rise in account ownership may come from the wider questionnaire,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ولم تطرح دراسة اليمن لعام 2021 أسئلة خدمات الأموال عبر الهاتف: فإذا طرحها مسح جديد فقد يأتي جزء من أي ارتفاع في امتلاك الحساب من اتساع الاستبيان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 The IMF Financial Access Survey, as published in the World Bank's World Development Indicators (series FB.ATM.TOTL.P5, FB.CBK.BRCH.P5 and FB.CBK.DPTR.P3), last reports Yemen for 2015: 5.81 ATMs and 1.48 commercial bank branches per 100,000 adults, and 103.1 depositors with commercial banks per 1,000 adults. The series stops in 2015 and its population denominators are the IMF's; the values are dated historical context, not a current measure of access.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 ويعود آخر ما ينشره مسح الوصول المالي لصندوق النقد الدولي عن اليمن، كما تعرضه مؤشرات التنمية العالمية للبنك الدولي (السلاسل FB.ATM.TOTL.P5 وFB.CBK.BRCH.P5 وFB.CBK.DPTR.P3)، إلى عام 2015: 5.81 جهاز صراف آلي و1.48 فرع للبنوك التجارية لكل 100,000 بالغ، و103.1 مودِع لدى البنوك التجارية لكل 1,000 بالغ. وتتوقف السلسلة في 2015، وقواعد الاحتساب السكانية فيها هي التي يعتمدها الصندوق؛ فهذه القيم سياق تاريخي مؤرخ، لا مقياس حالي للوصول.</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 An existing instrument records respondents in both areas of control: the World Bank's mobile phone survey of August–September 2022 records each respondent's area of control and asks respondents to rank their three most important sources of income; a later round could add questions on how transfers are received and used.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 وتوجد أداة قائمة تسجل مستجيبين في منطقتي السيطرة كلتيهما: إذ يسجل مسح الهاتف المحمول الذي أجراه البنك الدولي في أغسطس–سبتمبر 2022 منطقة السيطرة لكل مستجيب، ويطلب من المستجيبين ترتيب أهم ثلاثة مصادر لدخلهم؛ ويمكن أن تضيف جولة لاحقة أسئلة عن طريقة استلام التحويلات واستخدامها.</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in two publications kept apart: cards, accounts and subscribers are not people or active users, transactions are not unique users, and amounts withdrawn are not numbers of withdrawals.</x:v>
      </x:c>
      <x:c r="H15" s="28" t="str">
        <x:v>ما يقيسه كل عدد، في إصدارين يبقيان منفصلين: البطاقات والحسابات والمشتركون ليسوا أشخاصًا ولا مستخدمين نشطين، والمعاملات ليست مستخدمين فريدين، والمبالغ المسحوبة ليست أعدادًا لعمليات السحب.</x:v>
      </x:c>
      <x:c r="I15" s="24" t="str">
        <x:v>Separates cards, ATMs, POS terminals, transactions, wallets, subscribers, accounts, amounts withdrawn, cheques and SWIFT transfers by measurement object, and the 2025 report from the 2024 bulletin, before any comparison is made.</x:v>
      </x:c>
      <x:c r="J15" s="28" t="str">
        <x:v>يفصل البطاقات وأجهزة الصراف الآلي وأجهزة نقاط البيع والمعاملات والمحافظ والمشتركين والحسابات والمبالغ المسحوبة والشيكات وتحويلات SWIFT بحسب موضوع القياس، ويفصل تقرير 2025 عن نشرة 2024، قبل إجراء أي مقارنة.</x:v>
      </x:c>
      <x:c r="K15" s="24" t="str">
        <x:v>2025 H1; 2024 Q3 (separate panel)</x:v>
      </x:c>
      <x:c r="L15" s="24" t="str">
        <x:v>HIGH_SEMANTIC</x:v>
      </x:c>
      <x:c r="M15" s="24" t="str">
        <x:v>2025 H1 snapshot; 2024 Q3 bulletin (separate panel)</x:v>
      </x:c>
      <x:c r="N15" s="24" t="str">
        <x:v>2025 H1 CBY cards, ATMs, POS, transactions, wallets, subscribers, accounts; 2024 Q3 CBY POS, ATMs, ATM withdrawals, cheques, local SWIFT</x:v>
      </x:c>
      <x:c r="O15" s="24" t="str">
        <x:v>source-native counts/values by object type</x:v>
      </x:c>
      <x:c r="P15"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Q15" s="24" t="str">
        <x:v>2025 H1; 2024 Q3</x:v>
      </x:c>
      <x:c r="R15" s="24" t="str">
        <x:v>Metric cards remain separate; no aggregation to a digital-inclusion score.</x:v>
      </x:c>
      <x:c r="S15"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T15"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U15"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2022-11-07 to 2023-01-09</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2022-11-07 إلى 2023-01-09</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2022-11-07 to 2023-01-09</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2022-11-07 إلى 2023-01-09</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2022-11-07 to 2023-01-09</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the World Bank publishes most channel values for all adults only, and Yemen's survey did not ask the mobile-money questions.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تُعرض القنوات التي دُفعت أو أُرسلت أو استُلمت عبرها الأموال: فالبنك الدولي ينشر معظم قيم القنوات لجميع البالغين فقط، ولم يطرح مسح اليمن أسئلة خدمات الأموال عبر الهاتف.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x:v>
      </x:c>
      <x:c r="W43" s="24" t="str">
        <x:v>["/people", "/remittances"]</x:v>
      </x:c>
      <x:c r="X43" t="str">
        <x:v>سنة الإبلاغ في بيانات البنك الدولي: 2022؛ دراسة Global Findex 2021؛ العمل الميداني في اليمن من 2022-11-07 إلى 2023-01-09</x:v>
      </x:c>
      <x:c r="Y43" t="str">
        <x:v>البالغون بعمر 15 سنة فأكثر في المناطق التي شملها المسح؛ وكل فئة كما يعرّفها البنك الدولي</x:v>
      </x:c>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row r="46">
      <x:c r="A46"/>
      <x:c r="B46"/>
      <x:c r="C46"/>
      <x:c r="D46"/>
      <x:c r="E46"/>
      <x:c r="F46"/>
      <x:c r="G46"/>
      <x:c r="H46"/>
      <x:c r="I46"/>
      <x:c r="J46"/>
      <x:c r="K46"/>
      <x:c r="L46"/>
      <x:c r="M46"/>
      <x:c r="N46"/>
      <x:c r="O46"/>
      <x:c r="P46"/>
      <x:c r="Q46"/>
      <x:c r="R46"/>
      <x:c r="S46"/>
      <x:c r="T46"/>
      <x:c r="U46"/>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الحوالات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الحوالات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الحوالات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x:c r="S27"/>
      <x:c r="T27"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t="str">
        <x:v>https://www.calpnetwork.org/wp-content/uploads/2024/11/SAM_Multiplie-Effect-of-Cash-Study.pdf</x:v>
      </x:c>
      <x:c r="C119" s="24" t="str"/>
      <x:c r="D119" s="24" t="str">
        <x:v>DS-K04-SOURCE-DEEP-INTAKE,DS-K04-CASH-FIN-TRANSMISSION</x:v>
      </x:c>
      <x:c r="E119" s="24" t="n">
        <x:v>2</x:v>
      </x:c>
      <x:c r="F119" s="168" t="str">
        <x:v>The Multiplier Effect of Multipurpose Cash Assistance in Ad' Dhali and Ja'ar Sub-districts in Yemen (2024)</x:v>
      </x:c>
      <x:c r="G119" s="168" t="str">
        <x:v>Cash Consortium of Yemen (CCY)</x:v>
      </x:c>
      <x:c r="H119" s="168"/>
      <x:c r="I119" s="168"/>
      <x:c r="J119" s="168"/>
      <x:c r="K119" s="168" t="str">
        <x:v>CITATION_CARD</x:v>
      </x:c>
      <x:c r="L119" s="168" t="str">
        <x:v>الأثر المضاعف للمساعدات النقدية متعددة الأغراض في عزلتَي الضالع وجعار باليمن (2024)</x:v>
      </x:c>
      <x:c r="M119" s="168"/>
      <x:c r="N119" s="168"/>
      <x:c r="O119" s="168"/>
      <x:c r="P119"/>
      <x:c r="Q119" t="str">
        <x:v>Cash Consortium of Yemen, with REACH (cover)</x:v>
      </x:c>
      <x:c r="R119" t="str">
        <x:v>CALP Network</x:v>
      </x:c>
      <x:c r="S119" t="str">
        <x:v>NOT_ASSESSED</x:v>
      </x:c>
      <x:c r="V119" t="str">
        <x:v>2026-10-10</x:v>
      </x:c>
      <x:c r="Y119" t="str">
        <x:v>Cash Consortium of Yemen (CCY)</x:v>
      </x:c>
      <x:c r="Z119" t="str">
        <x:v>Research or policy paper</x:v>
      </x:c>
      <x:c r="AA119" t="str">
        <x:v>ورقة بحثية أو سياساتية</x:v>
      </x:c>
      <x:c r="AB119" t="str">
        <x:v>2024</x:v>
      </x:c>
    </x:row>
    <x:row r="120">
      <x:c r="A120" s="24" t="str">
        <x:v>SRC-CCY-CASH-DURATION-2026</x:v>
      </x:c>
      <x:c r="B120" s="24" t="str">
        <x:v>https://www.calpnetwork.org/gf-uploads/2026/06/Cash-Duration-Report_CCY_2026.06.22.pdf</x:v>
      </x:c>
      <x:c r="C120" s="24" t="str"/>
      <x:c r="D120" s="24" t="str">
        <x:v>DS-K04-SOURCE-DEEP-INTAKE,DS-K04-CASH-FIN-TRANSMISSION</x:v>
      </x:c>
      <x:c r="E120" s="24" t="n">
        <x:v>2</x:v>
      </x:c>
      <x:c r="F120" s="168" t="str">
        <x:v>The More the Merrier? Comparing Outcomes and Preferences for Three- vs. Six-Month Cash Transfers (2026)</x:v>
      </x:c>
      <x:c r="G120" s="168" t="str">
        <x:v>Cash Consortium of Yemen (CCY)</x:v>
      </x:c>
      <x:c r="H120" s="168"/>
      <x:c r="I120" s="168"/>
      <x:c r="J120" s="168"/>
      <x:c r="K120" s="168" t="str">
        <x:v>CITATION_CARD</x:v>
      </x:c>
      <x:c r="L120" s="168" t="str">
        <x:v>كلما زاد كان أفضل؟ مقارنة النتائج والتفضيلات بين التحويلات النقدية لثلاثة أشهر ولستة أشهر (2026)</x:v>
      </x:c>
      <x:c r="M120" s="168"/>
      <x:c r="N120" s="168"/>
      <x:c r="O120" s="168"/>
      <x:c r="P120"/>
      <x:c r="Q120" t="str">
        <x:v>Cash Consortium of Yemen, with Crisis Analysis (cover)</x:v>
      </x:c>
      <x:c r="R120" t="str">
        <x:v>CALP Network</x:v>
      </x:c>
      <x:c r="S120" t="str">
        <x:v>NOT_ASSESSED</x:v>
      </x:c>
      <x:c r="V120" t="str">
        <x:v>2026-10-10</x:v>
      </x:c>
      <x:c r="Y120" t="str">
        <x:v>Cash Consortium of Yemen (CCY)</x:v>
      </x:c>
      <x:c r="Z120" t="str">
        <x:v>Research or policy paper</x:v>
      </x:c>
      <x:c r="AA120" t="str">
        <x:v>ورقة بحثية أو سياساتية</x:v>
      </x:c>
      <x:c r="AB120" t="str">
        <x:v>2026</x:v>
      </x:c>
    </x:row>
    <x:row r="121">
      <x:c r="A121" s="24" t="str">
        <x:v>SRC-CCY-ISP-2024</x:v>
      </x:c>
      <x:c r="B121" s="24" t="str">
        <x:v>https://reliefweb.int/report/yemen/unseen-assistance-measuring-informal-social-protection-yemen</x:v>
      </x:c>
      <x:c r="C121" s="24" t="str">
        <x:v>["https://reliefweb.int/attachments/0e243818-f7a7-4d4e-bc03-dcec416b645b/The%20Unseen%20Assistance_Measuring%20Informal%20Social%20Protection%20in%20Yemen.pdf"]</x:v>
      </x:c>
      <x:c r="D121" s="24" t="str">
        <x:v>DS-K04-SOURCE-DEEP-INTAKE,DS-K04-CASH-FIN-TRANSMISSION</x:v>
      </x:c>
      <x:c r="E121" s="24" t="n">
        <x:v>2</x:v>
      </x:c>
      <x:c r="F121" s="168" t="str">
        <x:v>The Unseen Assistance: Measuring Informal Social Protection in Yemen (November 2024)</x:v>
      </x:c>
      <x:c r="G121" s="168" t="str">
        <x:v>Cash Consortium of Yemen (CCY)</x:v>
      </x:c>
      <x:c r="H121" s="168"/>
      <x:c r="I121" s="168"/>
      <x:c r="J121" s="168"/>
      <x:c r="K121" s="168" t="str">
        <x:v>CITATION_CARD</x:v>
      </x:c>
      <x:c r="L121" s="168" t="str">
        <x:v>المساعدة غير المرئية: قياس الحماية الاجتماعية غير الرسمية في اليمن (نوفمبر 2024)</x:v>
      </x:c>
      <x:c r="M121" s="168"/>
      <x:c r="N121" s="168"/>
      <x:c r="O121" s="168"/>
      <x:c r="P121"/>
      <x:c r="Q121" t="str">
        <x:v>Cash Consortium of Yemen and partners (ReliefWeb source list)</x:v>
      </x:c>
      <x:c r="R121" t="str">
        <x:v>ReliefWeb</x:v>
      </x:c>
      <x:c r="S121" t="str">
        <x:v>NOT_ASSESSED</x:v>
      </x:c>
      <x:c r="V121" t="str">
        <x:v>2026-10-10</x:v>
      </x:c>
      <x:c r="Y121" t="str">
        <x:v>Cash Consortium of Yemen (CCY)</x:v>
      </x:c>
      <x:c r="Z121" t="str">
        <x:v>Research or policy paper</x:v>
      </x:c>
      <x:c r="AA121" t="str">
        <x:v>ورقة بحثية أو سياساتية</x:v>
      </x:c>
      <x:c r="AB121" t="str">
        <x:v>2024-11-14</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with Crisis Analysis MENA/Europe (cover)</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 "https://documents.worldbank.org/curated/en/099052825174515006/pdf/BOSIB-524dd7c7-d52c-4876-80ed-1e3ea9df2463.pdf"]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t="str">
        <x:v>["https://projects.worldbank.org/en/projects-operations/project-detail/P514855", "https://documents.worldbank.org/curated/en/099061026114019678/pdf/BOSIB-24b35177-1756-452c-a8c5-602402705683.pdf", "https://documents.worldbank.org/curated/en/099090226095598089/pdf/P514855-f2c338ed-4910-4743-9b3b-564bebfa4be3.pdf"]</x:v>
      </x:c>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row r="173">
      <x:c r="A173" t="str">
        <x:v>SRC-WB-WDI-FAS-YEM-001</x:v>
      </x:c>
      <x:c r="B173" t="str">
        <x:v>https://data.worldbank.org/indicator/FB.ATM.TOTL.P5?locations=YE</x:v>
      </x:c>
      <x:c r="C173" t="str">
        <x:v>["https://data.worldbank.org/indicator/FB.CBK.BRCH.P5?locations=YE", "https://data.worldbank.org/indicator/FB.CBK.DPTR.P3?locations=YE"]</x:v>
      </x:c>
      <x:c r="D173" t="str">
        <x:v>RESOURCE_LIBRARY_ONLY__MEASUREMENT_AGENDA_CONTEXT</x:v>
      </x:c>
      <x:c r="E173" t="n">
        <x:v>0</x:v>
      </x:c>
      <x:c r="F173" t="str">
        <x:v>World Development Indicators: IMF Financial Access Survey series for Yemen (ATMs, commercial bank branches, depositors; last year 2015)</x:v>
      </x:c>
      <x:c r="G173" t="str">
        <x:v>World Bank</x:v>
      </x:c>
      <x:c r="K173" t="str">
        <x:v>CITATION_CARD</x:v>
      </x:c>
      <x:c r="L173" t="str">
        <x:v>مؤشرات التنمية العالمية: سلاسل مسح الوصول المالي لصندوق النقد الدولي لليمن (أجهزة الصراف الآلي وفروع البنوك التجارية والمودعون؛ آخر سنة 2015)</x:v>
      </x:c>
      <x:c r="Q173" t="str">
        <x:v>International Monetary Fund, Financial Access Survey (data); World Bank, World Development Indicators</x:v>
      </x:c>
      <x:c r="S173" t="str">
        <x:v>NOT_ASSESSED</x:v>
      </x:c>
      <x:c r="V173" t="str">
        <x:v>2026-10-10</x:v>
      </x:c>
      <x:c r="Y173" t="str">
        <x:v>البنك الدولي</x:v>
      </x:c>
      <x:c r="Z173" t="str">
        <x:v>Survey dataset or indicator</x:v>
      </x:c>
      <x:c r="AA173" t="str">
        <x:v>مسح أو مؤشر</x:v>
      </x:c>
      <x:c r="AB173" t="str">
        <x:v>2026-10-08</x:v>
      </x:c>
    </x:row>
    <x:row r="174">
      <x:c r="A174" t="str">
        <x:v>SRC-ACAPS-MAHRAM-2023-001</x:v>
      </x:c>
      <x:c r="B174" t="str">
        <x:v>https://www.acaps.org/fileadmin/Data_Product/Main_media/20231214_ACAPS_Yemen_Analysis_Hub_Dynamics_and_effects_of_the_Mahram_practice_in_Yemen_01.pdf</x:v>
      </x:c>
      <x:c r="C174" t="str">
        <x:v>["https://acaps.org/en/countries/archives/detail/yemen-dynamics-and-effects-of-the-mahram-practice-in-yemen"]</x:v>
      </x:c>
      <x:c r="D174" t="str">
        <x:v>RESOURCE_LIBRARY_ONLY__GENDER_HYPOTHESIS_CONTEXT</x:v>
      </x:c>
      <x:c r="E174" t="n">
        <x:v>0</x:v>
      </x:c>
      <x:c r="F174" t="str">
        <x:v>Yemen: dynamics and effects of the Mahram practice (December 2023)</x:v>
      </x:c>
      <x:c r="G174" t="str">
        <x:v>ACAPS (Yemen Analysis Hub)</x:v>
      </x:c>
      <x:c r="K174" t="str">
        <x:v>CITATION_CARD</x:v>
      </x:c>
      <x:c r="L174" t="str">
        <x:v>اليمن: ديناميات ممارسة المَحرم وآثارها (ديسمبر 2023)</x:v>
      </x:c>
      <x:c r="S174" t="str">
        <x:v>NOT_ASSESSED</x:v>
      </x:c>
      <x:c r="V174" t="str">
        <x:v>2026-10-10</x:v>
      </x:c>
      <x:c r="Y174" t="str">
        <x:v>ACAPS (مركز تحليل اليمن)</x:v>
      </x:c>
      <x:c r="Z174" t="str">
        <x:v>Research or policy paper</x:v>
      </x:c>
      <x:c r="AA174" t="str">
        <x:v>ورقة بحثية أو سياساتية</x:v>
      </x:c>
      <x:c r="AB174" t="str">
        <x:v>2023-12-14</x:v>
      </x:c>
    </x:row>
    <x:row r="175">
      <x:c r="A175" t="str">
        <x:v>SRC-WB-YEM-ECON-MONITOR-2025-SPRING-001</x:v>
      </x:c>
      <x:c r="B175" t="str">
        <x:v>https://documents.worldbank.org/curated/en/099822505292530706</x:v>
      </x:c>
      <x:c r="C175" t="str">
        <x:v>["https://documents.worldbank.org/curated/en/099822505292530706/pdf/IDU-7009880b-d070-472d-9bf2-5cc72a3fc75d.pdf", "https://documents.worldbank.org/curated/en/099103206302561755/pdf/IDU-7e9c81f8-af50-45f0-b454-e73ae077727e.pdf"]</x:v>
      </x:c>
      <x:c r="D175" t="str">
        <x:v>RESOURCE_LIBRARY_ONLY__CURRENT_YEMEN_MACRO_CONTEXT</x:v>
      </x:c>
      <x:c r="E175" t="n">
        <x:v>0</x:v>
      </x:c>
      <x:c r="F175" t="str">
        <x:v>Yemen Economic Monitor, Spring 2025: Persistent Fragility amid Rising Risks</x:v>
      </x:c>
      <x:c r="G175" t="str">
        <x:v>World Bank</x:v>
      </x:c>
      <x:c r="K175" t="str">
        <x:v>CITATION_CARD</x:v>
      </x:c>
      <x:c r="L175" t="str">
        <x:v>المرصد الاقتصادي لليمن، ربيع 2025: هشاشة مستمرة وسط تصاعد المخاطر</x:v>
      </x:c>
      <x:c r="S175" t="str">
        <x:v>NOT_ASSESSED</x:v>
      </x:c>
      <x:c r="V175" t="str">
        <x:v>2026-10-10</x:v>
      </x:c>
      <x:c r="Y175" t="str">
        <x:v>البنك الدولي</x:v>
      </x:c>
      <x:c r="Z175" t="str">
        <x:v>Research or policy paper</x:v>
      </x:c>
      <x:c r="AA175" t="str">
        <x:v>ورقة بحثية أو سياساتية</x:v>
      </x:c>
      <x:c r="AB175" t="str">
        <x:v>2025-05-29</x:v>
      </x:c>
    </x:row>
    <x:row r="176">
      <x:c r="A176" t="str">
        <x:v>SRC-WB-ESPECRP-ISR10-2026-001</x:v>
      </x:c>
      <x:c r="B176" t="str">
        <x:v>https://documents.worldbank.org/curated/en/099063026134041997/pdf/P173582-a6512878-8a11-454d-98f2-213c6f4df820.pdf</x:v>
      </x:c>
      <x:c r="C176" t="str">
        <x:v>["https://projects.worldbank.org/en/projects-operations/project-detail/P173582"]</x:v>
      </x:c>
      <x:c r="D176" t="str">
        <x:v>RESOURCE_LIBRARY_ONLY__CURRENT_YEMEN_CASH_IDENTITY_CONTEXT</x:v>
      </x:c>
      <x:c r="E176" t="n">
        <x:v>0</x:v>
      </x:c>
      <x:c r="F176" t="str">
        <x:v>Yemen Emergency Social Protection Enhancement and COVID-19 Response Project (ESPECRP, P173582): Implementation Status and Results Report, sequence 10 (30 June 2026)</x:v>
      </x:c>
      <x:c r="G176" t="str">
        <x:v>World Bank</x:v>
      </x:c>
      <x:c r="K176" t="str">
        <x:v>CITATION_CARD</x:v>
      </x:c>
      <x:c r="L176" t="str">
        <x:v>المشروع الطارئ لتعزيز الحماية الاجتماعية والاستجابة لجائحة كوفيد-19 في اليمن (ESPECRP، P173582): تقرير حالة التنفيذ والنتائج، التسلسل 10 (30 يونيو 2026)</x:v>
      </x:c>
      <x:c r="S176" t="str">
        <x:v>NOT_ASSESSED</x:v>
      </x:c>
      <x:c r="V176" t="str">
        <x:v>2026-10-10</x:v>
      </x:c>
      <x:c r="Y176" t="str">
        <x:v>البنك الدولي</x:v>
      </x:c>
      <x:c r="Z176" t="str">
        <x:v>Project document</x:v>
      </x:c>
      <x:c r="AA176" t="str">
        <x:v>وثيقة مشروع</x:v>
      </x:c>
      <x:c r="AB176" t="str">
        <x:v>2026-06-30</x:v>
      </x:c>
    </x:row>
    <x:row r="177">
      <x:c r="A177" t="str">
        <x:v>SRC-UNICEF-MICS-YEM-2022-001</x:v>
      </x:c>
      <x:c r="B177" t="str">
        <x:v>https://www.unicef.org/yemen/documents/yemen-mics-multiple-indicator-cluster-survey</x:v>
      </x:c>
      <x:c r="C177" t="str">
        <x:v>["https://www.unicef.org/yemen/media/9006/file/YEMEN%20MICS%20MULTIPLE%20INDICATOR%20CLUSTER%20SURVEY.pdf"]</x:v>
      </x:c>
      <x:c r="D177" t="str">
        <x:v>RESOURCE_LIBRARY_ONLY__MEASUREMENT_AGENDA_CONTEXT</x:v>
      </x:c>
      <x:c r="E177" t="n">
        <x:v>0</x:v>
      </x:c>
      <x:c r="F177" t="str">
        <x:v>Yemen Multiple Indicator Cluster Survey (MICS) 2022–2023: Survey Findings Report</x:v>
      </x:c>
      <x:c r="G177" t="str">
        <x:v>Central Statistical Organization and UNICEF</x:v>
      </x:c>
      <x:c r="K177" t="str">
        <x:v>CITATION_CARD</x:v>
      </x:c>
      <x:c r="L177" t="str">
        <x:v>المسح العنقودي متعدد المؤشرات في اليمن (MICS) 2022–2023: تقرير نتائج المسح</x:v>
      </x:c>
      <x:c r="R177" t="str">
        <x:v>UNICEF Yemen</x:v>
      </x:c>
      <x:c r="S177" t="str">
        <x:v>NOT_ASSESSED</x:v>
      </x:c>
      <x:c r="V177" t="str">
        <x:v>2026-10-10</x:v>
      </x:c>
      <x:c r="Y177" t="str">
        <x:v>الجهاز المركزي للإحصاء واليونيسف</x:v>
      </x:c>
      <x:c r="Z177" t="str">
        <x:v>Statistical release</x:v>
      </x:c>
      <x:c r="AA177" t="str">
        <x:v>إصدار إحصائي</x:v>
      </x:c>
    </x:row>
    <x:row r="178">
      <x:c r="A178" t="str">
        <x:v>SRC-WB-YMPS-R1-2022-001</x:v>
      </x:c>
      <x:c r="B178" t="str">
        <x:v>https://microdata.worldbank.org/index.php/catalog/5999</x:v>
      </x:c>
      <x:c r="C178" t="str">
        <x:v>["https://doi.org/10.48529/3na0-xa83", "https://documents.worldbank.org/en/publication/documents-reports/documentdetail/099082223171029962"]</x:v>
      </x:c>
      <x:c r="D178" t="str">
        <x:v>RESOURCE_LIBRARY_ONLY__MEASUREMENT_AGENDA_CONTEXT</x:v>
      </x:c>
      <x:c r="E178" t="n">
        <x:v>0</x:v>
      </x:c>
      <x:c r="F178" t="str">
        <x:v>Yemen Mobile Phone Survey Monitoring, Round I (August–September 2022): Monitoring Food Insecurity and Employment in Yemen, catalogue entry</x:v>
      </x:c>
      <x:c r="G178" t="str">
        <x:v>World Bank</x:v>
      </x:c>
      <x:c r="K178" t="str">
        <x:v>CITATION_CARD</x:v>
      </x:c>
      <x:c r="L178" t="str">
        <x:v>مسح الهاتف المحمول في اليمن، الجولة الأولى (أغسطس–سبتمبر 2022): رصد انعدام الأمن الغذائي والعمالة في اليمن، قيد الفهرس</x:v>
      </x:c>
      <x:c r="R178" t="str">
        <x:v>World Bank Microdata Library (catalogue metadata only)</x:v>
      </x:c>
      <x:c r="S178" t="str">
        <x:v>NOT_ASSESSED</x:v>
      </x:c>
      <x:c r="V178" t="str">
        <x:v>2026-10-10</x:v>
      </x:c>
      <x:c r="Y178" t="str">
        <x:v>البنك الدولي</x:v>
      </x:c>
      <x:c r="Z178" t="str">
        <x:v>Survey dataset or indicator</x:v>
      </x:c>
      <x:c r="AA178" t="str">
        <x:v>مسح أو مؤشر</x:v>
      </x:c>
      <x:c r="AB178" t="str">
        <x:v>2023-09-07</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PDF p.4 (printed p.1) of the third-quarter 2024 bulletin; page corrected 10 October 2026 (close-out U6), previously recorded as 'page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PDF p.4 (printed p.1) of the third-quarter 2024 bulletin; page corrected 10 October 2026 (close-out U6), previously recorded as 'page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PDF p.4 (printed p.1) of the third-quarter 2024 bulletin; page corrected 10 October 2026 (close-out U6), previously recorded as 'page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PDF p.4 (printed p.1) of the third-quarter 2024 bulletin; page corrected 10 October 2026 (close-out U6), previously recorded as 'page 3; lines 62-66'</x:v>
      </x:c>
      <x:c r="L8" s="24" t="str">
        <x:v>17,718</x:v>
      </x:c>
      <x:c r="M8" s="24" t="n">
        <x:v>17718</x:v>
      </x:c>
      <x:c r="N8" s="24" t="str">
        <x:v>DIRECTLY_COMPARABLE</x:v>
      </x:c>
      <x:c r="O8" s="24" t="str">
        <x:v>Held (close-out U6, 10 October 2026): the third-quarter 2024 panel shows the bulletin's latest quarter only; earlier quarters are not drawn as a series.</x:v>
      </x:c>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PDF p.4 (printed p.1) of the third-quarter 2024 bulletin; page corrected 10 October 2026 (close-out U6), previously recorded as 'page 3; lines 31-35'</x:v>
      </x:c>
      <x:c r="L9" s="24" t="str">
        <x:v>31,890</x:v>
      </x:c>
      <x:c r="M9" s="24" t="n">
        <x:v>31890</x:v>
      </x:c>
      <x:c r="N9" s="24" t="str">
        <x:v>DIRECTLY_COMPARABLE</x:v>
      </x:c>
      <x:c r="O9" s="24" t="str">
        <x:v>POS transactions in the quarter (a flow). Shown in the third-quarter 2024 panel of VIS-PAYMENT-ANATOMY (close-out U6, 10 October 2026), apart from the first-half 2025 counts and not compared with them; values are not people.</x:v>
      </x:c>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PDF p.4 (printed p.1) of the third-quarter 2024 bulletin; page corrected 10 October 2026 (close-out U6), previously recorded as 'page 3; lines 67-71'</x:v>
      </x:c>
      <x:c r="L10" s="24" t="str">
        <x:v>31 million YER</x:v>
      </x:c>
      <x:c r="M10" s="24" t="n">
        <x:v>31</x:v>
      </x:c>
      <x:c r="N10" s="24" t="str">
        <x:v>DIRECTLY_COMPARABLE</x:v>
      </x:c>
      <x:c r="O10" s="24" t="str">
        <x:v>Held (close-out U6, 10 October 2026): the 2024 POS value series is not published, because the bulletin does not explain why the first-quarter value (YER 31 million) is so far below the second (YER 1,642 million).</x:v>
      </x:c>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PDF p.4 (printed p.1) of the third-quarter 2024 bulletin; page corrected 10 October 2026 (close-out U6), previously recorded as 'page 3; lines 67-71'</x:v>
      </x:c>
      <x:c r="L11" s="24" t="str">
        <x:v>1.642 billion YER</x:v>
      </x:c>
      <x:c r="M11" s="24" t="n">
        <x:v>1642</x:v>
      </x:c>
      <x:c r="N11" s="24" t="str">
        <x:v>DIRECTLY_COMPARABLE</x:v>
      </x:c>
      <x:c r="O11" s="24" t="str">
        <x:v>Held (close-out U6, 10 October 2026): the 2024 POS value series is not published, because the bulletin does not explain why the first-quarter value (YER 31 million) is so far below the second (YER 1,642 million).</x:v>
      </x:c>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PDF p.4 (printed p.1) of the third-quarter 2024 bulletin; page corrected 10 October 2026 (close-out U6), previously recorded as 'page 3; lines 67-71'</x:v>
      </x:c>
      <x:c r="L12" s="24" t="str">
        <x:v>1.699 billion YER</x:v>
      </x:c>
      <x:c r="M12" s="24" t="n">
        <x:v>1699</x:v>
      </x:c>
      <x:c r="N12" s="24" t="str">
        <x:v>DIRECTLY_COMPARABLE</x:v>
      </x:c>
      <x:c r="O12" s="24" t="str">
        <x:v>Held (close-out U6, 10 October 2026): the 2024 POS value series is not published, because the bulletin does not explain why the first-quarter value (YER 31 million) is so far below the second (YER 1,642 million).</x:v>
      </x:c>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PDF p.4 (printed p.1) of the third-quarter 2024 bulletin; page corrected 10 October 2026 (close-out U6), previously recorded as 'page 3; lines 24-50'</x:v>
      </x:c>
      <x:c r="L13" s="24" t="str">
        <x:v>151</x:v>
      </x:c>
      <x:c r="M13" s="24" t="n">
        <x:v>151</x:v>
      </x:c>
      <x:c r="N13" s="24" t="str">
        <x:v>COMPARABLE_WITH_QUALIFICATION</x:v>
      </x:c>
      <x:c r="O13" s="24" t="str">
        <x:v>Label and value checked against the page image on 10 October 2026 (close-out U6): PDF p.4 (printed p.1) prints 151 under «عدد أجهزة نقاط الدفع في الربع الثالث» (POS terminals in the third quarter). POS terminals reported in the quarter. Shown in the third-quarter 2024 panel of VIS-PAYMENT-ANATOMY (close-out U6, 10 October 2026), apart from the first-half 2025 counts and not compared with them; values are not people.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PDF p.5 (printed p.2) of the third-quarter 2024 bulletin; page corrected 10 October 2026 (close-out U6), previously recorded as 'page 4; lines 87-129'</x:v>
      </x:c>
      <x:c r="L14" s="24" t="str">
        <x:v>1,100</x:v>
      </x:c>
      <x:c r="M14" s="24" t="n">
        <x:v>1100</x:v>
      </x:c>
      <x:c r="N14" s="24" t="str">
        <x:v>COMPARABLE_WITH_QUALIFICATION</x:v>
      </x:c>
      <x:c r="O14" s="24" t="str">
        <x:v>ATMs reported in the quarter. Shown in the third-quarter 2024 panel of VIS-PAYMENT-ANATOMY (close-out U6, 10 October 2026), apart from the first-half 2025 counts and not compared with them; values are not people.</x:v>
      </x:c>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PDF p.5 (printed p.2) of the third-quarter 2024 bulletin; page corrected 10 October 2026 (close-out U6), previously recorded as 'page 4; lines 90-129'</x:v>
      </x:c>
      <x:c r="L15" s="24" t="str">
        <x:v>92.462 billion YER</x:v>
      </x:c>
      <x:c r="M15" s="24" t="n">
        <x:v>92.462</x:v>
      </x:c>
      <x:c r="N15" s="24" t="str">
        <x:v>DIRECTLY_COMPARABLE</x:v>
      </x:c>
      <x:c r="O15" s="24" t="str">
        <x:v>Amount withdrawn from ATMs in rials during the quarter: an amount, not a number of withdrawals. Shown in the third-quarter 2024 panel of VIS-PAYMENT-ANATOMY (close-out U6, 10 October 2026), apart from the first-half 2025 counts and not compared with them; values are not people.</x:v>
      </x:c>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PDF p.5 (printed p.2) of the third-quarter 2024 bulletin; page corrected 10 October 2026 (close-out U6), previously recorded as 'page 4; lines 93-129'</x:v>
      </x:c>
      <x:c r="L16" s="24" t="str">
        <x:v>25.626 million USD</x:v>
      </x:c>
      <x:c r="M16" s="24" t="n">
        <x:v>25.626</x:v>
      </x:c>
      <x:c r="N16" s="24" t="str">
        <x:v>DIRECTLY_COMPARABLE</x:v>
      </x:c>
      <x:c r="O16" s="24" t="str">
        <x:v>Amount withdrawn from ATMs in US dollars during the quarter: an amount, not a number of withdrawals. Shown in the third-quarter 2024 panel of VIS-PAYMENT-ANATOMY (close-out U6, 10 October 2026), apart from the first-half 2025 counts and not compared with them; values are not people.</x:v>
      </x:c>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PDF p.5 (printed p.2) of the third-quarter 2024 bulletin; page corrected 10 October 2026 (close-out U6), previously recorded as 'page 4; lines 96-138'</x:v>
      </x:c>
      <x:c r="L17" s="24" t="str">
        <x:v>14.679 million SAR</x:v>
      </x:c>
      <x:c r="M17" s="24" t="n">
        <x:v>14.679</x:v>
      </x:c>
      <x:c r="N17" s="24" t="str">
        <x:v>DIRECTLY_COMPARABLE</x:v>
      </x:c>
      <x:c r="O17" s="24" t="str">
        <x:v>Amount withdrawn from ATMs in Saudi riyals during the quarter: an amount, not a number of withdrawals. Shown in the third-quarter 2024 panel of VIS-PAYMENT-ANATOMY (close-out U6, 10 October 2026), apart from the first-half 2025 counts and not compared with them; values are not people.</x:v>
      </x:c>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PDF p.6 (printed p.3) of the third-quarter 2024 bulletin; page corrected 10 October 2026 (close-out U6), previously recorded as 'page 5; lines 147-178'</x:v>
      </x:c>
      <x:c r="L18" s="24" t="str">
        <x:v>414631</x:v>
      </x:c>
      <x:c r="M18" s="24" t="n">
        <x:v>414631</x:v>
      </x:c>
      <x:c r="N18" s="24" t="str">
        <x:v>COMPARABLE_WITH_QUALIFICATION</x:v>
      </x:c>
      <x:c r="O18"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PDF p.6 (printed p.3) of the third-quarter 2024 bulletin; page corrected 10 October 2026 (close-out U6), previously recorded as 'page 5; lines 147-178'</x:v>
      </x:c>
      <x:c r="L19" s="24" t="str">
        <x:v>507585</x:v>
      </x:c>
      <x:c r="M19" s="24" t="n">
        <x:v>507585</x:v>
      </x:c>
      <x:c r="N19" s="24" t="str">
        <x:v>COMPARABLE_WITH_QUALIFICATION</x:v>
      </x:c>
      <x:c r="O19"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PDF p.6 (printed p.3) of the third-quarter 2024 bulletin; page corrected 10 October 2026 (close-out U6), previously recorded as 'page 5; lines 147-178'</x:v>
      </x:c>
      <x:c r="L20" s="24" t="str">
        <x:v>581075</x:v>
      </x:c>
      <x:c r="M20" s="24" t="n">
        <x:v>581075</x:v>
      </x:c>
      <x:c r="N20" s="24" t="str">
        <x:v>COMPARABLE_WITH_QUALIFICATION</x:v>
      </x:c>
      <x:c r="O20"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PDF p.6 (printed p.3) of the third-quarter 2024 bulletin; page corrected 10 October 2026 (close-out U6), previously recorded as 'page 5; lines 150-174'</x:v>
      </x:c>
      <x:c r="L21" s="24" t="str">
        <x:v>9.57 billion YER</x:v>
      </x:c>
      <x:c r="M21" s="24" t="n">
        <x:v>9.57</x:v>
      </x:c>
      <x:c r="N21" s="24" t="str">
        <x:v>DIRECTLY_COMPARABLE</x:v>
      </x:c>
      <x:c r="O21" s="24" t="str">
        <x:v>Held (close-out U6, 10 October 2026): the bulletin does not say whether e-money issued is a stock or a flow.</x:v>
      </x:c>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PDF p.6 (printed p.3) of the third-quarter 2024 bulletin; page corrected 10 October 2026 (close-out U6), previously recorded as 'page 5; lines 150-174'</x:v>
      </x:c>
      <x:c r="L22" s="24" t="str">
        <x:v>7.38 billion YER</x:v>
      </x:c>
      <x:c r="M22" s="24" t="n">
        <x:v>7.38</x:v>
      </x:c>
      <x:c r="N22" s="24" t="str">
        <x:v>DIRECTLY_COMPARABLE</x:v>
      </x:c>
      <x:c r="O22" s="24" t="str">
        <x:v>Held (close-out U6, 10 October 2026): the bulletin does not say whether e-money issued is a stock or a flow.</x:v>
      </x:c>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PDF p.6 (printed p.3) of the third-quarter 2024 bulletin; page corrected 10 October 2026 (close-out U6), previously recorded as 'page 5; lines 150-174'</x:v>
      </x:c>
      <x:c r="L23" s="24" t="str">
        <x:v>29.941 billion YER</x:v>
      </x:c>
      <x:c r="M23" s="24" t="n">
        <x:v>29.941</x:v>
      </x:c>
      <x:c r="N23" s="24" t="str">
        <x:v>DIRECTLY_COMPARABLE</x:v>
      </x:c>
      <x:c r="O23" s="24" t="str">
        <x:v>Held (close-out U6, 10 October 2026): the bulletin does not say whether e-money issued is a stock or a flow.</x:v>
      </x:c>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PDF p.6 (printed p.3) of the third-quarter 2024 bulletin; page corrected 10 October 2026 (close-out U6), previously recorded as 'page 5; lines 140-147'</x:v>
      </x:c>
      <x:c r="L24" s="24" t="str">
        <x:v>7 e-wallets</x:v>
      </x:c>
      <x:c r="M24" s="24" t="n">
        <x:v>7</x:v>
      </x:c>
      <x:c r="N24" s="24" t="str">
        <x:v>COMPARABLE_WITH_QUALIFICATION</x:v>
      </x:c>
      <x:c r="O24" s="24" t="str">
        <x:v>Published as text in CLM-010 (7 e-wallets in 2024 Q3); not drawn, because the wallet counts of different publications are not one series.</x:v>
      </x:c>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PDF p.7 (printed p.4) of the third-quarter 2024 bulletin; page corrected 10 October 2026 (close-out U6), previously recorded as 'page 6; lines 200-229'</x:v>
      </x:c>
      <x:c r="L25" s="24" t="str">
        <x:v>38.003</x:v>
      </x:c>
      <x:c r="M25" s="24" t="n">
        <x:v>38.003</x:v>
      </x:c>
      <x:c r="N25" s="24" t="str">
        <x:v>DIRECTLY_COMPARABLE</x:v>
      </x:c>
      <x:c r="O25" s="24" t="str">
        <x:v>Held (close-out U6, 10 October 2026): the third-quarter 2024 panel shows the bulletin's latest quarter only; earlier quarters are not drawn as a series.</x:v>
      </x:c>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PDF p.7 (printed p.4) of the third-quarter 2024 bulletin; page corrected 10 October 2026 (close-out U6), previously recorded as 'page 6; lines 200-229'</x:v>
      </x:c>
      <x:c r="L26" s="24" t="str">
        <x:v>39.34</x:v>
      </x:c>
      <x:c r="M26" s="24" t="n">
        <x:v>39.34</x:v>
      </x:c>
      <x:c r="N26" s="24" t="str">
        <x:v>DIRECTLY_COMPARABLE</x:v>
      </x:c>
      <x:c r="O26" s="24" t="str">
        <x:v>Held (close-out U6, 10 October 2026): the third-quarter 2024 panel shows the bulletin's latest quarter only; earlier quarters are not drawn as a series.</x:v>
      </x:c>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PDF p.7 (printed p.4) of the third-quarter 2024 bulletin; page corrected 10 October 2026 (close-out U6), previously recorded as 'page 6; lines 200-229'</x:v>
      </x:c>
      <x:c r="L27" s="24" t="str">
        <x:v>53.539</x:v>
      </x:c>
      <x:c r="M27" s="24" t="n">
        <x:v>53.539</x:v>
      </x:c>
      <x:c r="N27" s="24" t="str">
        <x:v>DIRECTLY_COMPARABLE</x:v>
      </x:c>
      <x:c r="O27" s="24" t="str">
        <x:v>Value of 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PDF p.7 (printed p.4) of the third-quarter 2024 bulletin; page corrected 10 October 2026 (close-out U6), previously recorded as 'page 6; lines 196-228'</x:v>
      </x:c>
      <x:c r="L28" s="24" t="str">
        <x:v>3,092</x:v>
      </x:c>
      <x:c r="M28" s="24" t="n">
        <x:v>3092</x:v>
      </x:c>
      <x:c r="N28" s="24" t="str">
        <x:v>DIRECTLY_COMPARABLE</x:v>
      </x:c>
      <x:c r="O28" s="24" t="str">
        <x:v>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PDF p.8 (printed p.5) of the third-quarter 2024 bulletin; page corrected 10 October 2026 (close-out U6), previously recorded as 'page 7; lines 230-267'</x:v>
      </x:c>
      <x:c r="L29" s="24" t="str">
        <x:v>222</x:v>
      </x:c>
      <x:c r="M29" s="24" t="n">
        <x:v>222</x:v>
      </x:c>
      <x:c r="N29" s="24" t="str">
        <x:v>DIRECTLY_COMPARABLE</x:v>
      </x:c>
      <x:c r="O29" s="24" t="str">
        <x:v>Held (close-out U6, 10 October 2026): the third-quarter 2024 panel shows the bulletin's latest quarter only; earlier quarters are not drawn as a series.</x:v>
      </x:c>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PDF p.8 (printed p.5) of the third-quarter 2024 bulletin; page corrected 10 October 2026 (close-out U6), previously recorded as 'page 7; lines 230-267'</x:v>
      </x:c>
      <x:c r="L30" s="24" t="str">
        <x:v>15.72</x:v>
      </x:c>
      <x:c r="M30" s="24" t="n">
        <x:v>15.72</x:v>
      </x:c>
      <x:c r="N30" s="24" t="str">
        <x:v>DIRECTLY_COMPARABLE</x:v>
      </x:c>
      <x:c r="O30" s="24" t="str">
        <x:v>Held (close-out U6, 10 October 2026): the third-quarter 2024 panel shows the bulletin's latest quarter only; earlier quarters are not drawn as a series.</x:v>
      </x:c>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PDF p.8 (printed p.5) of the third-quarter 2024 bulletin; page corrected 10 October 2026 (close-out U6), previously recorded as 'page 7; lines 230-267'</x:v>
      </x:c>
      <x:c r="L31" s="24" t="str">
        <x:v>251</x:v>
      </x:c>
      <x:c r="M31" s="24" t="n">
        <x:v>251</x:v>
      </x:c>
      <x:c r="N31" s="24" t="str">
        <x:v>DIRECTLY_COMPARABLE</x:v>
      </x:c>
      <x:c r="O31" s="24" t="str">
        <x:v>Held (close-out U6, 10 October 2026): the third-quarter 2024 panel shows the bulletin's latest quarter only; earlier quarters are not drawn as a series.</x:v>
      </x:c>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PDF p.8 (printed p.5) of the third-quarter 2024 bulletin; page corrected 10 October 2026 (close-out U6), previously recorded as 'page 7; lines 230-267'</x:v>
      </x:c>
      <x:c r="L32" s="24" t="str">
        <x:v>19.08</x:v>
      </x:c>
      <x:c r="M32" s="24" t="n">
        <x:v>19.08</x:v>
      </x:c>
      <x:c r="N32" s="24" t="str">
        <x:v>DIRECTLY_COMPARABLE</x:v>
      </x:c>
      <x:c r="O32" s="24" t="str">
        <x:v>Held (close-out U6, 10 October 2026): the third-quarter 2024 panel shows the bulletin's latest quarter only; earlier quarters are not drawn as a series.</x:v>
      </x:c>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PDF p.8 (printed p.5) of the third-quarter 2024 bulletin; page corrected 10 October 2026 (close-out U6), previously recorded as 'page 7; lines 230-267'</x:v>
      </x:c>
      <x:c r="L33" s="24" t="str">
        <x:v>356</x:v>
      </x:c>
      <x:c r="M33" s="24" t="n">
        <x:v>356</x:v>
      </x:c>
      <x:c r="N33" s="24" t="str">
        <x:v>DIRECTLY_COMPARABLE</x:v>
      </x:c>
      <x:c r="O33" s="24" t="str">
        <x:v>Local transfers through SWIFT between local banks and government institutions, as the bulletin counts them. Shown in the third-quarter 2024 panel of VIS-PAYMENT-ANATOMY (close-out U6, 10 October 2026), apart from the first-half 2025 counts and not compared with them; values are not people.</x:v>
      </x:c>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PDF p.8 (printed p.5) of the third-quarter 2024 bulletin; page corrected 10 October 2026 (close-out U6), previously recorded as 'page 7; lines 230-267'</x:v>
      </x:c>
      <x:c r="L34" s="24" t="str">
        <x:v>30.557</x:v>
      </x:c>
      <x:c r="M34" s="24" t="n">
        <x:v>30.557</x:v>
      </x:c>
      <x:c r="N34" s="24" t="str">
        <x:v>DIRECTLY_COMPARABLE</x:v>
      </x:c>
      <x:c r="O34" s="24" t="str">
        <x:v>Value, in rials, of the local transfers through SWIFT between local banks and government institutions. Shown in the third-quarter 2024 panel of VIS-PAYMENT-ANATOMY (close-out U6, 10 October 2026), apart from the first-half 2025 counts and not compared with them; values are not people.</x:v>
      </x:c>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 Kept held (close-out CR-06, 10 October 2026): no January or February 2025 monthly POS release exists (the first is March 2025), so 58,512 cannot be confirmed as a January–June total, and the report's first-half POS value tile does not equal the sum of the March–June monthly POS values.</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«الحسابات» (Accounts) panel, bottom left: NO. of Accounts 5,202,019; re-read 10 October 2026 (close-out CR-06)</x:v>
      </x:c>
      <x:c r="L41" s="24" t="str">
        <x:v>5,202,019</x:v>
      </x:c>
      <x:c r="M41" s="24" t="n">
        <x:v>5202019</x:v>
      </x:c>
      <x:c r="N41" s="24" t="str">
        <x:v>UNKNOWN</x:v>
      </x:c>
      <x:c r="O41" s="24" t="str">
        <x:v>Accounts as published in the first-half 2025 infographic (Accounts panel, NO. of Accounts), under no published definition: a count of accounts within the reporting scope of the Central Bank of Yemen – Aden, not of people or of active accounts (the caveat CLM-010 carries). Shown in VIS-PAYMENT-ANATOMY from close-out CR-06, 10 October 2026.</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 Held (close-out U6, 10 October 2026): the infographic defines neither the card types nor the base of the shares.</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 Held (close-out U6, 10 October 2026): the infographic defines neither the card types nor the base of the shares.</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 Held (close-out U6, 10 October 2026): the infographic defines neither the card types nor the base of the shares.</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In Yemen's survey the mobile-money questions were not asked: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7 November 2022 to 9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7 November 2022 to 9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7 November 2022 to 9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7 November 2022 to 9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7 November 2022 to 9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7 November 2022 to 9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7 November 2022 to 9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7 November 2022 to 9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7 November 2022 to 9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7 November 2022 to 9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7 November 2022 to 9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7 November 2022 to 9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7 November 2022 to 9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7 November 2022 to 9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7 November 2022 to 9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7 November 2022 to 9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7 November 2022 to 9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7 November 2022 to 9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7 November 2022 to 9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7 November 2022 to 9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7 November 2022 to 9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7 November 2022 to 9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7 November 2022 to 9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7 November 2022 to 9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7 November 2022 to 9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7 November 2022 to 9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7 November 2022 to 9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7 November 2022 to 9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7 November 2022 to 9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7 November 2022 to 9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7 November 2022 to 9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7 November 2022 to 9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7 November 2022 to 9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7 November 2022 to 9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7 November 2022 to 9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7 November 2022 to 9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7 November 2022 to 9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7 November 2022 to 9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7 November 2022 to 9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7 November 2022 to 9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7 November 2022 to 9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7 November 2022 to 9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7 November 2022 to 9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7 November 2022 to 9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7 November 2022 to 9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7 November 2022 to 9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7 November 2022 to 9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7 November 2022 to 9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7 November 2022 to 9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7 November 2022 to 9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7 November 2022 to 9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7 November 2022 to 9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7 November 2022 to 9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7 November 2022 to 9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7 November 2022 to 9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7 November 2022 to 9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7 November 2022 to 9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7 November 2022 to 9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7 November 2022 to 9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7 November 2022 to 9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7 November 2022 to 9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7 November 2022 to 9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7 November 2022 to 9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7 November 2022 to 9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7 November 2022 to 9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7 November 2022 to 9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7 November 2022 to 9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7 November 2022 to 9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7 November 2022 to 9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7 November 2022 to 9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7 November 2022 to 9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7 November 2022 to 9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7 November 2022 to 9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7 November 2022 to 9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7 November 2022 to 9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7 November 2022 to 9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7 November 2022 to 9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7 November 2022 to 9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7 November 2022 to 9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7 November 2022 to 9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7 November 2022 to 9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7 November 2022 to 9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7 November 2022 to 9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7 November 2022 to 9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7 November 2022 to 9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7 November 2022 to 9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7 November 2022 to 9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7 November 2022 to 9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7 November 2022 to 9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7 November 2022 to 9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7 November 2022 to 9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7 November 2022 to 9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7 November 2022 to 9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7 November 2022 to 9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7 November 2022 to 9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7 November 2022 to 9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7 November 2022 to 9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7 November 2022 to 9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7 November 2022 to 9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7 November 2022 to 9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7 November 2022 to 9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7 November 2022 to 9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7 November 2022 to 9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7 November 2022 to 9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7 November 2022 to 9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7 November 2022 to 9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7 November 2022 to 9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7 November 2022 to 9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7 November 2022 to 9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7 November 2022 to 9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7 November 2022 to 9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7 November 2022 to 9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7 November 2022 to 9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7 November 2022 to 9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7 November 2022 to 9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7 November 2022 to 9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7 November 2022 to 9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7 November 2022 to 9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7 November 2022 to 9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7 November 2022 to 9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7 November 2022 to 9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7 November 2022 to 9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7 November 2022 to 9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7 November 2022 to 9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7 November 2022 to 9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7 November 2022 to 9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7 November 2022 to 9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7 November 2022 to 9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7 November 2022 to 9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7 November 2022 to 9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7 November 2022 to 9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7 November 2022 to 9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7 November 2022 to 9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7 November 2022 to 9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7 November 2022 to 9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7 November 2022 to 9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7 November 2022 to 9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7 November 2022 to 9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7 November 2022 to 9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7 November 2022 to 9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7 November 2022 to 9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7 November 2022 to 9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7 November 2022 to 9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7 November 2022 to 9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7 November 2022 to 9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7 November 2022 to 9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7 November 2022 to 9 January 2023); unrounded value 0.610879263962454. No interval published here (EXT-07 held). Close-out U1, 10 October 2026. Panel measure FDP-032.</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144</x:v>
      </x:c>
      <x:c r="D5" s="24" t="n">
        <x:f>COUNTA('02_SITE_MAP'!A5:A300)</x:f>
        <x:v>144</x:v>
      </x:c>
      <x:c r="E5" s="24" t="str">
        <x:f>IF(D5=C5,"READY","REVIEW")</x:f>
        <x:v>READY</x:v>
      </x:c>
      <x:c r="F5" s="24" t="str">
        <x:v>02_SITE_MAP</x:v>
      </x:c>
      <x:c r="G5" s="24" t="str">
        <x:v>Every site page instance is represented.</x:v>
      </x:c>
    </x:row>
    <x:row r="6">
      <x:c r="A6" s="24" t="str">
        <x:v>Site</x:v>
      </x:c>
      <x:c r="B6" s="24" t="str">
        <x:v>Bilingual page sections</x:v>
      </x:c>
      <x:c r="C6" s="24" t="n">
        <x:v>237</x:v>
      </x:c>
      <x:c r="D6" s="24" t="n">
        <x:v>237</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11</x:v>
      </x:c>
      <x:c r="D10" s="24" t="n">
        <x:f>COUNTA('08_READINGS'!A5:A50)</x:f>
        <x:v>11</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39</x:v>
      </x:c>
      <x:c r="D12" s="24" t="n">
        <x:f>COUNTA('11_VISUAL_LIBRARY'!A5:A100)</x:f>
        <x:v>39</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174</x:v>
      </x:c>
      <x:c r="D15" s="24" t="n">
        <x:v>174</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